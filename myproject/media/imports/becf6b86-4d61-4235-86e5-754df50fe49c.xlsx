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داخلي" sheetId="1" r:id="rId4"/>
    <sheet state="visible" name="خالد" sheetId="2" r:id="rId5"/>
    <sheet state="visible" name="عمر البربري" sheetId="3" r:id="rId6"/>
    <sheet state="visible" name="عبود" sheetId="4" r:id="rId7"/>
    <sheet state="visible" name="ابو عمار" sheetId="5" r:id="rId8"/>
    <sheet state="visible" name="محمد الاسكندراني" sheetId="6" r:id="rId9"/>
    <sheet state="visible" name="السيد" sheetId="7" r:id="rId10"/>
    <sheet state="visible" name="يوسف العيوطي" sheetId="8" r:id="rId11"/>
    <sheet state="visible" name="ابو مكه " sheetId="9" r:id="rId12"/>
    <sheet state="visible" name="عبدالرحمن جاد " sheetId="10" r:id="rId13"/>
    <sheet state="visible" name="نيهال عبدالعزيز" sheetId="11" r:id="rId14"/>
    <sheet state="visible" name="إبراهيم الدوكش" sheetId="12" r:id="rId15"/>
    <sheet state="visible" name="يوسف الصغير" sheetId="13" r:id="rId16"/>
    <sheet state="hidden" name="تجميعه لاكتر من مندوب" sheetId="14" r:id="rId17"/>
  </sheets>
  <definedNames/>
  <calcPr/>
  <extLst>
    <ext uri="GoogleSheetsCustomDataVersion2">
      <go:sheetsCustomData xmlns:go="http://customooxmlschemas.google.com/" r:id="rId18" roundtripDataChecksum="9yREHkUf9+lpzWVNyLvBcIPfGAcGGFQC5Xkcd7yqtoo="/>
    </ext>
  </extLst>
</workbook>
</file>

<file path=xl/sharedStrings.xml><?xml version="1.0" encoding="utf-8"?>
<sst xmlns="http://schemas.openxmlformats.org/spreadsheetml/2006/main" count="7175" uniqueCount="2529">
  <si>
    <t>بيانات العميل شهر 2</t>
  </si>
  <si>
    <t>طريقة الدفع</t>
  </si>
  <si>
    <t>حساب الأوردر</t>
  </si>
  <si>
    <t>الحسابات</t>
  </si>
  <si>
    <t>م</t>
  </si>
  <si>
    <t>التاريخ</t>
  </si>
  <si>
    <t>اسم المندوب</t>
  </si>
  <si>
    <t>اسم الراسل</t>
  </si>
  <si>
    <t>تليفون</t>
  </si>
  <si>
    <t>عنوان</t>
  </si>
  <si>
    <t>اسم المرسل اليه</t>
  </si>
  <si>
    <t>التليفون</t>
  </si>
  <si>
    <t>العنوان</t>
  </si>
  <si>
    <t>ف / كاش</t>
  </si>
  <si>
    <t>انستا</t>
  </si>
  <si>
    <t>نقدي</t>
  </si>
  <si>
    <t>أجل</t>
  </si>
  <si>
    <t>تمنه</t>
  </si>
  <si>
    <t>تم السداد</t>
  </si>
  <si>
    <t>توصيل2</t>
  </si>
  <si>
    <t>حساب المندوب</t>
  </si>
  <si>
    <t>صافي الشركة</t>
  </si>
  <si>
    <t>نيهال عبدالعزيز</t>
  </si>
  <si>
    <t>ليهم نقود</t>
  </si>
  <si>
    <t xml:space="preserve">صيانات وبنزين </t>
  </si>
  <si>
    <t xml:space="preserve">عليهم نقود </t>
  </si>
  <si>
    <t xml:space="preserve">أبو عمار </t>
  </si>
  <si>
    <t>مني الخولي</t>
  </si>
  <si>
    <t>السلام</t>
  </si>
  <si>
    <t>المرور</t>
  </si>
  <si>
    <t>لا</t>
  </si>
  <si>
    <t>تروسيكل عم مسعد200</t>
  </si>
  <si>
    <t>رضوي الخضري</t>
  </si>
  <si>
    <t>مساكن جامعه</t>
  </si>
  <si>
    <t>قولنجيل</t>
  </si>
  <si>
    <t>ومشوار 35</t>
  </si>
  <si>
    <t xml:space="preserve">نورا برايا </t>
  </si>
  <si>
    <t>نتيجه ابنها</t>
  </si>
  <si>
    <t>حي الجامعه</t>
  </si>
  <si>
    <t xml:space="preserve">بيتها </t>
  </si>
  <si>
    <t>الملك كامل</t>
  </si>
  <si>
    <t xml:space="preserve">35+50رسوم </t>
  </si>
  <si>
    <t>سماح سلامه</t>
  </si>
  <si>
    <t xml:space="preserve">الدراسات </t>
  </si>
  <si>
    <t xml:space="preserve">ش بورسعيد </t>
  </si>
  <si>
    <t xml:space="preserve">أسماء النجار </t>
  </si>
  <si>
    <t>ترب المسحيين</t>
  </si>
  <si>
    <t>أسماء النجار</t>
  </si>
  <si>
    <t xml:space="preserve">السيد </t>
  </si>
  <si>
    <t>د.اميره 1</t>
  </si>
  <si>
    <t xml:space="preserve">مجمع المحاكم </t>
  </si>
  <si>
    <t>تم</t>
  </si>
  <si>
    <t>تروسيكل مسعد 300</t>
  </si>
  <si>
    <t>الطيب 270</t>
  </si>
  <si>
    <t>50من خالد</t>
  </si>
  <si>
    <t>خصم250</t>
  </si>
  <si>
    <t>سماح سلامه مكتبه 2</t>
  </si>
  <si>
    <t>مشواره 70</t>
  </si>
  <si>
    <t>من السيد</t>
  </si>
  <si>
    <t xml:space="preserve">جرينتش خارجي </t>
  </si>
  <si>
    <t>سماح سلامه خارجي</t>
  </si>
  <si>
    <t xml:space="preserve"> </t>
  </si>
  <si>
    <t xml:space="preserve">محمود سلطان </t>
  </si>
  <si>
    <t>منيه سندوب</t>
  </si>
  <si>
    <t>مني الخولي خارجي</t>
  </si>
  <si>
    <t xml:space="preserve">عبود </t>
  </si>
  <si>
    <t>رحمه عميل نيو</t>
  </si>
  <si>
    <t xml:space="preserve">رحمه </t>
  </si>
  <si>
    <t>هيفن خارجي</t>
  </si>
  <si>
    <t xml:space="preserve">الحاج اسامه </t>
  </si>
  <si>
    <t xml:space="preserve">محمد ماني </t>
  </si>
  <si>
    <t>اماني سنترال الجزيره</t>
  </si>
  <si>
    <t>العبور</t>
  </si>
  <si>
    <t>270 ماني</t>
  </si>
  <si>
    <t>ماني عليه 30</t>
  </si>
  <si>
    <t xml:space="preserve">سندوب </t>
  </si>
  <si>
    <t xml:space="preserve">باقي حق مشوار طلخا </t>
  </si>
  <si>
    <t>الساعي</t>
  </si>
  <si>
    <t>محمد ماني</t>
  </si>
  <si>
    <t xml:space="preserve">ندي وجيه </t>
  </si>
  <si>
    <t>هتحول35</t>
  </si>
  <si>
    <t xml:space="preserve">خالد </t>
  </si>
  <si>
    <t>نهال عبدالعزيز</t>
  </si>
  <si>
    <t>فانوس</t>
  </si>
  <si>
    <t>شونه سندوب</t>
  </si>
  <si>
    <t>طفله57357</t>
  </si>
  <si>
    <t>س</t>
  </si>
  <si>
    <t xml:space="preserve">دكتوره اماني </t>
  </si>
  <si>
    <t>طلخا برج نوران</t>
  </si>
  <si>
    <t xml:space="preserve">ا.نهال </t>
  </si>
  <si>
    <t xml:space="preserve">سماح سلامه 2 </t>
  </si>
  <si>
    <t xml:space="preserve">الدرسات </t>
  </si>
  <si>
    <t>الأسواق</t>
  </si>
  <si>
    <t>ميرو ستور 1</t>
  </si>
  <si>
    <t>هاله</t>
  </si>
  <si>
    <t>نعم</t>
  </si>
  <si>
    <t xml:space="preserve">ثلاجه نهال </t>
  </si>
  <si>
    <t xml:space="preserve">ام باسم </t>
  </si>
  <si>
    <t>طلخا</t>
  </si>
  <si>
    <t>توتال 175 ج</t>
  </si>
  <si>
    <t>توتال صافي شغال425</t>
  </si>
  <si>
    <t>السيد الزهيري</t>
  </si>
  <si>
    <t>الصعيدي</t>
  </si>
  <si>
    <t xml:space="preserve">هاله </t>
  </si>
  <si>
    <t>هاله2</t>
  </si>
  <si>
    <t>كات ليدي</t>
  </si>
  <si>
    <t xml:space="preserve">ماني </t>
  </si>
  <si>
    <t>الصدر</t>
  </si>
  <si>
    <t>الموقف الجديد</t>
  </si>
  <si>
    <t>توتال 785</t>
  </si>
  <si>
    <t>توتال شغال 355</t>
  </si>
  <si>
    <t>قبض265</t>
  </si>
  <si>
    <t>ياسمين سمير</t>
  </si>
  <si>
    <t>السنبلاوين برهمطوش</t>
  </si>
  <si>
    <t>السنبلاوين</t>
  </si>
  <si>
    <t>الدقهلية</t>
  </si>
  <si>
    <t>بسمه انور</t>
  </si>
  <si>
    <t>ميت محمود طريق طناح محل حلواني فاضل علي البحر مسجد البحر</t>
  </si>
  <si>
    <t>هدي الشاعر</t>
  </si>
  <si>
    <t>دكرنس ش البسطويسي جمب محل العشري للحام</t>
  </si>
  <si>
    <t>دكرنس</t>
  </si>
  <si>
    <t>بدون</t>
  </si>
  <si>
    <t>السنبلاوين حي النخيل عند توكيل فودافون جمب ماركت خير ذاد</t>
  </si>
  <si>
    <t>زينب الخطيب</t>
  </si>
  <si>
    <t>طنامل الشرقي عزبه الاتريه بجوار السنترال صيدليه دكتوره زينب الخطيب</t>
  </si>
  <si>
    <t>اجا</t>
  </si>
  <si>
    <t>اليوم</t>
  </si>
  <si>
    <t>حساب الاوردر</t>
  </si>
  <si>
    <t>ملاحظات</t>
  </si>
  <si>
    <t>الأحد</t>
  </si>
  <si>
    <t xml:space="preserve">شيماء سليمان </t>
  </si>
  <si>
    <t xml:space="preserve">560+35 </t>
  </si>
  <si>
    <t>.</t>
  </si>
  <si>
    <t xml:space="preserve">الفتح </t>
  </si>
  <si>
    <t>عليه مشوار بوسطه 35</t>
  </si>
  <si>
    <t>سينيه 35</t>
  </si>
  <si>
    <t xml:space="preserve">داخلي </t>
  </si>
  <si>
    <t xml:space="preserve">العصير -200 بودي </t>
  </si>
  <si>
    <t xml:space="preserve">اظرف مكتبه لنهال </t>
  </si>
  <si>
    <t xml:space="preserve">160- وعليها مشوار </t>
  </si>
  <si>
    <t xml:space="preserve">نهال عبدالعزيز </t>
  </si>
  <si>
    <t xml:space="preserve">-160 بلبن ايهاب البوب </t>
  </si>
  <si>
    <t xml:space="preserve">-50بنزين </t>
  </si>
  <si>
    <t>-عرق سوس 25</t>
  </si>
  <si>
    <t>عهدة</t>
  </si>
  <si>
    <t>توتال</t>
  </si>
  <si>
    <t xml:space="preserve">الشغل  </t>
  </si>
  <si>
    <t>القبض</t>
  </si>
  <si>
    <t>الصافي</t>
  </si>
  <si>
    <t>الاثنين</t>
  </si>
  <si>
    <t xml:space="preserve">لنهي </t>
  </si>
  <si>
    <t xml:space="preserve">شركه الميه دكتور سمير </t>
  </si>
  <si>
    <t xml:space="preserve">-100ج </t>
  </si>
  <si>
    <t xml:space="preserve">و50 مشوار حولت </t>
  </si>
  <si>
    <t xml:space="preserve">نيهال عبدالعزيز </t>
  </si>
  <si>
    <t>كارما والمقدم ووئام والتحصيل</t>
  </si>
  <si>
    <t xml:space="preserve">سماح سلامه </t>
  </si>
  <si>
    <t xml:space="preserve"> الادويه2</t>
  </si>
  <si>
    <t xml:space="preserve">500+35 اتحوال ليا </t>
  </si>
  <si>
    <t>250+35</t>
  </si>
  <si>
    <t xml:space="preserve">البراق نيهال </t>
  </si>
  <si>
    <t xml:space="preserve">ياسمين قناه السويس </t>
  </si>
  <si>
    <t xml:space="preserve">اخت نورا برايا </t>
  </si>
  <si>
    <t xml:space="preserve">الموقف </t>
  </si>
  <si>
    <t xml:space="preserve">عليها 35 توصيل ابنها بالوجبات </t>
  </si>
  <si>
    <t xml:space="preserve">المقدم </t>
  </si>
  <si>
    <t xml:space="preserve">كارما </t>
  </si>
  <si>
    <t>اسماء النجار 3</t>
  </si>
  <si>
    <t xml:space="preserve">عهدة-50 بنزين </t>
  </si>
  <si>
    <t>الثلاثاء</t>
  </si>
  <si>
    <t xml:space="preserve">احمد ماهر السكر </t>
  </si>
  <si>
    <t xml:space="preserve">ل عزه </t>
  </si>
  <si>
    <t xml:space="preserve">فرارجي عليها 35 </t>
  </si>
  <si>
    <t xml:space="preserve">المشتريات ل محمد الدراسات 185+ 500 مشتريات رز و صلصة+50 رز </t>
  </si>
  <si>
    <t>.................................................................................................................................................</t>
  </si>
  <si>
    <t xml:space="preserve">الحاج رفعت ملابس </t>
  </si>
  <si>
    <t>عليها 50</t>
  </si>
  <si>
    <t xml:space="preserve">سينيه </t>
  </si>
  <si>
    <t>دمياط -50</t>
  </si>
  <si>
    <t xml:space="preserve">كفاله الاسيوطي </t>
  </si>
  <si>
    <t xml:space="preserve">ساميه الجمل وكيك بوب لابيرل ومبارك </t>
  </si>
  <si>
    <t xml:space="preserve">اسماء النجار ل ابوها </t>
  </si>
  <si>
    <t xml:space="preserve">العصير </t>
  </si>
  <si>
    <t xml:space="preserve">يسري العدوي </t>
  </si>
  <si>
    <t>حولت 35</t>
  </si>
  <si>
    <t>اسماء النجار عبير</t>
  </si>
  <si>
    <t>45 طلخا +3600</t>
  </si>
  <si>
    <t xml:space="preserve">مني الخولي </t>
  </si>
  <si>
    <t>كانت محوله 35</t>
  </si>
  <si>
    <t>الاطعام 9</t>
  </si>
  <si>
    <t xml:space="preserve">الفراخ الجمل </t>
  </si>
  <si>
    <t>ليك 515</t>
  </si>
  <si>
    <t xml:space="preserve">الأربعاء </t>
  </si>
  <si>
    <t>خالد</t>
  </si>
  <si>
    <t>شيماء سليمان</t>
  </si>
  <si>
    <t>300+35</t>
  </si>
  <si>
    <t xml:space="preserve">شريف نظارات </t>
  </si>
  <si>
    <t>د.اميره</t>
  </si>
  <si>
    <t>هتحول عليها 35</t>
  </si>
  <si>
    <t>نفين ايمن</t>
  </si>
  <si>
    <t>مها سنتر النيل</t>
  </si>
  <si>
    <t>260+35</t>
  </si>
  <si>
    <t>الفتح خارجي</t>
  </si>
  <si>
    <t>-30ابو حبيبه</t>
  </si>
  <si>
    <t>قبض</t>
  </si>
  <si>
    <t>الجلاء خارجي</t>
  </si>
  <si>
    <t>شيخ شريف خارجي</t>
  </si>
  <si>
    <t>ادهم خارجي</t>
  </si>
  <si>
    <t>-50 بنزين</t>
  </si>
  <si>
    <t>-1000فرق سحب</t>
  </si>
  <si>
    <t>ا\نيهال عبدالعزيز</t>
  </si>
  <si>
    <t>الخميس</t>
  </si>
  <si>
    <t>الكمون عطاره النقيطي -175</t>
  </si>
  <si>
    <t xml:space="preserve">العصير لندي اختها بمعرفتها نيهال عبدالعزيز </t>
  </si>
  <si>
    <t xml:space="preserve">كفالة حنان </t>
  </si>
  <si>
    <t xml:space="preserve">ظرف توريل نيهال عبدالعزيز </t>
  </si>
  <si>
    <t xml:space="preserve">فاتن -1200 من عبدو </t>
  </si>
  <si>
    <t>عم طارق -1000 من عبدو</t>
  </si>
  <si>
    <t xml:space="preserve">الفتح ل موقف سندوب </t>
  </si>
  <si>
    <t>رشاااااااااااااااا</t>
  </si>
  <si>
    <t xml:space="preserve">لفتح عليه مشوار 40 ج ل سواق تفاهنا </t>
  </si>
  <si>
    <t xml:space="preserve">حنان داخلي </t>
  </si>
  <si>
    <t>عصير نهال لندي</t>
  </si>
  <si>
    <t xml:space="preserve">سماح سلامة 1 خارجي </t>
  </si>
  <si>
    <t xml:space="preserve">1 بينفوتي خارجي </t>
  </si>
  <si>
    <t>الفتح خارجي 1</t>
  </si>
  <si>
    <t xml:space="preserve">عصر نهال لنهي </t>
  </si>
  <si>
    <t xml:space="preserve">عبدو الي دفع وراح المشوار دا </t>
  </si>
  <si>
    <t xml:space="preserve">عهدة ابو حبيبة </t>
  </si>
  <si>
    <t>اوردر الطميهي خارجي 100 ج</t>
  </si>
  <si>
    <t xml:space="preserve">تم دفع تمن شحن الخارجي بيلا الشرقية </t>
  </si>
  <si>
    <t xml:space="preserve">ابرار خشبة </t>
  </si>
  <si>
    <t>2280+35</t>
  </si>
  <si>
    <t xml:space="preserve">امل </t>
  </si>
  <si>
    <t xml:space="preserve">بنزين </t>
  </si>
  <si>
    <t xml:space="preserve">شريف </t>
  </si>
  <si>
    <t xml:space="preserve">1000+400للمكنه </t>
  </si>
  <si>
    <t xml:space="preserve">لا يوجد قبض تم خصمه بالكامل </t>
  </si>
  <si>
    <t>عليك 150</t>
  </si>
  <si>
    <t xml:space="preserve">الجمعه </t>
  </si>
  <si>
    <t>-145 رصيد (عبدو عارف)</t>
  </si>
  <si>
    <t xml:space="preserve">200 عهدة من عبدو </t>
  </si>
  <si>
    <t xml:space="preserve">الخضري </t>
  </si>
  <si>
    <t xml:space="preserve">هبه المرسي </t>
  </si>
  <si>
    <t xml:space="preserve">عليها مشوار </t>
  </si>
  <si>
    <t>40عليها</t>
  </si>
  <si>
    <t xml:space="preserve">عصير لعبدو </t>
  </si>
  <si>
    <t>ليك 85</t>
  </si>
  <si>
    <t xml:space="preserve">السيت </t>
  </si>
  <si>
    <t xml:space="preserve">100 عهدة </t>
  </si>
  <si>
    <t>مفاتيح خالتو نهال</t>
  </si>
  <si>
    <t>حسن عبدالحفيظ</t>
  </si>
  <si>
    <t xml:space="preserve">سلوي الهدي والنور </t>
  </si>
  <si>
    <t>-30لاوعليها مشوار 50</t>
  </si>
  <si>
    <t>1285 ام يوسف +</t>
  </si>
  <si>
    <t xml:space="preserve">كامرما خارجي وسماح سلامه وسينيه </t>
  </si>
  <si>
    <t xml:space="preserve">سعد الشرببيني </t>
  </si>
  <si>
    <t xml:space="preserve">سلمي الدكتوره </t>
  </si>
  <si>
    <t>70+35</t>
  </si>
  <si>
    <t>بنزين -50</t>
  </si>
  <si>
    <t>تمت التصفيه بمعرفه عبدالرحمن ابربري</t>
  </si>
  <si>
    <t>الإثنين</t>
  </si>
  <si>
    <t xml:space="preserve">نيو بيبي </t>
  </si>
  <si>
    <t>شروق اخت ساره</t>
  </si>
  <si>
    <t>خالص</t>
  </si>
  <si>
    <t xml:space="preserve">الحاج ابراهيم </t>
  </si>
  <si>
    <t>650+35</t>
  </si>
  <si>
    <t>حسابه خلصان</t>
  </si>
  <si>
    <t>نورا برايا</t>
  </si>
  <si>
    <t>عليها35</t>
  </si>
  <si>
    <t>مشوار السبح</t>
  </si>
  <si>
    <t>ندي وجيه</t>
  </si>
  <si>
    <t>مني موسي</t>
  </si>
  <si>
    <t>تمت التصفية بمعرفة خالد البربري</t>
  </si>
  <si>
    <t xml:space="preserve">نورا برايا البوسطة </t>
  </si>
  <si>
    <t>105-</t>
  </si>
  <si>
    <t>عليها مشوار40</t>
  </si>
  <si>
    <t xml:space="preserve">كات ليدي </t>
  </si>
  <si>
    <t xml:space="preserve">سينيما عدن </t>
  </si>
  <si>
    <t>عليها مشوار</t>
  </si>
  <si>
    <t xml:space="preserve">عصير عزومه روزي لنهال </t>
  </si>
  <si>
    <t>من نهال لنهي بناطيل</t>
  </si>
  <si>
    <t xml:space="preserve">نفين ايمن </t>
  </si>
  <si>
    <t xml:space="preserve">نهال ل توريل صحبتها </t>
  </si>
  <si>
    <t xml:space="preserve">7 توزيع سحور </t>
  </si>
  <si>
    <t xml:space="preserve">نفين ايمن المطعم </t>
  </si>
  <si>
    <t>30\\-445قديم</t>
  </si>
  <si>
    <t>سمر المرسي</t>
  </si>
  <si>
    <t>نيهال عبدالعزيزعمرو مورا</t>
  </si>
  <si>
    <t>مايان المجزر</t>
  </si>
  <si>
    <t>800+35</t>
  </si>
  <si>
    <t>ساره اسماعيل</t>
  </si>
  <si>
    <t>الفلوس احمد ماهر</t>
  </si>
  <si>
    <t>نيو بيبي</t>
  </si>
  <si>
    <t>35\\\\\\\-1255</t>
  </si>
  <si>
    <t>305+35+415+35+35+375+35+(400+35كاش)</t>
  </si>
  <si>
    <t>575تصفيه ابراهيم</t>
  </si>
  <si>
    <t>1120تصفيه عبود</t>
  </si>
  <si>
    <t>-50بنزين</t>
  </si>
  <si>
    <t>الأربعاء</t>
  </si>
  <si>
    <t>عبده يوسف</t>
  </si>
  <si>
    <t xml:space="preserve">رشا </t>
  </si>
  <si>
    <t xml:space="preserve">الزعفران </t>
  </si>
  <si>
    <t xml:space="preserve">مبارك لتوريل </t>
  </si>
  <si>
    <t xml:space="preserve">خارجي دمياط </t>
  </si>
  <si>
    <t xml:space="preserve">خارجي تبع رشا </t>
  </si>
  <si>
    <t xml:space="preserve">خارجي المقدم </t>
  </si>
  <si>
    <t xml:space="preserve">اميره الرملاوي </t>
  </si>
  <si>
    <t xml:space="preserve">-1690-50 مشوار </t>
  </si>
  <si>
    <t xml:space="preserve">-50 بنزين </t>
  </si>
  <si>
    <t xml:space="preserve">الخميس </t>
  </si>
  <si>
    <t>نورا برايا 35</t>
  </si>
  <si>
    <t xml:space="preserve">ارز مرات عم مسعد </t>
  </si>
  <si>
    <t xml:space="preserve">شيكار ةرز من عزبة الشار </t>
  </si>
  <si>
    <t xml:space="preserve">ظرف عوض الله القديم </t>
  </si>
  <si>
    <t>مول الجامعه 60</t>
  </si>
  <si>
    <t>مجمع المحاكم 35</t>
  </si>
  <si>
    <t xml:space="preserve">8 اطعام </t>
  </si>
  <si>
    <t xml:space="preserve">فطيرويش الفتح </t>
  </si>
  <si>
    <t>متحول 100 توصيل لعبدو</t>
  </si>
  <si>
    <t xml:space="preserve">-20 عصير عبدو </t>
  </si>
  <si>
    <t xml:space="preserve">عجز 125 من امبارح </t>
  </si>
  <si>
    <t>-500عبده</t>
  </si>
  <si>
    <t>-200قبض ابو مكه</t>
  </si>
  <si>
    <t>250  - 125 عجز باقي 125</t>
  </si>
  <si>
    <t>اخد 120 باقي له 5</t>
  </si>
  <si>
    <t>240 مع عمر البربري</t>
  </si>
  <si>
    <t>محمد شلبي</t>
  </si>
  <si>
    <t>هيحول</t>
  </si>
  <si>
    <t xml:space="preserve">من احمد ماهرلعزبة الشال </t>
  </si>
  <si>
    <t xml:space="preserve">ظرف من الترعة لنهي اخت نهال </t>
  </si>
  <si>
    <t>ادهم القعقاع</t>
  </si>
  <si>
    <t xml:space="preserve">-150 سواق </t>
  </si>
  <si>
    <t>عصير عبدو</t>
  </si>
  <si>
    <t>-150 عصير عبدو</t>
  </si>
  <si>
    <t xml:space="preserve">مفتاح طلخا </t>
  </si>
  <si>
    <t xml:space="preserve">تورتاية المجزر </t>
  </si>
  <si>
    <t xml:space="preserve">د سلمي احمد ماهر </t>
  </si>
  <si>
    <t xml:space="preserve">-535 وعليها مشوار اتحول كله كاش لخالد </t>
  </si>
  <si>
    <t xml:space="preserve">6 ايه ستور منهم 1 مرتجع </t>
  </si>
  <si>
    <t xml:space="preserve">متحول بالتوصيل طلخا + 150+40 +400+40+35+390+35+خالص بالتوصيل </t>
  </si>
  <si>
    <t>السبت</t>
  </si>
  <si>
    <t>بلال فوده عليه 35</t>
  </si>
  <si>
    <t xml:space="preserve">ام مليكه </t>
  </si>
  <si>
    <t>-400 ع الكاش +40</t>
  </si>
  <si>
    <t>نهي اخت نهال -2000</t>
  </si>
  <si>
    <t xml:space="preserve">ايه ستور </t>
  </si>
  <si>
    <t>650+40+</t>
  </si>
  <si>
    <t xml:space="preserve">ساره اسماعيل </t>
  </si>
  <si>
    <t>عليها مشوار 45</t>
  </si>
  <si>
    <t xml:space="preserve">السينابون </t>
  </si>
  <si>
    <t xml:space="preserve">فريسكا </t>
  </si>
  <si>
    <t xml:space="preserve">خارجي سماح سلامه </t>
  </si>
  <si>
    <t>تروسيكل نقل بوتجااز نيهال عبدالعزيز --300</t>
  </si>
  <si>
    <t xml:space="preserve">ظرف تقسيم خطاب </t>
  </si>
  <si>
    <t xml:space="preserve">ل نهي نيهال عبدالعزيز </t>
  </si>
  <si>
    <t xml:space="preserve">المجزر </t>
  </si>
  <si>
    <t xml:space="preserve">المسجد مع السيد </t>
  </si>
  <si>
    <t xml:space="preserve">4000-50 بنزين </t>
  </si>
  <si>
    <t>-300بالبنزين</t>
  </si>
  <si>
    <t>ظرف 2000</t>
  </si>
  <si>
    <t>هدوم ش الجيش</t>
  </si>
  <si>
    <t>أ\نيهال عبدالعزيز</t>
  </si>
  <si>
    <t>10وجبات القاضي</t>
  </si>
  <si>
    <t xml:space="preserve">ابرار </t>
  </si>
  <si>
    <t>لينك</t>
  </si>
  <si>
    <t>SHE ONLY</t>
  </si>
  <si>
    <t>سينيه</t>
  </si>
  <si>
    <t>1780+35</t>
  </si>
  <si>
    <t>-2000عبده</t>
  </si>
  <si>
    <t>ايه الباز مرتجع</t>
  </si>
  <si>
    <t>سويت هوم</t>
  </si>
  <si>
    <t>-25 حلاوه</t>
  </si>
  <si>
    <t>سحور</t>
  </si>
  <si>
    <t>-270عبود</t>
  </si>
  <si>
    <t xml:space="preserve">جرينتش </t>
  </si>
  <si>
    <t>1575+35</t>
  </si>
  <si>
    <t xml:space="preserve">ايمان اكل </t>
  </si>
  <si>
    <t>-340 و+105</t>
  </si>
  <si>
    <t xml:space="preserve">د.خديجه </t>
  </si>
  <si>
    <t xml:space="preserve">دسمير </t>
  </si>
  <si>
    <t xml:space="preserve">الشرقاوي </t>
  </si>
  <si>
    <t>عليها توصيل من نقايه الاطباء</t>
  </si>
  <si>
    <t xml:space="preserve">توزيع اسماء </t>
  </si>
  <si>
    <t xml:space="preserve">3+ توصيله الحلاق </t>
  </si>
  <si>
    <t xml:space="preserve">300ج+350سواق الغردقه +100توصيلات </t>
  </si>
  <si>
    <t xml:space="preserve">حولت </t>
  </si>
  <si>
    <t xml:space="preserve">اسماء سندوب </t>
  </si>
  <si>
    <t xml:space="preserve">سينينه </t>
  </si>
  <si>
    <t>ل احمد ماهر 1430+35</t>
  </si>
  <si>
    <t xml:space="preserve">شربين </t>
  </si>
  <si>
    <t>-50 +300</t>
  </si>
  <si>
    <t xml:space="preserve">ميت عنتر الشربيني </t>
  </si>
  <si>
    <t>دفع 85</t>
  </si>
  <si>
    <t xml:space="preserve">نهال لنهي </t>
  </si>
  <si>
    <t xml:space="preserve">من نهي ل نهال </t>
  </si>
  <si>
    <t xml:space="preserve">الشرقاوي 530بالشحن </t>
  </si>
  <si>
    <t xml:space="preserve">صيدليه الاشراف </t>
  </si>
  <si>
    <t xml:space="preserve"> 1020+35</t>
  </si>
  <si>
    <t>توريل</t>
  </si>
  <si>
    <t>ورق د. وائل عبدالحميد</t>
  </si>
  <si>
    <t>نورا برايا البنك</t>
  </si>
  <si>
    <t>عليها مشوار 35</t>
  </si>
  <si>
    <t>اوردر نوسا</t>
  </si>
  <si>
    <t>محوله</t>
  </si>
  <si>
    <t>35+40</t>
  </si>
  <si>
    <t>عبده معروف</t>
  </si>
  <si>
    <t>-400قديم حنان</t>
  </si>
  <si>
    <t>سوق الخواجات</t>
  </si>
  <si>
    <t>زين كيدز</t>
  </si>
  <si>
    <t>هاجر توريل</t>
  </si>
  <si>
    <t>جايلان-170قديم</t>
  </si>
  <si>
    <t>مها</t>
  </si>
  <si>
    <t>روزي لجديله</t>
  </si>
  <si>
    <t>-100بنزين</t>
  </si>
  <si>
    <t>-2500عبده</t>
  </si>
  <si>
    <t>الشريف</t>
  </si>
  <si>
    <t>اسماء النجار</t>
  </si>
  <si>
    <t xml:space="preserve">  </t>
  </si>
  <si>
    <t>رمسيس -120</t>
  </si>
  <si>
    <t>جايلان 170+50</t>
  </si>
  <si>
    <t>شريف 40</t>
  </si>
  <si>
    <t>نرمين كشاكيل عليها35</t>
  </si>
  <si>
    <t>ويش شيماء سليمان 100+</t>
  </si>
  <si>
    <t xml:space="preserve">مارسيليا  مواقف </t>
  </si>
  <si>
    <t>100خالد/60يوسف عليهم</t>
  </si>
  <si>
    <t xml:space="preserve">ويش القعقاع </t>
  </si>
  <si>
    <t>-305عيش وبصل ولمون</t>
  </si>
  <si>
    <t>محمد الجمل35</t>
  </si>
  <si>
    <t>بيلا-40</t>
  </si>
  <si>
    <t>نهي الموقف الجديد</t>
  </si>
  <si>
    <t>ام مريم520+50</t>
  </si>
  <si>
    <t>بلال35</t>
  </si>
  <si>
    <t>اميمه270+35+350+35</t>
  </si>
  <si>
    <t>ايه رمضان 100</t>
  </si>
  <si>
    <t>ايه قناه السويس70</t>
  </si>
  <si>
    <t>2مشوار سويت هوم نيهال</t>
  </si>
  <si>
    <t>اطعام عم مسعد</t>
  </si>
  <si>
    <t>ساره ايمن 50</t>
  </si>
  <si>
    <t>-50بنزين.</t>
  </si>
  <si>
    <t xml:space="preserve">3هبه المرسي </t>
  </si>
  <si>
    <t>عليها200</t>
  </si>
  <si>
    <t xml:space="preserve">دينا تبرعات </t>
  </si>
  <si>
    <t>الخضري70</t>
  </si>
  <si>
    <t xml:space="preserve">التحصيل </t>
  </si>
  <si>
    <t>كرتونه لنهال و</t>
  </si>
  <si>
    <t xml:space="preserve">اتوبيسي -570 وعليها70 مشوار </t>
  </si>
  <si>
    <t>الرز من نهال ل ايمان السلخانه</t>
  </si>
  <si>
    <t>-1500 الحاج اسامه</t>
  </si>
  <si>
    <t>فيب ا\نيهال</t>
  </si>
  <si>
    <t>مشوار عبدالسلام عارف أ\نيهال</t>
  </si>
  <si>
    <t>3ايه قناه السويس</t>
  </si>
  <si>
    <t>35+35+1850+35</t>
  </si>
  <si>
    <t>المشايه35</t>
  </si>
  <si>
    <t>وسام ت العروسه</t>
  </si>
  <si>
    <t>-1700عمر</t>
  </si>
  <si>
    <t>احمد الجزار</t>
  </si>
  <si>
    <t>عليه مشوار</t>
  </si>
  <si>
    <t>محمد زكي</t>
  </si>
  <si>
    <t>كوريان هاوس</t>
  </si>
  <si>
    <t>250+40</t>
  </si>
  <si>
    <t>-280رز السيد</t>
  </si>
  <si>
    <t>مجمع المحاكم</t>
  </si>
  <si>
    <t>-80 خضره محشي وكرنب نورا برايا</t>
  </si>
  <si>
    <t>وعليها35</t>
  </si>
  <si>
    <t xml:space="preserve">نورا برايا لم يسجل </t>
  </si>
  <si>
    <t>20ليهم+35</t>
  </si>
  <si>
    <t>50ماما نستا</t>
  </si>
  <si>
    <t>اميمه220+40</t>
  </si>
  <si>
    <t>امل غنيم650+40</t>
  </si>
  <si>
    <t>الجمعة</t>
  </si>
  <si>
    <t xml:space="preserve">من نهال للشيخة عائشة </t>
  </si>
  <si>
    <t xml:space="preserve">من نهال للشيف عزة </t>
  </si>
  <si>
    <t xml:space="preserve">من نهال لايمان نوارة </t>
  </si>
  <si>
    <t xml:space="preserve">اسمار النجار </t>
  </si>
  <si>
    <t xml:space="preserve">ليس هناك حسابات اخري </t>
  </si>
  <si>
    <t xml:space="preserve">الاحد </t>
  </si>
  <si>
    <t>دونتس 80</t>
  </si>
  <si>
    <t xml:space="preserve">ظرف نهال 1500 عبدالرحمن </t>
  </si>
  <si>
    <t>اقطر 40</t>
  </si>
  <si>
    <t>هيفن 40-550قديم</t>
  </si>
  <si>
    <t xml:space="preserve">الشاذلي نيهال -670 </t>
  </si>
  <si>
    <t>بن رياحين -265</t>
  </si>
  <si>
    <t>براميذا40</t>
  </si>
  <si>
    <t>كوريان هاوس 850+40</t>
  </si>
  <si>
    <t>بريمر نيهال -2025</t>
  </si>
  <si>
    <t>-</t>
  </si>
  <si>
    <t>توتال 1090-3510صارفهم من جيبه له 2420 وقبض 325=2745</t>
  </si>
  <si>
    <t xml:space="preserve">نيهال ل احمد النجار </t>
  </si>
  <si>
    <t xml:space="preserve">من نهال لحماتها </t>
  </si>
  <si>
    <t xml:space="preserve">مكنش متسجل تم التسجيل عمر </t>
  </si>
  <si>
    <t>علينا 2240</t>
  </si>
  <si>
    <t>علينا 2240-</t>
  </si>
  <si>
    <t>له 2745</t>
  </si>
  <si>
    <t>منه محمد</t>
  </si>
  <si>
    <t>الخضري</t>
  </si>
  <si>
    <t>احمد ماهر</t>
  </si>
  <si>
    <t>ظرف ام ليالي</t>
  </si>
  <si>
    <t>سندوب محوله35</t>
  </si>
  <si>
    <t>فورميكس -110</t>
  </si>
  <si>
    <t>مريم جمال</t>
  </si>
  <si>
    <t>بوسي حجز الدكتور</t>
  </si>
  <si>
    <t>-500متحوله</t>
  </si>
  <si>
    <t>35+130+35+285+35</t>
  </si>
  <si>
    <t>وئام</t>
  </si>
  <si>
    <t xml:space="preserve">تم الدفع 250+40 </t>
  </si>
  <si>
    <t>525+35</t>
  </si>
  <si>
    <t>الشربيني</t>
  </si>
  <si>
    <t>105 مع عبده</t>
  </si>
  <si>
    <t xml:space="preserve">خطاب </t>
  </si>
  <si>
    <t xml:space="preserve">عليك 100 ج بودي </t>
  </si>
  <si>
    <t>-3000 عمر عهده</t>
  </si>
  <si>
    <t xml:space="preserve">2410 سينيه +150 منيه محله الدمنه </t>
  </si>
  <si>
    <t>وئام +700 دكرنس والتوصيل 150</t>
  </si>
  <si>
    <t>احمد السيد سليم 40</t>
  </si>
  <si>
    <t>بلال فوده 35</t>
  </si>
  <si>
    <t xml:space="preserve">الشربيني كفر صقر حاسب بودي </t>
  </si>
  <si>
    <t>مارسيليا 50</t>
  </si>
  <si>
    <t>حسن ميت عنتر 60</t>
  </si>
  <si>
    <t>رحاب مبارك 35</t>
  </si>
  <si>
    <t>الاشعه حولت 40</t>
  </si>
  <si>
    <t>وئام خارجي وزاك2</t>
  </si>
  <si>
    <t>نفين ايمن 500+35+35</t>
  </si>
  <si>
    <t>-590نيو بيبي</t>
  </si>
  <si>
    <t>احمد الجزار100</t>
  </si>
  <si>
    <t>-2600عبده</t>
  </si>
  <si>
    <t xml:space="preserve"> عليوة 35</t>
  </si>
  <si>
    <t xml:space="preserve"> ام جني حولت40</t>
  </si>
  <si>
    <t>وسام 30</t>
  </si>
  <si>
    <t xml:space="preserve">-2230 ل نيو بيبي </t>
  </si>
  <si>
    <t>من حي الجامعه ل قناه السويس الشربيني4440+40</t>
  </si>
  <si>
    <t xml:space="preserve"> من توريل ش الامام ل موقف دمياط القديمه الاستاد40</t>
  </si>
  <si>
    <t>نرمين80</t>
  </si>
  <si>
    <t>شرابي ل توريل 50</t>
  </si>
  <si>
    <t>عبده يوسف70</t>
  </si>
  <si>
    <t xml:space="preserve">ميكانيكي </t>
  </si>
  <si>
    <t xml:space="preserve">عمر خد 5000 من خالد وسابهم في الدرج </t>
  </si>
  <si>
    <t>دنيا لخولي</t>
  </si>
  <si>
    <t>260+40+150+35</t>
  </si>
  <si>
    <t>ادويه</t>
  </si>
  <si>
    <t>{2500+40+550+35+}1150+40انستا</t>
  </si>
  <si>
    <t>1200+35+300+35+750+40+1200+35</t>
  </si>
  <si>
    <t>1200+35كاش+1200+35انستا</t>
  </si>
  <si>
    <t>1100+35كاش+1200+35انستا</t>
  </si>
  <si>
    <t>1200+35+800+35+1100+40+</t>
  </si>
  <si>
    <t>600+35+1350+35+</t>
  </si>
  <si>
    <t>ندي عليوه</t>
  </si>
  <si>
    <t>3380+50</t>
  </si>
  <si>
    <t>سندوب</t>
  </si>
  <si>
    <t>-300كاش</t>
  </si>
  <si>
    <t>من نهي ل نهال</t>
  </si>
  <si>
    <t xml:space="preserve">من حماه نهال لنهال </t>
  </si>
  <si>
    <t>مي بنت عمو ابراهيم ل نهال</t>
  </si>
  <si>
    <t>الجمل 40+40 ابو عمار</t>
  </si>
  <si>
    <t>الجمل70</t>
  </si>
  <si>
    <t>وليد دوا اجا نهال</t>
  </si>
  <si>
    <t>نفين ايمن عليها مشوارين</t>
  </si>
  <si>
    <t>25محمد الاسكندراني</t>
  </si>
  <si>
    <t>35 عبدالرحمن يوسف</t>
  </si>
  <si>
    <t>30ايمان موافي</t>
  </si>
  <si>
    <t>595+40نيو بيبي</t>
  </si>
  <si>
    <t>الاحد</t>
  </si>
  <si>
    <t>احمد الصعيدي</t>
  </si>
  <si>
    <t>د.خديجه</t>
  </si>
  <si>
    <t>35 انستا</t>
  </si>
  <si>
    <t>الجلاء</t>
  </si>
  <si>
    <t>دونتس</t>
  </si>
  <si>
    <t>مني الخولي35-360</t>
  </si>
  <si>
    <t>-40فطار</t>
  </si>
  <si>
    <t>ليا115</t>
  </si>
  <si>
    <t>الجمل</t>
  </si>
  <si>
    <t xml:space="preserve">-825 قديم </t>
  </si>
  <si>
    <t xml:space="preserve">الجمل </t>
  </si>
  <si>
    <t>منى الخولي</t>
  </si>
  <si>
    <t>560+35</t>
  </si>
  <si>
    <t>د.نرمين</t>
  </si>
  <si>
    <t>اميز</t>
  </si>
  <si>
    <t>محمد الاسكندراني</t>
  </si>
  <si>
    <t>بنزين</t>
  </si>
  <si>
    <t>تمت التصفيه بمعرفه خالد البربري</t>
  </si>
  <si>
    <t xml:space="preserve">السواق نيهال ل الجوارات </t>
  </si>
  <si>
    <t xml:space="preserve">محمد الجمل عليه مشوار انهارده ومشوار امبارح </t>
  </si>
  <si>
    <t>المقدم</t>
  </si>
  <si>
    <t>خالتو نهال</t>
  </si>
  <si>
    <t>احمد النجار</t>
  </si>
  <si>
    <t>من نهال ل حماتها</t>
  </si>
  <si>
    <t>ليا2ج</t>
  </si>
  <si>
    <t>ليا252</t>
  </si>
  <si>
    <t>الاربعاء</t>
  </si>
  <si>
    <t>شريف</t>
  </si>
  <si>
    <t>-100وهيحول 70</t>
  </si>
  <si>
    <t>المطافي</t>
  </si>
  <si>
    <t>هيفين</t>
  </si>
  <si>
    <t>يسري العدوي</t>
  </si>
  <si>
    <t>ايهاب اسعد</t>
  </si>
  <si>
    <t>بلال فوده</t>
  </si>
  <si>
    <t>مدام نيهال</t>
  </si>
  <si>
    <t>-630-30 وعليها 100مشوار</t>
  </si>
  <si>
    <t xml:space="preserve">   </t>
  </si>
  <si>
    <t>عهده يوسف</t>
  </si>
  <si>
    <t>خالص اخد80</t>
  </si>
  <si>
    <t>الفراخ 2</t>
  </si>
  <si>
    <t>70+70</t>
  </si>
  <si>
    <t xml:space="preserve">الجلاء ل اداب بن </t>
  </si>
  <si>
    <t xml:space="preserve">الاطعام 8 نيهال عبدالعزيز </t>
  </si>
  <si>
    <t xml:space="preserve">-ميه وعصير عبدالرحمن </t>
  </si>
  <si>
    <t>نيهال من خطاب</t>
  </si>
  <si>
    <t xml:space="preserve">محمد فراخ ثالث مره </t>
  </si>
  <si>
    <t xml:space="preserve">نفين ايمن ل عبدالسلام عارف +توريل </t>
  </si>
  <si>
    <t>ص</t>
  </si>
  <si>
    <t xml:space="preserve">روزي من توريل </t>
  </si>
  <si>
    <t xml:space="preserve">نيهال  ليها حاجه من احمد ماهر </t>
  </si>
  <si>
    <t xml:space="preserve">-مشتريات سينيه </t>
  </si>
  <si>
    <t>1145عبود</t>
  </si>
  <si>
    <t>485ابوعمار</t>
  </si>
  <si>
    <t>-500قبض يومين</t>
  </si>
  <si>
    <t>رز ل نهي عليها100</t>
  </si>
  <si>
    <t>مني الخولي 35+5ليها</t>
  </si>
  <si>
    <t>الجمعه</t>
  </si>
  <si>
    <t>ادويه600+35+500+35+300+35+</t>
  </si>
  <si>
    <t>1235انستا+1240كاش</t>
  </si>
  <si>
    <t>2لمياء سمان120</t>
  </si>
  <si>
    <t>600+35+1200+35</t>
  </si>
  <si>
    <t>ايمان اكل</t>
  </si>
  <si>
    <t>-550 متحول انستا</t>
  </si>
  <si>
    <t>فالكو</t>
  </si>
  <si>
    <t>سلوي الهدي والنور</t>
  </si>
  <si>
    <t>كفاله اسماء النجار و نيهال من برج نوران طلخا</t>
  </si>
  <si>
    <t>كفاله مبارك</t>
  </si>
  <si>
    <t>تمت التصفيه خالد</t>
  </si>
  <si>
    <t>من الموسسه لنهال</t>
  </si>
  <si>
    <t>-150 شحن رصيد نهال</t>
  </si>
  <si>
    <t>40مبارك</t>
  </si>
  <si>
    <t>3اظرف نهال</t>
  </si>
  <si>
    <t>-260 اوردر غاده</t>
  </si>
  <si>
    <t>نورا لرايا-50</t>
  </si>
  <si>
    <t>ساره ايمن50</t>
  </si>
  <si>
    <t>40+40+90</t>
  </si>
  <si>
    <t>كات ليدي-70 وعليهم مشوار</t>
  </si>
  <si>
    <t>ادهم-300</t>
  </si>
  <si>
    <t>سماح سلامه50</t>
  </si>
  <si>
    <t>كوريان هاوس50</t>
  </si>
  <si>
    <t>مني الخولي-50 ومحوله</t>
  </si>
  <si>
    <t>كفاله حنان</t>
  </si>
  <si>
    <t>كات ليدي عليها مشوار</t>
  </si>
  <si>
    <t>ليا100</t>
  </si>
  <si>
    <t>دونتس160+35</t>
  </si>
  <si>
    <t>اوتوبيسي-670</t>
  </si>
  <si>
    <t xml:space="preserve">كرسي من هشام ميديكال ل حماه نهال </t>
  </si>
  <si>
    <t>540 السيد</t>
  </si>
  <si>
    <t>100 سماح سلامه خارجي</t>
  </si>
  <si>
    <t>كات ليدي البوسطه</t>
  </si>
  <si>
    <t>المجد</t>
  </si>
  <si>
    <t>-85 مكتبه</t>
  </si>
  <si>
    <t>دنيا الخولي</t>
  </si>
  <si>
    <t>حولت</t>
  </si>
  <si>
    <t>3160+35</t>
  </si>
  <si>
    <t>كفاله الواتس 3*1 نيهال</t>
  </si>
  <si>
    <t>-250 سواق اسكندريه نيهال</t>
  </si>
  <si>
    <t>-460 مصاريف مكنه</t>
  </si>
  <si>
    <t>600 من الكاش</t>
  </si>
  <si>
    <t>مروه عاطف</t>
  </si>
  <si>
    <t xml:space="preserve">الاطعام </t>
  </si>
  <si>
    <t xml:space="preserve">نيهال الموقف الجديد قلم ندي </t>
  </si>
  <si>
    <t>بلاستر وكراتين 100</t>
  </si>
  <si>
    <t xml:space="preserve">اوردر نهال( 1395 +35)مش معايا  بيت نهال </t>
  </si>
  <si>
    <t>-220اوردر دميا الخولي</t>
  </si>
  <si>
    <t>6ام مريم -790</t>
  </si>
  <si>
    <t>-650 اوتوبيسي</t>
  </si>
  <si>
    <t>دونتس-150</t>
  </si>
  <si>
    <t>شريف احمد</t>
  </si>
  <si>
    <t xml:space="preserve">وئام هير ستور </t>
  </si>
  <si>
    <t>400+35</t>
  </si>
  <si>
    <t>7 توزيع</t>
  </si>
  <si>
    <t>عم محمد</t>
  </si>
  <si>
    <t>بنزين-100</t>
  </si>
  <si>
    <t xml:space="preserve">السينما نيهال </t>
  </si>
  <si>
    <t xml:space="preserve">كات ليدي السواق </t>
  </si>
  <si>
    <t xml:space="preserve">سحب كاش نيهال عبدالرحمن وخالد </t>
  </si>
  <si>
    <t>الرز ابو ياسمين</t>
  </si>
  <si>
    <t>اميره الزغيبي</t>
  </si>
  <si>
    <t>عدن</t>
  </si>
  <si>
    <t>40+40</t>
  </si>
  <si>
    <t>دعاء زكي</t>
  </si>
  <si>
    <t>رصيد نهال</t>
  </si>
  <si>
    <t>جرينتش</t>
  </si>
  <si>
    <t>جهاد اخت احمد الشرقاوي 10</t>
  </si>
  <si>
    <t>395+320+460 وعليها</t>
  </si>
  <si>
    <t>695لها</t>
  </si>
  <si>
    <t>-100 عصير وبسكوت عبده</t>
  </si>
  <si>
    <t>اوتوبيسي نهال</t>
  </si>
  <si>
    <t>ساره هشام</t>
  </si>
  <si>
    <t>جايلان مبارك</t>
  </si>
  <si>
    <t>1625+35</t>
  </si>
  <si>
    <t>من الجلاء ل روزي</t>
  </si>
  <si>
    <t>-1330 الفايد</t>
  </si>
  <si>
    <t>2 مشوار رنجه</t>
  </si>
  <si>
    <t>1اطعام اسراء الجلاء</t>
  </si>
  <si>
    <t>-100 حلبه نهال</t>
  </si>
  <si>
    <t>------</t>
  </si>
  <si>
    <t>-950 رنجه وعليها مشوارين 70 نيهال عبجالعزيز</t>
  </si>
  <si>
    <t>عبده الي عمله</t>
  </si>
  <si>
    <t>اوردر نهال استلام من مندوب</t>
  </si>
  <si>
    <t>مش انا</t>
  </si>
  <si>
    <t xml:space="preserve">-70 شنط هدايا نهال </t>
  </si>
  <si>
    <t xml:space="preserve"> -20 عيش نهال </t>
  </si>
  <si>
    <t>اخت احمد الشرقاوي</t>
  </si>
  <si>
    <t>متحول+170+40+245+405</t>
  </si>
  <si>
    <t>ساره ايمن</t>
  </si>
  <si>
    <t>الحاجه سكينه</t>
  </si>
  <si>
    <t>165+35</t>
  </si>
  <si>
    <t>بن نهال توريل</t>
  </si>
  <si>
    <t>-105 قصب نيهال</t>
  </si>
  <si>
    <t>-100 بنزين</t>
  </si>
  <si>
    <t>245+35</t>
  </si>
  <si>
    <t>من عزه اكل ام طارق</t>
  </si>
  <si>
    <t>165+35+140+35</t>
  </si>
  <si>
    <t>رنا رفعت</t>
  </si>
  <si>
    <t>40+40+30+40+50-كاش1640</t>
  </si>
  <si>
    <t>2990 لها معايا</t>
  </si>
  <si>
    <t xml:space="preserve">من نهي ل روزي و العكس </t>
  </si>
  <si>
    <t>بيراميزا</t>
  </si>
  <si>
    <t>زيزي دونتس</t>
  </si>
  <si>
    <t>170+180+70</t>
  </si>
  <si>
    <t>امل</t>
  </si>
  <si>
    <t>-420 محوله</t>
  </si>
  <si>
    <t xml:space="preserve">اميره فريد </t>
  </si>
  <si>
    <t xml:space="preserve">مها سنتر النيل </t>
  </si>
  <si>
    <t>6215+35</t>
  </si>
  <si>
    <t>-100لب</t>
  </si>
  <si>
    <t>-100عصير+مكنه</t>
  </si>
  <si>
    <t>\</t>
  </si>
  <si>
    <t>الاطعام 10</t>
  </si>
  <si>
    <t xml:space="preserve">جيلي خطاب ل نهال 100- وعليها مشوار </t>
  </si>
  <si>
    <t xml:space="preserve">نهال لنفين </t>
  </si>
  <si>
    <t>اميره مشعل 70</t>
  </si>
  <si>
    <t xml:space="preserve">نيهال ل تيته سوسو </t>
  </si>
  <si>
    <t>مريم جمال 350+30</t>
  </si>
  <si>
    <t>العباسي ل توريل 35</t>
  </si>
  <si>
    <t>فالكون 110</t>
  </si>
  <si>
    <t>لمياء سمان</t>
  </si>
  <si>
    <t>ساره ايمن هتحول ل عبده</t>
  </si>
  <si>
    <t>-535 وحول</t>
  </si>
  <si>
    <t>4ندي وجيه</t>
  </si>
  <si>
    <t>حولت140</t>
  </si>
  <si>
    <t>-1920 سجاير نهال  كاش</t>
  </si>
  <si>
    <t>المقدم عليه مشوار</t>
  </si>
  <si>
    <t>-125 عبده بيبسي و شيبسي</t>
  </si>
  <si>
    <t>300عهده</t>
  </si>
  <si>
    <t>1050+35</t>
  </si>
  <si>
    <t>اخت نورا</t>
  </si>
  <si>
    <t>حولت35</t>
  </si>
  <si>
    <t>-150 ميكانيكي</t>
  </si>
  <si>
    <t>-620 اوتوبيسي نهال</t>
  </si>
  <si>
    <t>علاج من نهال لحماتها  عبدالرحمن 19/4 الساعه 12 بليل</t>
  </si>
  <si>
    <t>-330دوا</t>
  </si>
  <si>
    <t>-30كراتين</t>
  </si>
  <si>
    <t>ليا 145</t>
  </si>
  <si>
    <t>345ليا</t>
  </si>
  <si>
    <t>رز نهال</t>
  </si>
  <si>
    <t>3*50</t>
  </si>
  <si>
    <t>اكل ام مصطفي نهال</t>
  </si>
  <si>
    <t>اكل ش10 نهال</t>
  </si>
  <si>
    <t>1500+70 مني الخولي</t>
  </si>
  <si>
    <t>-20 فول وطعميه</t>
  </si>
  <si>
    <t>-75 مفاتيح عبده</t>
  </si>
  <si>
    <t>مارسيليا</t>
  </si>
  <si>
    <t>البيض نهال مش موجود</t>
  </si>
  <si>
    <t>عليهامشوار</t>
  </si>
  <si>
    <t>نورا</t>
  </si>
  <si>
    <t>ورق المحكمه</t>
  </si>
  <si>
    <t>محول70</t>
  </si>
  <si>
    <t>زغلول</t>
  </si>
  <si>
    <t>محمد الصارووخ</t>
  </si>
  <si>
    <t>السيد رمصان</t>
  </si>
  <si>
    <t>الترعه</t>
  </si>
  <si>
    <t>محوله50</t>
  </si>
  <si>
    <t>الصينه نهال</t>
  </si>
  <si>
    <t>عليها70</t>
  </si>
  <si>
    <t>مها سنتر النيل-1050قديم</t>
  </si>
  <si>
    <t>د.نورا تقسيم خطاب</t>
  </si>
  <si>
    <t>330+35</t>
  </si>
  <si>
    <t>ظرف ال20000نهال</t>
  </si>
  <si>
    <t>مني بن</t>
  </si>
  <si>
    <t>من الشيف عزه ام طارق و تيته سوسو</t>
  </si>
  <si>
    <t>تبع موني موسي</t>
  </si>
  <si>
    <t>مي بنت عمو ابراهيم نهال</t>
  </si>
  <si>
    <t xml:space="preserve"> متولي </t>
  </si>
  <si>
    <t>580 بالتوصيل</t>
  </si>
  <si>
    <t>-100بنزن</t>
  </si>
  <si>
    <t>عزبع عقل</t>
  </si>
  <si>
    <t>430 كاش</t>
  </si>
  <si>
    <t>-40 زراير</t>
  </si>
  <si>
    <t>حسابات شهر ( 3 )</t>
  </si>
  <si>
    <t xml:space="preserve">عمر البربري </t>
  </si>
  <si>
    <t xml:space="preserve">بلال فودة </t>
  </si>
  <si>
    <t xml:space="preserve">حسن عبدالحفيظ </t>
  </si>
  <si>
    <t>2×35=70</t>
  </si>
  <si>
    <t xml:space="preserve">عهدة </t>
  </si>
  <si>
    <t xml:space="preserve">اجمالي </t>
  </si>
  <si>
    <t xml:space="preserve">محمود الجمال </t>
  </si>
  <si>
    <t xml:space="preserve">معايا </t>
  </si>
  <si>
    <t>باقي عليا</t>
  </si>
  <si>
    <t xml:space="preserve">مشوار رشا </t>
  </si>
  <si>
    <t xml:space="preserve">مشوار ام سيف لنهال </t>
  </si>
  <si>
    <t xml:space="preserve">اجمالي التوصيل </t>
  </si>
  <si>
    <t>عبدو له 360</t>
  </si>
  <si>
    <t xml:space="preserve">عصير نهال </t>
  </si>
  <si>
    <t xml:space="preserve">-330وعبدالرحمن 140 </t>
  </si>
  <si>
    <t xml:space="preserve">اميز </t>
  </si>
  <si>
    <t xml:space="preserve">من الدمياطي 2 رز جمبري </t>
  </si>
  <si>
    <t xml:space="preserve">عهدة جديد </t>
  </si>
  <si>
    <t>500+50</t>
  </si>
  <si>
    <t xml:space="preserve">نورا برايا ل البرامات </t>
  </si>
  <si>
    <t>علليها توصيل وعليها تمن البرامات  250</t>
  </si>
  <si>
    <t xml:space="preserve">نورا برايا ل الاستاد ب معاذ </t>
  </si>
  <si>
    <t xml:space="preserve">عليها مشوار رايح جاي مع انتظار لمدة 20 ديقيقة </t>
  </si>
  <si>
    <t>نورا برايا اللبن</t>
  </si>
  <si>
    <t xml:space="preserve">مكنش في لبن عند الراجل بس عليها مشوار </t>
  </si>
  <si>
    <t xml:space="preserve">-490 من ملفوف وعليها مشوار رايح جاي </t>
  </si>
  <si>
    <t>باقي 215</t>
  </si>
  <si>
    <t xml:space="preserve">عليا </t>
  </si>
  <si>
    <t xml:space="preserve">قبض 100+165 من اليوم الي قبله </t>
  </si>
  <si>
    <t xml:space="preserve">265 اجمالي </t>
  </si>
  <si>
    <t xml:space="preserve">نورا برايا 6 </t>
  </si>
  <si>
    <t xml:space="preserve">دا حسابي بدون حساب اوردرات نورا برايا </t>
  </si>
  <si>
    <t>انت ليك 220</t>
  </si>
  <si>
    <t>توتال شغل 355</t>
  </si>
  <si>
    <t>قبض 270</t>
  </si>
  <si>
    <t>انت ليك 490</t>
  </si>
  <si>
    <t xml:space="preserve">خدت 400 من ابو حبيبه </t>
  </si>
  <si>
    <t xml:space="preserve">دفعت 40 تمن كورة سيليا </t>
  </si>
  <si>
    <t>ليك  يا عمر يا بربري 130 ج</t>
  </si>
  <si>
    <t xml:space="preserve">عمر </t>
  </si>
  <si>
    <t xml:space="preserve">5توزيع </t>
  </si>
  <si>
    <t xml:space="preserve">البطه لبيتها </t>
  </si>
  <si>
    <t xml:space="preserve">2 هايدي قناة السويس </t>
  </si>
  <si>
    <t xml:space="preserve">3 شيماء سليمان </t>
  </si>
  <si>
    <t>300+35+150+35+135+35</t>
  </si>
  <si>
    <t xml:space="preserve">ظرف توريل نهال وفيه 2000 </t>
  </si>
  <si>
    <t>عليها 35</t>
  </si>
  <si>
    <t xml:space="preserve">من نهال لمدام نبيله رايح جاي </t>
  </si>
  <si>
    <t xml:space="preserve"> عليها 70</t>
  </si>
  <si>
    <t xml:space="preserve">اخدت 815 من السيد </t>
  </si>
  <si>
    <t>معاك 1500</t>
  </si>
  <si>
    <t xml:space="preserve">الشادر نيهال عبدالعزيز </t>
  </si>
  <si>
    <t xml:space="preserve">عليها مشوارين </t>
  </si>
  <si>
    <t xml:space="preserve">كرتونتين للمخزن الصوصات </t>
  </si>
  <si>
    <t xml:space="preserve">اسماء النجار </t>
  </si>
  <si>
    <t>الشغل</t>
  </si>
  <si>
    <t xml:space="preserve">-30 فلتر بنزين -35 ال3 رؤس </t>
  </si>
  <si>
    <t xml:space="preserve">باقي لعمر </t>
  </si>
  <si>
    <t>ومعايا 240 تصفيه خالد</t>
  </si>
  <si>
    <t>يوم الخميس</t>
  </si>
  <si>
    <t>معاك 1465</t>
  </si>
  <si>
    <t>عمر البربري</t>
  </si>
  <si>
    <t xml:space="preserve">4 اطعام نهال </t>
  </si>
  <si>
    <t xml:space="preserve">اطعام محمد الشربيني ميت بدر </t>
  </si>
  <si>
    <t xml:space="preserve">مشوار ثقه </t>
  </si>
  <si>
    <t xml:space="preserve">عليها 35 تم التحويل لعبدو </t>
  </si>
  <si>
    <t>من النخله لاحمد ماهر</t>
  </si>
  <si>
    <t>2 شي اونلي</t>
  </si>
  <si>
    <t xml:space="preserve">4 اسماء النجار </t>
  </si>
  <si>
    <t xml:space="preserve">9 ايه ستور </t>
  </si>
  <si>
    <t>35×9=315</t>
  </si>
  <si>
    <t>كنت استلمت 11 وحاسبتها علي كلو600-350</t>
  </si>
  <si>
    <t>430+50 مع يوسف -50 ليوسف -70-80-15 واخدت منه 265</t>
  </si>
  <si>
    <t>حساب خالد كان 240 من اليوم الي قبله وخدتهم مكان 235 بتوعي</t>
  </si>
  <si>
    <t>5000+170 من عبود</t>
  </si>
  <si>
    <t xml:space="preserve">نيو بيبي نبروة </t>
  </si>
  <si>
    <t xml:space="preserve">90 توصيل </t>
  </si>
  <si>
    <t xml:space="preserve">سينيه نشا </t>
  </si>
  <si>
    <t>7870+120</t>
  </si>
  <si>
    <t xml:space="preserve">سينيه نبروة </t>
  </si>
  <si>
    <t>2720+90</t>
  </si>
  <si>
    <t xml:space="preserve">اوردر لبلال فودة </t>
  </si>
  <si>
    <t xml:space="preserve">حول 1500 +50 توصيل لعمر كاش </t>
  </si>
  <si>
    <t xml:space="preserve">عليها 500 ومشوار 40 عليها </t>
  </si>
  <si>
    <t xml:space="preserve">نورا برايا اطعام حي الجامعه </t>
  </si>
  <si>
    <t>دفعت 50 معسل لعبدو</t>
  </si>
  <si>
    <t xml:space="preserve">خدت 395 من يوسف </t>
  </si>
  <si>
    <t xml:space="preserve">اديت 3000 لعبدو امبارح </t>
  </si>
  <si>
    <t xml:space="preserve">الحلويات اسماء النجار </t>
  </si>
  <si>
    <t xml:space="preserve">الحلويات ووجبه لاسماء نفسها </t>
  </si>
  <si>
    <t xml:space="preserve">ابو موسي تبع اسماء </t>
  </si>
  <si>
    <t>ابو انس تبع اسماء</t>
  </si>
  <si>
    <t>-170زيزي دونتس وحولت لعبدو 170+35 يعني 205</t>
  </si>
  <si>
    <t xml:space="preserve">من نهال لنهي </t>
  </si>
  <si>
    <t>60+50 عليها</t>
  </si>
  <si>
    <t>من نهال لبيلا</t>
  </si>
  <si>
    <t xml:space="preserve">من نهي لبيلا </t>
  </si>
  <si>
    <t xml:space="preserve">من مشعل لمحل زوكي توريل </t>
  </si>
  <si>
    <t>-100 استك</t>
  </si>
  <si>
    <t xml:space="preserve">-40 سواق بيلا </t>
  </si>
  <si>
    <t xml:space="preserve">-600 عيش و فول نورا برايا </t>
  </si>
  <si>
    <t>عليها مشوار وديت كل السحور لها 35</t>
  </si>
  <si>
    <t xml:space="preserve">نورا برايا عليها مشوار الجلاء محل 35 وهي حولت حساب القطعه للراجل </t>
  </si>
  <si>
    <t xml:space="preserve">نورا بريا عليها 3 توزيع سحور </t>
  </si>
  <si>
    <t>عليها 3×35 = 105</t>
  </si>
  <si>
    <t xml:space="preserve">هدوم من خطاب لنهال </t>
  </si>
  <si>
    <t xml:space="preserve">هدوم هبه المرسي جيهان </t>
  </si>
  <si>
    <t xml:space="preserve">يسري العدوي من عندها لشفيقة نصر </t>
  </si>
  <si>
    <t xml:space="preserve">الصافي لعمر </t>
  </si>
  <si>
    <t xml:space="preserve">كان معايا 1550 بتوع بلال كاش </t>
  </si>
  <si>
    <t xml:space="preserve">باقي مع عمر </t>
  </si>
  <si>
    <t xml:space="preserve">عمر حول 1000 لعبدو </t>
  </si>
  <si>
    <t>من نهال لنهي والعكس</t>
  </si>
  <si>
    <t xml:space="preserve">عليها 70 </t>
  </si>
  <si>
    <t xml:space="preserve">نورين من محل سيف </t>
  </si>
  <si>
    <t xml:space="preserve">الخضري وديت لها وخدت واحد لسامي الجمل </t>
  </si>
  <si>
    <t xml:space="preserve">دفعت 70 </t>
  </si>
  <si>
    <t xml:space="preserve">640+35 زاك لجيهان </t>
  </si>
  <si>
    <t xml:space="preserve">من نهي لبيلا -40 سواق </t>
  </si>
  <si>
    <t xml:space="preserve">كحك نهال من طلخا لها </t>
  </si>
  <si>
    <t xml:space="preserve">-170 موز وكانتلوب </t>
  </si>
  <si>
    <t xml:space="preserve">كحك من نهال لنهي </t>
  </si>
  <si>
    <t>3 ام مريم 1565+50 / 50 / 450+50</t>
  </si>
  <si>
    <t xml:space="preserve">435+40 سماح سلامه </t>
  </si>
  <si>
    <t xml:space="preserve">خدت 140 من يوسف الصغير واديته 350 بمعرفة عبدو </t>
  </si>
  <si>
    <t>عبدو خد 2500</t>
  </si>
  <si>
    <t xml:space="preserve">280+35 كيس اخضر كان ف المكتب </t>
  </si>
  <si>
    <t xml:space="preserve">اوردر من عبود </t>
  </si>
  <si>
    <t>190+35</t>
  </si>
  <si>
    <t xml:space="preserve">تمت المراجعة يوم 5 أبريل واكتشف انه اتخصم مرتين كدا عليا 240 لعبدو </t>
  </si>
  <si>
    <t>من محل سيف لنهي اخت نهال</t>
  </si>
  <si>
    <t xml:space="preserve">-220 وعليها 35 توصيل </t>
  </si>
  <si>
    <t xml:space="preserve">تم المراجعة يوم 30/3 ولم يحسب </t>
  </si>
  <si>
    <t xml:space="preserve">-20 ابو يس موقف اوردرات سماح سلامه </t>
  </si>
  <si>
    <t xml:space="preserve">حولت لعبدو 700 كاش </t>
  </si>
  <si>
    <t>كدا ليا 745</t>
  </si>
  <si>
    <t xml:space="preserve">يارا عاطف </t>
  </si>
  <si>
    <t xml:space="preserve">حولت لعبدو 70 وبتقول كان لها 560 وحاسبت 30 مشوار من قناة السويس لطلخا </t>
  </si>
  <si>
    <t xml:space="preserve">من نورا برايا للجامع عند الاستاد انا والسيد وعليها اوردر لكل واحد </t>
  </si>
  <si>
    <t xml:space="preserve">بلال فوده </t>
  </si>
  <si>
    <t>عليا بروتين</t>
  </si>
  <si>
    <t xml:space="preserve">السيد خدت منه 500 </t>
  </si>
  <si>
    <t xml:space="preserve">اخدت 100 كاش من عبدو </t>
  </si>
  <si>
    <t xml:space="preserve">من الخان لعصام مصطفي </t>
  </si>
  <si>
    <t xml:space="preserve">شاوة </t>
  </si>
  <si>
    <t>2545+120</t>
  </si>
  <si>
    <t xml:space="preserve">سماح سلامة السنبلاوين </t>
  </si>
  <si>
    <t>1055+120</t>
  </si>
  <si>
    <t xml:space="preserve">سينية السنبلاوين </t>
  </si>
  <si>
    <t>1730+150</t>
  </si>
  <si>
    <t xml:space="preserve">السنبلاوين الكيس الاخضر </t>
  </si>
  <si>
    <t>440+170</t>
  </si>
  <si>
    <t xml:space="preserve">2 الزقازيق so els </t>
  </si>
  <si>
    <t>3000+300 و 250</t>
  </si>
  <si>
    <t>انا سبت يومها 8680</t>
  </si>
  <si>
    <t>يعني ليا 150 غير 745 فوق كدا ليا 895</t>
  </si>
  <si>
    <t>عمر له 895</t>
  </si>
  <si>
    <t>نيو بيبي 3</t>
  </si>
  <si>
    <t>390+130+790</t>
  </si>
  <si>
    <t>شحن120</t>
  </si>
  <si>
    <t>بسمه توريل 35</t>
  </si>
  <si>
    <t>ام باسم 100</t>
  </si>
  <si>
    <t xml:space="preserve"> ريم الخولي -400</t>
  </si>
  <si>
    <t xml:space="preserve">500دفعت </t>
  </si>
  <si>
    <t xml:space="preserve">نيو بيبي 780+170نبروة </t>
  </si>
  <si>
    <t>سينيه ام محمد 2230+170</t>
  </si>
  <si>
    <t xml:space="preserve">نورا برايا -550 بنطلون اختها </t>
  </si>
  <si>
    <t xml:space="preserve">وعليها مشوار </t>
  </si>
  <si>
    <t xml:space="preserve">نورا برايا منها للترعه </t>
  </si>
  <si>
    <t xml:space="preserve">نهي اخت نيهال عبدالعزيز -220 </t>
  </si>
  <si>
    <t xml:space="preserve">ايمان محمد 2100+150 سينيه </t>
  </si>
  <si>
    <t xml:space="preserve">-500 ساره </t>
  </si>
  <si>
    <t>سماد 70</t>
  </si>
  <si>
    <t xml:space="preserve">حولت 500 لرقم عبدو بعته </t>
  </si>
  <si>
    <t xml:space="preserve">عليا 1700 لعبدو تصليح الفون خالد دفعهم </t>
  </si>
  <si>
    <t>باقي المفروض 5200 وسبت 5010 يعني عليا 190</t>
  </si>
  <si>
    <t>ليا 895 وعليا 1700 + 190</t>
  </si>
  <si>
    <t>يعني عليا 995</t>
  </si>
  <si>
    <t xml:space="preserve">رز نيهال لموقف بيلا 100و50 سواق </t>
  </si>
  <si>
    <t>2 اخت نورا برايا توزيع حي الجامعة والدراسات وعليها 70</t>
  </si>
  <si>
    <t>اخدت 1290 من محمد الاسكندراني يوم 23/3</t>
  </si>
  <si>
    <t>مشوار ثقه عليها  85 وعليها 515</t>
  </si>
  <si>
    <t xml:space="preserve">عبدو ادي لعمر 1000 تحت احساب </t>
  </si>
  <si>
    <t xml:space="preserve">عمر حول لعبدو 350 كاش </t>
  </si>
  <si>
    <t xml:space="preserve">توتال </t>
  </si>
  <si>
    <t xml:space="preserve">الباقي </t>
  </si>
  <si>
    <t>باقي عليا 500</t>
  </si>
  <si>
    <t xml:space="preserve">سايب 1715 في الدرج بمعرفه عمر البربري </t>
  </si>
  <si>
    <t xml:space="preserve">2 مني الخولي </t>
  </si>
  <si>
    <t>50+40</t>
  </si>
  <si>
    <t xml:space="preserve">عليك 500ج </t>
  </si>
  <si>
    <t xml:space="preserve">بسمه توريل لسعد الشربيني </t>
  </si>
  <si>
    <t xml:space="preserve">الجلاء للشيخة عائشة </t>
  </si>
  <si>
    <t xml:space="preserve">لينك لطلخا </t>
  </si>
  <si>
    <t xml:space="preserve">الحسيني الترعة للترعة </t>
  </si>
  <si>
    <t xml:space="preserve">من طلخا للسلام دوا </t>
  </si>
  <si>
    <t xml:space="preserve">سماح سلامة من ريماس للالبان </t>
  </si>
  <si>
    <t>دفت 3400وعليا 200</t>
  </si>
  <si>
    <t>-225 وعليه 40 مشوار تم التحويل لعبدو</t>
  </si>
  <si>
    <t xml:space="preserve">فون عبدو </t>
  </si>
  <si>
    <t>من سامية الجمل لطلخا</t>
  </si>
  <si>
    <t xml:space="preserve">نبروة سينيه درين </t>
  </si>
  <si>
    <t xml:space="preserve">5550+150 تم التحويل لعبدو </t>
  </si>
  <si>
    <t xml:space="preserve">سينيه نبروة نشا </t>
  </si>
  <si>
    <t>6150+170</t>
  </si>
  <si>
    <t xml:space="preserve">سينيه بطرة </t>
  </si>
  <si>
    <t>1330+150</t>
  </si>
  <si>
    <t>كان عليا 200يبقي ليا 220</t>
  </si>
  <si>
    <t xml:space="preserve">كان في اوردر لسماحة سلامة يوم 18 حسابه كان 435+40 ومحسبناهوش يومها كدا عليا 435 </t>
  </si>
  <si>
    <t xml:space="preserve">ندي عليوة </t>
  </si>
  <si>
    <t>470+40</t>
  </si>
  <si>
    <t xml:space="preserve">من الموقف الجديد لتوريل </t>
  </si>
  <si>
    <t xml:space="preserve">من المشاية للعباسي </t>
  </si>
  <si>
    <t xml:space="preserve">نيو بيبي للدراسات </t>
  </si>
  <si>
    <t xml:space="preserve">من رشدي لطلخا </t>
  </si>
  <si>
    <t>140+60</t>
  </si>
  <si>
    <t xml:space="preserve">عليا 435 دفعت 225باقي 210 </t>
  </si>
  <si>
    <t>نبروة 120</t>
  </si>
  <si>
    <t>البطاقه والفستان40</t>
  </si>
  <si>
    <t xml:space="preserve">نفين ايمن 1675- وعليها مشوارين </t>
  </si>
  <si>
    <t xml:space="preserve">دفعت 330 </t>
  </si>
  <si>
    <t>وسام 40</t>
  </si>
  <si>
    <t>الخضار رحاب 50</t>
  </si>
  <si>
    <t xml:space="preserve"> عليك باقي 210</t>
  </si>
  <si>
    <t xml:space="preserve">الاثنين </t>
  </si>
  <si>
    <t>اوردر نهي يوم 17 مشويات من عند سيف ليا 220 وحساب مشوار 35</t>
  </si>
  <si>
    <t>كدا ليا 220+25 = 245</t>
  </si>
  <si>
    <t>وكان عليا 210</t>
  </si>
  <si>
    <t xml:space="preserve">كدا عمر له 35 </t>
  </si>
  <si>
    <t>اكتشفنا اني حاسبت علي اوردر سماح سلامه يوم 17 وكان ب 435 كدا ليا 225 كنت اديتهملك + 245</t>
  </si>
  <si>
    <t>كدا ليا 470</t>
  </si>
  <si>
    <t>الصعيدي 100</t>
  </si>
  <si>
    <t xml:space="preserve">الفطار </t>
  </si>
  <si>
    <t xml:space="preserve">حولت لعبدو 255 علي الكاش من الي عليا </t>
  </si>
  <si>
    <t xml:space="preserve">كان ليا 470 يعني عمر له </t>
  </si>
  <si>
    <t>400-</t>
  </si>
  <si>
    <t xml:space="preserve">كان لك 800 انستا باي مشوارالمرور يعني عبدو له </t>
  </si>
  <si>
    <t xml:space="preserve">نبروة ام محمد 1990 +170 سينيه </t>
  </si>
  <si>
    <t>لينك ل الحواوشه 100ج</t>
  </si>
  <si>
    <t xml:space="preserve">فالكون ل اجا 250 </t>
  </si>
  <si>
    <t xml:space="preserve">هيحول 170 لعبدو </t>
  </si>
  <si>
    <t xml:space="preserve">باقي 1990 وعليا 400 زي ما هم </t>
  </si>
  <si>
    <t xml:space="preserve">الجمعة </t>
  </si>
  <si>
    <t xml:space="preserve">نورهان </t>
  </si>
  <si>
    <t xml:space="preserve">ادهم القعقاع </t>
  </si>
  <si>
    <t>عليه 150</t>
  </si>
  <si>
    <t xml:space="preserve">قبض محمد الاسكندراني </t>
  </si>
  <si>
    <t xml:space="preserve">السبت </t>
  </si>
  <si>
    <t xml:space="preserve">-1000 من عمر ل عم السسيد هيوصلها ل عم طارق </t>
  </si>
  <si>
    <t xml:space="preserve">هاند اند براند </t>
  </si>
  <si>
    <t>حول ٣٥ انستا لعبدو</t>
  </si>
  <si>
    <t xml:space="preserve">نهي اسماعيلية لنانسي </t>
  </si>
  <si>
    <t xml:space="preserve">-100 وعليها 40 مشوار </t>
  </si>
  <si>
    <t>حبيبه حولت لعبدو 50 و دفعت لابوها 400</t>
  </si>
  <si>
    <t xml:space="preserve">كفالة لابريل لنهال </t>
  </si>
  <si>
    <t xml:space="preserve">الفلوس من احمد ماهر </t>
  </si>
  <si>
    <t xml:space="preserve">اوردر شحن لنهال </t>
  </si>
  <si>
    <t xml:space="preserve">اخدت من عبود </t>
  </si>
  <si>
    <t>95+1400+600</t>
  </si>
  <si>
    <t xml:space="preserve">اديت 2500 لعبدو وباقي معايا </t>
  </si>
  <si>
    <t>وباقي عليا 400</t>
  </si>
  <si>
    <t xml:space="preserve"> و +240 اوردر مشويات سيف كان اتخصم مرتين يعني عليا 640</t>
  </si>
  <si>
    <t>290+50</t>
  </si>
  <si>
    <t xml:space="preserve">معايا 1070 يعني ناقص </t>
  </si>
  <si>
    <t xml:space="preserve">وعليا 640 يعني عليا </t>
  </si>
  <si>
    <t>المقدم 290+50</t>
  </si>
  <si>
    <t>عليه 800 تمت لصفيه يوم 12/4/2026</t>
  </si>
  <si>
    <t xml:space="preserve">من نهال لنهي والعكس ومن نهال لبيلا </t>
  </si>
  <si>
    <t xml:space="preserve">-50 السواق </t>
  </si>
  <si>
    <t xml:space="preserve">من بيلا لنهال </t>
  </si>
  <si>
    <t xml:space="preserve">فالكون </t>
  </si>
  <si>
    <t>600+40</t>
  </si>
  <si>
    <t xml:space="preserve">المقدم عبدالخالق </t>
  </si>
  <si>
    <t xml:space="preserve">من نهال لتوريل فطير </t>
  </si>
  <si>
    <t xml:space="preserve">من نهال لتوريل رنجه </t>
  </si>
  <si>
    <t xml:space="preserve">جايلان لتوريل توصيل فقط علي الكاش </t>
  </si>
  <si>
    <t xml:space="preserve">خارجي الغربية </t>
  </si>
  <si>
    <t>باقي 410</t>
  </si>
  <si>
    <t xml:space="preserve">كان ليا 15 بقيت الفطار قول كدا عليا 400وخلاص </t>
  </si>
  <si>
    <t>باقي عليا 400+800 من امبارح = 1200</t>
  </si>
  <si>
    <t xml:space="preserve">زيزي + هناء النجار نهال برفيوم </t>
  </si>
  <si>
    <t xml:space="preserve">3 نهال الي  هناء النجار - زيزي درويش هدايا - كيسين لعمو مسعد </t>
  </si>
  <si>
    <t xml:space="preserve">من المقدم للمقدم </t>
  </si>
  <si>
    <t xml:space="preserve">- 55+14 عيش وشيبسي وبيبسي لعبدو </t>
  </si>
  <si>
    <t xml:space="preserve">كان عليا 1200 بعد خصم 225 بتقي عليا 975 </t>
  </si>
  <si>
    <t xml:space="preserve">يوم 15/4 </t>
  </si>
  <si>
    <t xml:space="preserve">دفعت 500 لعبدو وباقي عليا 475 </t>
  </si>
  <si>
    <t xml:space="preserve">جبت حجات من ادهم عليه 100 توصيل </t>
  </si>
  <si>
    <t xml:space="preserve">جبت اوردر من سالي مبارك عليها 35 توصيل </t>
  </si>
  <si>
    <t xml:space="preserve">بعد الخصم باقي 340 ج علي عمر </t>
  </si>
  <si>
    <t>16/4</t>
  </si>
  <si>
    <t>حولت 150 لعبدو كاش وباقي عليا 190</t>
  </si>
  <si>
    <t>اخدت 100 من عبود دفعت 50 كارت كهربا لعبدو وخدت 50</t>
  </si>
  <si>
    <t>ورحت اوردر للشيخ شريف 1200 + 50 توصيل اديت خالد 1000 وخدت 200</t>
  </si>
  <si>
    <t xml:space="preserve">كدا علي 200+50+190 </t>
  </si>
  <si>
    <t>كدا عليا 440</t>
  </si>
  <si>
    <t xml:space="preserve">اخت نورا الحجز </t>
  </si>
  <si>
    <t>-320 وعليها مشوار 50</t>
  </si>
  <si>
    <t xml:space="preserve">البوكس </t>
  </si>
  <si>
    <t xml:space="preserve">-230 وعليها 50 مشوار </t>
  </si>
  <si>
    <t>خالتو نهال عبدالعزيز</t>
  </si>
  <si>
    <t>ليا 50</t>
  </si>
  <si>
    <t>ليا 150</t>
  </si>
  <si>
    <t>كان عليا 440- 100= 340</t>
  </si>
  <si>
    <t>خدت 50 من القبض وسبت 100</t>
  </si>
  <si>
    <t xml:space="preserve">خدت 610 من عبود+2060 من يوسف العيوطي </t>
  </si>
  <si>
    <t>ادياك الفلوس وباقي عليا 340</t>
  </si>
  <si>
    <t xml:space="preserve">تمت المراجعه مع عبدالرحمن </t>
  </si>
  <si>
    <t>خدت كم عبدو 60 وباقي 400 يوم 21/4</t>
  </si>
  <si>
    <t xml:space="preserve"> ومعاه 335</t>
  </si>
  <si>
    <t>35+35</t>
  </si>
  <si>
    <t xml:space="preserve">جي ار </t>
  </si>
  <si>
    <t xml:space="preserve">ظرف نهال 3 واتس واحد </t>
  </si>
  <si>
    <t xml:space="preserve">وصلها </t>
  </si>
  <si>
    <t xml:space="preserve">دونتس </t>
  </si>
  <si>
    <t xml:space="preserve">35 و20 قديمه </t>
  </si>
  <si>
    <t xml:space="preserve"> حمدي مجمع المحاكم  ت نيهال </t>
  </si>
  <si>
    <t xml:space="preserve"> ام ليالي وام ابراهيم </t>
  </si>
  <si>
    <t xml:space="preserve">محمد وجيه ادويه </t>
  </si>
  <si>
    <t>1100+35+500+35</t>
  </si>
  <si>
    <t>وسا م</t>
  </si>
  <si>
    <t>-125وعليها 40</t>
  </si>
  <si>
    <t>عليه100</t>
  </si>
  <si>
    <t>اسماء النجار 2</t>
  </si>
  <si>
    <t>عيها 70</t>
  </si>
  <si>
    <t>الموقف عليها 35</t>
  </si>
  <si>
    <t xml:space="preserve">سوق الخواجات </t>
  </si>
  <si>
    <t xml:space="preserve"> المطافي الضحي </t>
  </si>
  <si>
    <t xml:space="preserve">حولت 35 </t>
  </si>
  <si>
    <t xml:space="preserve">بساط ادويه </t>
  </si>
  <si>
    <t>1200+100</t>
  </si>
  <si>
    <t>عهده 500+200</t>
  </si>
  <si>
    <t>توتال1925</t>
  </si>
  <si>
    <t>شغل320</t>
  </si>
  <si>
    <t>القبض240</t>
  </si>
  <si>
    <t>الصافي1685</t>
  </si>
  <si>
    <t xml:space="preserve">هنا </t>
  </si>
  <si>
    <t xml:space="preserve">اظرف نهال المجمعه </t>
  </si>
  <si>
    <t xml:space="preserve">-25صودا بسيوني </t>
  </si>
  <si>
    <t>عهدة100</t>
  </si>
  <si>
    <t>الشغل350</t>
  </si>
  <si>
    <t>القبض260</t>
  </si>
  <si>
    <t xml:space="preserve">100+30 , 320+35 , توصيل مجاني </t>
  </si>
  <si>
    <t>توصيل مجاني عليها 35</t>
  </si>
  <si>
    <t xml:space="preserve">مارسيليا </t>
  </si>
  <si>
    <t xml:space="preserve">بدون توصيل </t>
  </si>
  <si>
    <t xml:space="preserve">35 لم تدفع توصيل </t>
  </si>
  <si>
    <t xml:space="preserve">مقدم محمد بكر </t>
  </si>
  <si>
    <t xml:space="preserve">60 هيحول لعبدو </t>
  </si>
  <si>
    <t xml:space="preserve">إجمالي </t>
  </si>
  <si>
    <t xml:space="preserve">قبض </t>
  </si>
  <si>
    <t>باقي</t>
  </si>
  <si>
    <t>عبود</t>
  </si>
  <si>
    <t xml:space="preserve">6 اطعام </t>
  </si>
  <si>
    <t>ام مريم</t>
  </si>
  <si>
    <t xml:space="preserve">  -525  وعليها 35 مشوار </t>
  </si>
  <si>
    <t xml:space="preserve">اوردر التفاح 7 كيلو تفاح الكيلو 75 ج </t>
  </si>
  <si>
    <t xml:space="preserve">ام حنان تبع نهال </t>
  </si>
  <si>
    <t xml:space="preserve">سينيه ميت الكرما </t>
  </si>
  <si>
    <t>3640+100</t>
  </si>
  <si>
    <t>عهدة 600</t>
  </si>
  <si>
    <t>شيماء عبدالعزيز الساعة 3        من تشيكن كيكرز         لطلخا    40 توصيل     تم تحويل 1515 انستا باي للمطعم</t>
  </si>
  <si>
    <t>وسام                         تم تحويل 700 انستا باي         ومعاه 735</t>
  </si>
  <si>
    <t>35-40</t>
  </si>
  <si>
    <t xml:space="preserve">الاوردر كان ب360 وهي كان لها 80 اوردر قديم عند عمر عبود بقي اداها 400 يبقي هي لها 40 ج من القصه دي كلها فهمت ولا لسه يا معلم </t>
  </si>
  <si>
    <t xml:space="preserve">سمر مصباح </t>
  </si>
  <si>
    <t xml:space="preserve">لها 775 </t>
  </si>
  <si>
    <t xml:space="preserve">70 توصيل </t>
  </si>
  <si>
    <t xml:space="preserve">ايه رمضان </t>
  </si>
  <si>
    <t xml:space="preserve">محمود طاهر </t>
  </si>
  <si>
    <t xml:space="preserve">مبارك </t>
  </si>
  <si>
    <t xml:space="preserve">د.هبه انور </t>
  </si>
  <si>
    <t xml:space="preserve">حي الاشجار </t>
  </si>
  <si>
    <t xml:space="preserve">تيته سوسو </t>
  </si>
  <si>
    <t xml:space="preserve">طلخا </t>
  </si>
  <si>
    <t xml:space="preserve">اميره </t>
  </si>
  <si>
    <t xml:space="preserve">مينه محله الدمنه </t>
  </si>
  <si>
    <t xml:space="preserve">هايدي عليها -180بالشحن </t>
  </si>
  <si>
    <t xml:space="preserve">وسام </t>
  </si>
  <si>
    <t xml:space="preserve">طلخا المقدم </t>
  </si>
  <si>
    <t xml:space="preserve">بيبي نيو </t>
  </si>
  <si>
    <t>1255+50</t>
  </si>
  <si>
    <t>عليها مشوار 40</t>
  </si>
  <si>
    <t xml:space="preserve">احمد الجزار </t>
  </si>
  <si>
    <t xml:space="preserve">-420 و35 شحن </t>
  </si>
  <si>
    <t>حول 50</t>
  </si>
  <si>
    <t xml:space="preserve">هيفن </t>
  </si>
  <si>
    <t xml:space="preserve">له 250 و50 مشوار </t>
  </si>
  <si>
    <t xml:space="preserve">عبدالرحمن </t>
  </si>
  <si>
    <t>345+30</t>
  </si>
  <si>
    <t xml:space="preserve">من حي الجامعه للمستشفي العام </t>
  </si>
  <si>
    <t xml:space="preserve">7توزيع طلخا </t>
  </si>
  <si>
    <t xml:space="preserve">ذا شيف </t>
  </si>
  <si>
    <t>2اطعام لحمه نيهال عبدالعزيز</t>
  </si>
  <si>
    <t>عليها65</t>
  </si>
  <si>
    <t>بيلا-30</t>
  </si>
  <si>
    <t>عليها50</t>
  </si>
  <si>
    <t>نيهال ظرف طلخا تقسيم بهاء</t>
  </si>
  <si>
    <t>عليها40</t>
  </si>
  <si>
    <t>150+50+400+50+450+40+40</t>
  </si>
  <si>
    <t>مع خالد1120</t>
  </si>
  <si>
    <t xml:space="preserve">عبود\ </t>
  </si>
  <si>
    <t xml:space="preserve">حي الجامعه </t>
  </si>
  <si>
    <t>ابو يوسف 50 الطميهي +</t>
  </si>
  <si>
    <t>الجامع الاستاد</t>
  </si>
  <si>
    <t xml:space="preserve">هايدي </t>
  </si>
  <si>
    <t xml:space="preserve">-250و30 مشوار </t>
  </si>
  <si>
    <t>علينا ليها 185 +35</t>
  </si>
  <si>
    <t>ليها 700و35</t>
  </si>
  <si>
    <t>اطعام 9</t>
  </si>
  <si>
    <t xml:space="preserve">ابراهيم لينك </t>
  </si>
  <si>
    <t xml:space="preserve">محمد شلبي </t>
  </si>
  <si>
    <t xml:space="preserve">50+35 هيتحولو </t>
  </si>
  <si>
    <t>هيوصلهم بكرا الموقف</t>
  </si>
  <si>
    <t>اسماء النجار 7</t>
  </si>
  <si>
    <t xml:space="preserve">هند عوام </t>
  </si>
  <si>
    <t xml:space="preserve">احمد ماهر </t>
  </si>
  <si>
    <t xml:space="preserve">هتحول 35 من نقابه الاطباء ليها </t>
  </si>
  <si>
    <t xml:space="preserve">كوريان هاوس </t>
  </si>
  <si>
    <t>50+35</t>
  </si>
  <si>
    <t>250الشحن 40</t>
  </si>
  <si>
    <t xml:space="preserve">ام مريم </t>
  </si>
  <si>
    <t>1100+45+1465+45+</t>
  </si>
  <si>
    <t>650+35+45</t>
  </si>
  <si>
    <t>نفين ايمن 4</t>
  </si>
  <si>
    <t>4×30=120</t>
  </si>
  <si>
    <t xml:space="preserve">كحله </t>
  </si>
  <si>
    <t xml:space="preserve">يمني </t>
  </si>
  <si>
    <t xml:space="preserve">اميرة الزغيبي </t>
  </si>
  <si>
    <t>نفين ايمن 2</t>
  </si>
  <si>
    <t>1780+40+30</t>
  </si>
  <si>
    <t xml:space="preserve">اسامه </t>
  </si>
  <si>
    <t xml:space="preserve">بهوت للقاهرة </t>
  </si>
  <si>
    <t xml:space="preserve">-400 عليها 300 توصيل </t>
  </si>
  <si>
    <t>له 270</t>
  </si>
  <si>
    <t>يارا عاطف -390</t>
  </si>
  <si>
    <t xml:space="preserve">مصنع مارسيليا </t>
  </si>
  <si>
    <t xml:space="preserve">يارا من المكتب </t>
  </si>
  <si>
    <t xml:space="preserve">2شيماء سليمان 150+حولت لشيماء </t>
  </si>
  <si>
    <t>شيماء ليها 115</t>
  </si>
  <si>
    <t xml:space="preserve">جايلان </t>
  </si>
  <si>
    <t>هايدي -120</t>
  </si>
  <si>
    <t xml:space="preserve">المواقف </t>
  </si>
  <si>
    <t xml:space="preserve">ابو السعود </t>
  </si>
  <si>
    <t>40+35</t>
  </si>
  <si>
    <t>قناه السويس عممراخده -190</t>
  </si>
  <si>
    <t xml:space="preserve">الموقف الجديد </t>
  </si>
  <si>
    <t>50+60</t>
  </si>
  <si>
    <t xml:space="preserve">نورا برايا 5 توزيع كفته +1اسكندريه </t>
  </si>
  <si>
    <t xml:space="preserve">سمير حولت </t>
  </si>
  <si>
    <t xml:space="preserve">امنيه ابراهيم </t>
  </si>
  <si>
    <t>نفين 400+40</t>
  </si>
  <si>
    <t xml:space="preserve">السلخانه </t>
  </si>
  <si>
    <t xml:space="preserve">الزغيبي </t>
  </si>
  <si>
    <t>يارا عاطف 580+40</t>
  </si>
  <si>
    <t>سينيه ميت مسعود 2210+150</t>
  </si>
  <si>
    <t>الشربيني كفر بهيده  100</t>
  </si>
  <si>
    <t>الشربيني منه ميت غمر 9220+120</t>
  </si>
  <si>
    <t>الشربيني رحمه 885+100</t>
  </si>
  <si>
    <t>الشربيني موده 100</t>
  </si>
  <si>
    <t>الشربيني محمد السيسي 1565+100</t>
  </si>
  <si>
    <t>الشربيني هدير صلاح 1845+120</t>
  </si>
  <si>
    <t>نورا 100</t>
  </si>
  <si>
    <t>سينيه مسعود100</t>
  </si>
  <si>
    <t>الاطعام 8</t>
  </si>
  <si>
    <t>دينا هوت ميكس 910-</t>
  </si>
  <si>
    <t>سينيه 710+80</t>
  </si>
  <si>
    <t>هايدي 30</t>
  </si>
  <si>
    <t>عبدالرحمن 24/3</t>
  </si>
  <si>
    <t>نيو بيبي 40+40</t>
  </si>
  <si>
    <t>ام باسم عليها</t>
  </si>
  <si>
    <t>عليها مشوار35</t>
  </si>
  <si>
    <t>مصر الطيران 30</t>
  </si>
  <si>
    <t>اسماء النجار 245</t>
  </si>
  <si>
    <t>منه 35</t>
  </si>
  <si>
    <t xml:space="preserve">نورا برايا العباسي عليها مشوار </t>
  </si>
  <si>
    <t xml:space="preserve">نشا -25 واللبن -175 </t>
  </si>
  <si>
    <t>سينيه لسندوب حول الشحن ابو جوري</t>
  </si>
  <si>
    <t>الشوا 35</t>
  </si>
  <si>
    <t>الهدي والنور 40</t>
  </si>
  <si>
    <t>3 لحمه 90</t>
  </si>
  <si>
    <t xml:space="preserve">سلكا 1020+150سماح سلامه </t>
  </si>
  <si>
    <t xml:space="preserve">محمد وجيه </t>
  </si>
  <si>
    <t>ام باسم 80</t>
  </si>
  <si>
    <t xml:space="preserve">عصفور كيك </t>
  </si>
  <si>
    <t xml:space="preserve">نيو بيبي 2 الدرسات ومبارك </t>
  </si>
  <si>
    <t xml:space="preserve"> ل نيو بيبي داخلي مع عبود </t>
  </si>
  <si>
    <t>عليا مبارك</t>
  </si>
  <si>
    <t xml:space="preserve">هيفن ل احمد ماهر </t>
  </si>
  <si>
    <t xml:space="preserve">نورا برايا موز 5 ك </t>
  </si>
  <si>
    <t xml:space="preserve">-175 وعيها مشوار </t>
  </si>
  <si>
    <t xml:space="preserve">الاوتبيس الجديد </t>
  </si>
  <si>
    <t xml:space="preserve">نيهال عبدالعزيز 2 ماجده والكتب </t>
  </si>
  <si>
    <t>الشربيني 40</t>
  </si>
  <si>
    <t xml:space="preserve">تمت التصفيه </t>
  </si>
  <si>
    <t xml:space="preserve">شريف نضارات </t>
  </si>
  <si>
    <t xml:space="preserve">مقدم محمود بكري </t>
  </si>
  <si>
    <t xml:space="preserve">عليه 50 مشوار </t>
  </si>
  <si>
    <t xml:space="preserve">2نيو بيبي </t>
  </si>
  <si>
    <t xml:space="preserve">   1140+35 + 630+60</t>
  </si>
  <si>
    <t xml:space="preserve">3 نفين ايمن </t>
  </si>
  <si>
    <t xml:space="preserve">35 + 635 + 2900 بالتوصيل </t>
  </si>
  <si>
    <t xml:space="preserve">3 نهي اخت نهال </t>
  </si>
  <si>
    <t xml:space="preserve">-150 نهي  وعليها 3 مشاوير </t>
  </si>
  <si>
    <t xml:space="preserve">توصب الشاشة + من ايات لنهي + حامل شاشة من عوض سراج لنهي </t>
  </si>
  <si>
    <t xml:space="preserve">ام فاطه الزهراء رضي الله عنها </t>
  </si>
  <si>
    <t>لينك 35</t>
  </si>
  <si>
    <t xml:space="preserve">الجمل 825+35 وعليه مشوار </t>
  </si>
  <si>
    <t>دونتس 35</t>
  </si>
  <si>
    <t>نيهال عبدالعزيز -450 فسيخ وعليها مشوار والعيش -20</t>
  </si>
  <si>
    <t>المنسي ادويه جديله 1200+35 حولت كاش</t>
  </si>
  <si>
    <t>ميت عنتر حسن 60</t>
  </si>
  <si>
    <t>الحاج اسامه 75 -925 +550</t>
  </si>
  <si>
    <t>-200 + 35</t>
  </si>
  <si>
    <t xml:space="preserve">متولي المول </t>
  </si>
  <si>
    <t xml:space="preserve">-290 وعليها 35 توصيل </t>
  </si>
  <si>
    <t xml:space="preserve">توريل لحي الجامعة </t>
  </si>
  <si>
    <t xml:space="preserve">د نرمين </t>
  </si>
  <si>
    <t xml:space="preserve">-150 وعليها 35 مشوار </t>
  </si>
  <si>
    <t xml:space="preserve">2 محمد مختار </t>
  </si>
  <si>
    <t xml:space="preserve">حول لعبدو 310 </t>
  </si>
  <si>
    <t>نفين ايمن 100</t>
  </si>
  <si>
    <t>الحاج اسامه له 465+50</t>
  </si>
  <si>
    <t>ش شريف 35</t>
  </si>
  <si>
    <t xml:space="preserve">نورا برياا -325 كتاب ومشوار </t>
  </si>
  <si>
    <t>المستشفي اعالم 35</t>
  </si>
  <si>
    <t>سنتر  انيل 30</t>
  </si>
  <si>
    <t xml:space="preserve">اميره فريد عليها مشوار </t>
  </si>
  <si>
    <t xml:space="preserve">مهي اخت نيهال عبدالعزيز </t>
  </si>
  <si>
    <t xml:space="preserve">العباسي </t>
  </si>
  <si>
    <t xml:space="preserve">كات ليدي عليها مشوار </t>
  </si>
  <si>
    <t xml:space="preserve">الاطعام نيهال عبدالعزيز </t>
  </si>
  <si>
    <t>العباسي نيهال عبدالعزيز -600</t>
  </si>
  <si>
    <t xml:space="preserve">الموبيل الي بيتصلح </t>
  </si>
  <si>
    <t xml:space="preserve">ام رنا المسيريي لهويدا </t>
  </si>
  <si>
    <t>ادويه مريم الشوبكي 1200+80</t>
  </si>
  <si>
    <t xml:space="preserve">لينك ل توريل </t>
  </si>
  <si>
    <t>السيد محل الصفوة جمب ميجا توب</t>
  </si>
  <si>
    <t>زين كيدز هتجيب من طلخا ل المحل</t>
  </si>
  <si>
    <t>عيد فوزي مارسيليا</t>
  </si>
  <si>
    <t xml:space="preserve">-1800 مع عمر </t>
  </si>
  <si>
    <t>1145مع خالد</t>
  </si>
  <si>
    <t>نهال</t>
  </si>
  <si>
    <t>عليها60</t>
  </si>
  <si>
    <t>من بيلا</t>
  </si>
  <si>
    <t>240+35+315+35+720+35</t>
  </si>
  <si>
    <t>630+35</t>
  </si>
  <si>
    <t>-1800 عمر</t>
  </si>
  <si>
    <t>الفتح</t>
  </si>
  <si>
    <t>550+35</t>
  </si>
  <si>
    <t>كات ليدس</t>
  </si>
  <si>
    <t>قطر</t>
  </si>
  <si>
    <t>8*35</t>
  </si>
  <si>
    <t>دفع900</t>
  </si>
  <si>
    <t>عليه360</t>
  </si>
  <si>
    <t xml:space="preserve">دينا الخولي </t>
  </si>
  <si>
    <t xml:space="preserve">يمني طلخا </t>
  </si>
  <si>
    <t>115+50</t>
  </si>
  <si>
    <t xml:space="preserve">نهي بندق </t>
  </si>
  <si>
    <t xml:space="preserve">50 اتحولت انستا لعبدو </t>
  </si>
  <si>
    <t xml:space="preserve">9 اطعام </t>
  </si>
  <si>
    <t xml:space="preserve">نهال </t>
  </si>
  <si>
    <t>-375-20</t>
  </si>
  <si>
    <t xml:space="preserve">امير + بستات </t>
  </si>
  <si>
    <t xml:space="preserve">لينك </t>
  </si>
  <si>
    <t>كان عليه 360 دفع 60 باقي 300</t>
  </si>
  <si>
    <t xml:space="preserve">سمر الاطعام ل لحاضانه </t>
  </si>
  <si>
    <t>اسماء درويش 515+35</t>
  </si>
  <si>
    <t>الحاج اسامه 300+35</t>
  </si>
  <si>
    <t xml:space="preserve">عبدالرحمن يوسف </t>
  </si>
  <si>
    <t>ام مريم 260+50+520+50</t>
  </si>
  <si>
    <t>الشيخ شريف35</t>
  </si>
  <si>
    <t>جايلان 30</t>
  </si>
  <si>
    <t>فالكون 35</t>
  </si>
  <si>
    <t xml:space="preserve">دونتس 100+100 </t>
  </si>
  <si>
    <t>عليه 200</t>
  </si>
  <si>
    <t>فروج</t>
  </si>
  <si>
    <t>الفايد-1400 لنهي</t>
  </si>
  <si>
    <t>من نهال لنهي الرز</t>
  </si>
  <si>
    <t>نفين يمن</t>
  </si>
  <si>
    <t>حجز الدكتور علاء وفا</t>
  </si>
  <si>
    <t>-650 وعليها35</t>
  </si>
  <si>
    <t>10 اطعام</t>
  </si>
  <si>
    <t>الفايد-615 حاله قاعود</t>
  </si>
  <si>
    <t>230+50+180+30وعلي ام مريم 10</t>
  </si>
  <si>
    <t>محمد الاسكندراني-50</t>
  </si>
  <si>
    <t>1500عبده</t>
  </si>
  <si>
    <t xml:space="preserve">الشغل   </t>
  </si>
  <si>
    <t xml:space="preserve">الصافي </t>
  </si>
  <si>
    <t>منصور</t>
  </si>
  <si>
    <t>850+25</t>
  </si>
  <si>
    <t>50.</t>
  </si>
  <si>
    <t>جامبا</t>
  </si>
  <si>
    <t xml:space="preserve">من المطافي لعبدو معروف </t>
  </si>
  <si>
    <t xml:space="preserve">الشيخ شريف </t>
  </si>
  <si>
    <t>عليه 35</t>
  </si>
  <si>
    <t xml:space="preserve">زين كيدز </t>
  </si>
  <si>
    <t xml:space="preserve">الحاج اسمايه </t>
  </si>
  <si>
    <t>195+40</t>
  </si>
  <si>
    <t xml:space="preserve">محل 90 لتوريل </t>
  </si>
  <si>
    <t xml:space="preserve">من احمد ماهر لمدينه السلام </t>
  </si>
  <si>
    <t>جيهان سكر 35</t>
  </si>
  <si>
    <t>ش منتصر للمحافظه سماح سلامه 35</t>
  </si>
  <si>
    <t xml:space="preserve">اسامه لطلخا 50+عليه 10ج </t>
  </si>
  <si>
    <t xml:space="preserve">هايدي -185 بالشحن </t>
  </si>
  <si>
    <t>عمر البربري -100</t>
  </si>
  <si>
    <t>بلال 35</t>
  </si>
  <si>
    <t>ام باسم 40</t>
  </si>
  <si>
    <t>عدن 40</t>
  </si>
  <si>
    <t>مارسيليا 30</t>
  </si>
  <si>
    <t>ابو الليل 35</t>
  </si>
  <si>
    <t>عدن 320+40</t>
  </si>
  <si>
    <t xml:space="preserve">     </t>
  </si>
  <si>
    <t xml:space="preserve">دوري </t>
  </si>
  <si>
    <t xml:space="preserve">بنفوتي </t>
  </si>
  <si>
    <t xml:space="preserve">جامبا </t>
  </si>
  <si>
    <t xml:space="preserve">اخت احمد الشرقاوي </t>
  </si>
  <si>
    <t>اميره الزغيبي 35</t>
  </si>
  <si>
    <t xml:space="preserve">الفتح عليه 40 منيه انصر </t>
  </si>
  <si>
    <t>نرمين 60</t>
  </si>
  <si>
    <t>نادي الجزيره 35</t>
  </si>
  <si>
    <t>مها سنتر النيل 35</t>
  </si>
  <si>
    <t>المكنه عبدالرحمن -820</t>
  </si>
  <si>
    <t>السيد رمضان</t>
  </si>
  <si>
    <t>260+30</t>
  </si>
  <si>
    <t>رشا دهب</t>
  </si>
  <si>
    <t>220+35</t>
  </si>
  <si>
    <t>ندي احمدماهر</t>
  </si>
  <si>
    <t>د.عماد مهدي</t>
  </si>
  <si>
    <t>حول50</t>
  </si>
  <si>
    <t>السلخانه</t>
  </si>
  <si>
    <t>ام حمزه</t>
  </si>
  <si>
    <t xml:space="preserve">ابو عمار </t>
  </si>
  <si>
    <t xml:space="preserve">الوجبه للخواجات </t>
  </si>
  <si>
    <t xml:space="preserve">المقدم محمد بكري </t>
  </si>
  <si>
    <t xml:space="preserve">شاوة بنفنوتي </t>
  </si>
  <si>
    <t>385+40</t>
  </si>
  <si>
    <t>توتال655</t>
  </si>
  <si>
    <t>الشغل  270</t>
  </si>
  <si>
    <t>الصافي450</t>
  </si>
  <si>
    <t>الفراخ الجمل 2</t>
  </si>
  <si>
    <t>هند عاشور</t>
  </si>
  <si>
    <t xml:space="preserve">تيته </t>
  </si>
  <si>
    <t>امال  35</t>
  </si>
  <si>
    <t xml:space="preserve">سكه سندوب </t>
  </si>
  <si>
    <t xml:space="preserve">الهديه 40 عليه </t>
  </si>
  <si>
    <t>عهدة500</t>
  </si>
  <si>
    <t>توتال890</t>
  </si>
  <si>
    <t>القبض325</t>
  </si>
  <si>
    <t>الصافي560</t>
  </si>
  <si>
    <t xml:space="preserve">حماه نيهال </t>
  </si>
  <si>
    <t xml:space="preserve">دمياط </t>
  </si>
  <si>
    <t xml:space="preserve">75 خارجي </t>
  </si>
  <si>
    <t>عهدة600</t>
  </si>
  <si>
    <t>توتال740</t>
  </si>
  <si>
    <t>الشغل  400</t>
  </si>
  <si>
    <t>القبض300</t>
  </si>
  <si>
    <t>الصافي440</t>
  </si>
  <si>
    <t>ابوعمار</t>
  </si>
  <si>
    <t>نسمه 35</t>
  </si>
  <si>
    <t>نرمين مجدي290+35</t>
  </si>
  <si>
    <t>متحول</t>
  </si>
  <si>
    <t>محمد الجمل</t>
  </si>
  <si>
    <t>160+40</t>
  </si>
  <si>
    <t xml:space="preserve">الفتح الموقف الجديد </t>
  </si>
  <si>
    <t>هير ستور</t>
  </si>
  <si>
    <t>75+35</t>
  </si>
  <si>
    <t>متحول لها</t>
  </si>
  <si>
    <t xml:space="preserve">-50وعليه مشوار 50 </t>
  </si>
  <si>
    <t>عم خالد -1000</t>
  </si>
  <si>
    <t xml:space="preserve">3 الحاج اسامه  طلخا و سندوب </t>
  </si>
  <si>
    <t>50+45+40</t>
  </si>
  <si>
    <t xml:space="preserve">اطعام نهال </t>
  </si>
  <si>
    <t xml:space="preserve">نورا برايا 10 اطعام </t>
  </si>
  <si>
    <t xml:space="preserve">المسجد عبدالرحمن اي استلمه </t>
  </si>
  <si>
    <t>الفخار نهال عبدالعزيز -800 وصله لنادي الجزيزه عليها 100</t>
  </si>
  <si>
    <t xml:space="preserve">الصافي تمت التصفيه ب معرفه عبدالرحمن </t>
  </si>
  <si>
    <t xml:space="preserve">سلمي احمد ماهر </t>
  </si>
  <si>
    <t>الجلاء لاحمد ماهر         نورا مصطفي</t>
  </si>
  <si>
    <t>35+35 حساب قديم</t>
  </si>
  <si>
    <t xml:space="preserve">كورينا هاوس لقناة السويس  </t>
  </si>
  <si>
    <t xml:space="preserve">رضوي الخضري العينة   </t>
  </si>
  <si>
    <t xml:space="preserve">رشا دهب صيني </t>
  </si>
  <si>
    <t>400 +35</t>
  </si>
  <si>
    <t xml:space="preserve">الموقف الجديد الشربيني </t>
  </si>
  <si>
    <t xml:space="preserve">-50 ليوسف </t>
  </si>
  <si>
    <t xml:space="preserve">ابو النجا لسعد زغلول </t>
  </si>
  <si>
    <t xml:space="preserve">محمد الشربيني السمنودي لتوريل </t>
  </si>
  <si>
    <t xml:space="preserve">زيزي امون </t>
  </si>
  <si>
    <t>1175+50+335+40</t>
  </si>
  <si>
    <t xml:space="preserve">توشكي المكتبه ل عزبه الشال </t>
  </si>
  <si>
    <t>رشا الدهب الصيني عليها مشوار</t>
  </si>
  <si>
    <t xml:space="preserve">عليا مبارك </t>
  </si>
  <si>
    <t xml:space="preserve">مدام نيهال عبدالعزيز </t>
  </si>
  <si>
    <t xml:space="preserve">عليها 35 البن من توريل </t>
  </si>
  <si>
    <t>50+30</t>
  </si>
  <si>
    <t xml:space="preserve">-300 قديم -20 عبدالرحمن </t>
  </si>
  <si>
    <t xml:space="preserve">200 عبدالرحمن سلفه </t>
  </si>
  <si>
    <t xml:space="preserve">ايمان النجار </t>
  </si>
  <si>
    <t>سماح سلامه 300</t>
  </si>
  <si>
    <t xml:space="preserve">جامبا 655بالشحن +275 بالشحن </t>
  </si>
  <si>
    <t>70-</t>
  </si>
  <si>
    <t xml:space="preserve">الخواجات </t>
  </si>
  <si>
    <t xml:space="preserve">المقدم محمود بكري </t>
  </si>
  <si>
    <t xml:space="preserve">سمر ابمرسي </t>
  </si>
  <si>
    <t xml:space="preserve">نورا برايا قولنليل ومنشيه المصطفي </t>
  </si>
  <si>
    <t xml:space="preserve">40+35 عليها </t>
  </si>
  <si>
    <t>تم خصم 50 باقي 150</t>
  </si>
  <si>
    <t xml:space="preserve">الاربعاء </t>
  </si>
  <si>
    <t xml:space="preserve">د.سلمي </t>
  </si>
  <si>
    <t>705+35+240+50</t>
  </si>
  <si>
    <t xml:space="preserve">اميره ساميه الجمل لطلخا </t>
  </si>
  <si>
    <t xml:space="preserve">ايمان نوراة    نسمه المناعمي </t>
  </si>
  <si>
    <t xml:space="preserve">عللها مشوار </t>
  </si>
  <si>
    <t>ريم اخت ادهم (سعاد البرازيل )</t>
  </si>
  <si>
    <t xml:space="preserve">المرور للزعفران </t>
  </si>
  <si>
    <t>تم خصم 50 باقي 100</t>
  </si>
  <si>
    <t>150 +35 رنا الشوادفي +185+35</t>
  </si>
  <si>
    <t xml:space="preserve">بسمه المناعمي </t>
  </si>
  <si>
    <t xml:space="preserve">مشوار 35 من هناء النجار ل بسمه </t>
  </si>
  <si>
    <t>نيهال عبدالعزيز 5</t>
  </si>
  <si>
    <t>70 ومحوله 100</t>
  </si>
  <si>
    <t xml:space="preserve">عليها مشوار الاوتبيس +1250+35 ليهم </t>
  </si>
  <si>
    <t xml:space="preserve">410+50 </t>
  </si>
  <si>
    <t xml:space="preserve">تمت الاتصفيه عبدالرحمن </t>
  </si>
  <si>
    <t>-50 متبقي 50</t>
  </si>
  <si>
    <t xml:space="preserve">-3450لحمه </t>
  </si>
  <si>
    <t xml:space="preserve">جديله هاله </t>
  </si>
  <si>
    <t>حولت 30</t>
  </si>
  <si>
    <t xml:space="preserve">ايه قنه السويس طلخا </t>
  </si>
  <si>
    <t xml:space="preserve">منشيه المصطفي </t>
  </si>
  <si>
    <t xml:space="preserve">الاكل اخواجات </t>
  </si>
  <si>
    <t xml:space="preserve">عصفور </t>
  </si>
  <si>
    <t xml:space="preserve">ظرف نهال الامام محمد عبده 500ج دخل ف حوزتنا </t>
  </si>
  <si>
    <t>سلمهم ل لعمر</t>
  </si>
  <si>
    <t xml:space="preserve">نورا برايا 100فول +280 بيض وعليها مشوار </t>
  </si>
  <si>
    <t xml:space="preserve">100+280 وعليها مشوار </t>
  </si>
  <si>
    <t xml:space="preserve">من موقف ويش ل المكتب  </t>
  </si>
  <si>
    <t>2325+25+40</t>
  </si>
  <si>
    <t>500+4000</t>
  </si>
  <si>
    <t xml:space="preserve">تم دفع ال50 الباقي </t>
  </si>
  <si>
    <t>ظرف نيهال عبدالعزيزل ل نهي ال5000</t>
  </si>
  <si>
    <t xml:space="preserve">5 اطعام نهال منهم واحد طلخا </t>
  </si>
  <si>
    <t xml:space="preserve">2 اميمه 335 بالتوصيل + 785 بالتوصيل </t>
  </si>
  <si>
    <t>هدير 4590+35 +40</t>
  </si>
  <si>
    <t>2 منهم 2 خارجي +1 تاجيل</t>
  </si>
  <si>
    <t xml:space="preserve">براند اند هاند </t>
  </si>
  <si>
    <t>1500+35</t>
  </si>
  <si>
    <t xml:space="preserve"> سكر 50</t>
  </si>
  <si>
    <t xml:space="preserve">مطبعه هاني وسامح </t>
  </si>
  <si>
    <t xml:space="preserve">35 متحولين انستا لعبدو </t>
  </si>
  <si>
    <t xml:space="preserve">من حي الجامعه لخطاب </t>
  </si>
  <si>
    <t xml:space="preserve">الموقف الجديد تبع محمد الشربيني </t>
  </si>
  <si>
    <t xml:space="preserve">عليه 70 توصيل </t>
  </si>
  <si>
    <t xml:space="preserve">نورين </t>
  </si>
  <si>
    <t>نورا برايا  من اليمصنع سويت هوم</t>
  </si>
  <si>
    <t xml:space="preserve">نورا ل هبه احمد ماهر </t>
  </si>
  <si>
    <t>عصفور  كيك855+30+350+50+40</t>
  </si>
  <si>
    <t xml:space="preserve">120 توصيلات </t>
  </si>
  <si>
    <t>-1575+40</t>
  </si>
  <si>
    <t xml:space="preserve">طلخا البنك الاهلاي </t>
  </si>
  <si>
    <t xml:space="preserve">نهال عبدالعزيز  لمني الخولي </t>
  </si>
  <si>
    <t xml:space="preserve">اميمه منصور </t>
  </si>
  <si>
    <t>150+40+500+35</t>
  </si>
  <si>
    <t xml:space="preserve">الشيخ محمود </t>
  </si>
  <si>
    <t>شيماء عبدالعزيز -2000</t>
  </si>
  <si>
    <t>ساره اسماعيل 35</t>
  </si>
  <si>
    <t xml:space="preserve">كات ليدي عليعا مشوار 9 بليل </t>
  </si>
  <si>
    <t>جهاد اخت احمد الشرقاوي عليها 70</t>
  </si>
  <si>
    <t xml:space="preserve">البدراوي </t>
  </si>
  <si>
    <t xml:space="preserve">زين كيدز ل موقف الزقازيق </t>
  </si>
  <si>
    <t>عندها فلوس جديده ليا</t>
  </si>
  <si>
    <t>د عبدالله شبانه</t>
  </si>
  <si>
    <t>سيف مشويات</t>
  </si>
  <si>
    <t>ايات نهال</t>
  </si>
  <si>
    <t>سمر نهال</t>
  </si>
  <si>
    <t>نهال ل سمر+ عم مسعد</t>
  </si>
  <si>
    <t>7اطعام</t>
  </si>
  <si>
    <t>2ظرف نهال</t>
  </si>
  <si>
    <t>نورين</t>
  </si>
  <si>
    <t>نورا برايا مجمع المحاكم + حي الجامعه</t>
  </si>
  <si>
    <t>عهدة3000</t>
  </si>
  <si>
    <t>توتال1365</t>
  </si>
  <si>
    <t>الشغل  990</t>
  </si>
  <si>
    <t>القبض750</t>
  </si>
  <si>
    <t>الصافي600</t>
  </si>
  <si>
    <t>تمت التصفيه بمعرفه عبدالرحمن</t>
  </si>
  <si>
    <t xml:space="preserve">كيك عصفور </t>
  </si>
  <si>
    <t>450+40</t>
  </si>
  <si>
    <t xml:space="preserve">نهال ل ايناس شبانه </t>
  </si>
  <si>
    <t>لم ينفذ</t>
  </si>
  <si>
    <t xml:space="preserve">خطاب ل ام محمد </t>
  </si>
  <si>
    <t xml:space="preserve">الدرسات ل عزبه عقل الشربيني </t>
  </si>
  <si>
    <t xml:space="preserve">الدرسات  لعوض الله الجديد </t>
  </si>
  <si>
    <t xml:space="preserve">من فريسكا </t>
  </si>
  <si>
    <t xml:space="preserve">3 توريل لالسلخانه </t>
  </si>
  <si>
    <t>نيهال عبدالرحمن</t>
  </si>
  <si>
    <t xml:space="preserve">نهي خيري ل امساء النجار </t>
  </si>
  <si>
    <t xml:space="preserve">موقف دميره -20 ودفع 50 وعليها </t>
  </si>
  <si>
    <t>هبه عبدالله تبع نفين ايمن</t>
  </si>
  <si>
    <t>شرنقاش عليها 50</t>
  </si>
  <si>
    <t>سهيله ت سميه</t>
  </si>
  <si>
    <t xml:space="preserve">شربين -50  رحاب الجمل </t>
  </si>
  <si>
    <t xml:space="preserve">نهال ل االشيخه عيشه </t>
  </si>
  <si>
    <t xml:space="preserve">تمت التصفيه بمعرفه عبدالرحمن البربري وابو عمار خالص </t>
  </si>
  <si>
    <t xml:space="preserve">نورا برايا -120جلاش -125بصل وعليها مشوارين </t>
  </si>
  <si>
    <t>نانسي-100 ومشوار 35 استلام سواق</t>
  </si>
  <si>
    <t xml:space="preserve">40 مع خالد </t>
  </si>
  <si>
    <t xml:space="preserve">الحاجة سكينه </t>
  </si>
  <si>
    <t>500+40</t>
  </si>
  <si>
    <t xml:space="preserve">السمنة </t>
  </si>
  <si>
    <t xml:space="preserve">من المحافظة لاداب </t>
  </si>
  <si>
    <t>ايه ادوية  مبارك (فيكي طارق)</t>
  </si>
  <si>
    <t>1100 +35</t>
  </si>
  <si>
    <t xml:space="preserve">-210 و 40 تم التحويل كله لعبدو </t>
  </si>
  <si>
    <t xml:space="preserve">محمد عادل </t>
  </si>
  <si>
    <t>الحاج اسامه 890+40</t>
  </si>
  <si>
    <t>مني الخولي 90</t>
  </si>
  <si>
    <t>حهاد اخت احمد الشرقاوي عليها 160 مشاوير</t>
  </si>
  <si>
    <t>مزكرات 40</t>
  </si>
  <si>
    <t>الخولي 50</t>
  </si>
  <si>
    <t xml:space="preserve">ايه 1100+40 جديله امل احمد </t>
  </si>
  <si>
    <t>مها سنتر النيل 1240+35</t>
  </si>
  <si>
    <t xml:space="preserve">نانسي -200 وعليها مشوار </t>
  </si>
  <si>
    <t xml:space="preserve">الفسيخ الاء بدره عليها مشوار </t>
  </si>
  <si>
    <t>الشهاوي 60</t>
  </si>
  <si>
    <t>ايه ادويه 600+40</t>
  </si>
  <si>
    <t>من الموقف لحي شرق 60</t>
  </si>
  <si>
    <t>دينا فرج عليها 50</t>
  </si>
  <si>
    <t>سينيه داخلي احمد ماهر 2225+40</t>
  </si>
  <si>
    <t>السكه الجديده 50</t>
  </si>
  <si>
    <t xml:space="preserve">بلبل 40 </t>
  </si>
  <si>
    <t>اخت احمد الشرقاوي 80 وهيا عليها 180</t>
  </si>
  <si>
    <t>930+280</t>
  </si>
  <si>
    <t>مها سنتر الجزيره 925-35=890</t>
  </si>
  <si>
    <t>د.هبه 40</t>
  </si>
  <si>
    <t>ام حمزة 70</t>
  </si>
  <si>
    <t xml:space="preserve">تمت تصفيه عبدالرحمن </t>
  </si>
  <si>
    <t>شريف نظارات</t>
  </si>
  <si>
    <t>بسيت سيلر</t>
  </si>
  <si>
    <t>مني الخولي 100+35</t>
  </si>
  <si>
    <t xml:space="preserve">-180 قديم وسعر الحاجه 520بالتوصيل </t>
  </si>
  <si>
    <t>دفع 385 مشتريات واداها180</t>
  </si>
  <si>
    <t xml:space="preserve">موقف سندوب ميت غمر </t>
  </si>
  <si>
    <t>الاطعام نيهال 5</t>
  </si>
  <si>
    <t>*30</t>
  </si>
  <si>
    <t xml:space="preserve">نورا برايا ل الشيماء صلاح 60 حجات تقيله </t>
  </si>
  <si>
    <t>اسماء النجار عند ابو الخير</t>
  </si>
  <si>
    <t>الحاج اسامه -700</t>
  </si>
  <si>
    <t>الحاج اسامه -1065</t>
  </si>
  <si>
    <t>2000عهده</t>
  </si>
  <si>
    <t xml:space="preserve"> مع خالد485</t>
  </si>
  <si>
    <t>كوريان هاوس 40</t>
  </si>
  <si>
    <t>لينك 100</t>
  </si>
  <si>
    <t>السنبلاوين 400</t>
  </si>
  <si>
    <t xml:space="preserve">3ظرف نيهال الريلات لبيتها وظرف توريل وظرف ساميه الجمل </t>
  </si>
  <si>
    <t xml:space="preserve">تمت عبدالرمن </t>
  </si>
  <si>
    <t>االطعام 5</t>
  </si>
  <si>
    <t xml:space="preserve">امير براميذا 35 </t>
  </si>
  <si>
    <t>ام مليكه 40</t>
  </si>
  <si>
    <t>سالي 35 +40</t>
  </si>
  <si>
    <t xml:space="preserve">نفين 40+ ندي وجيه عندنا احنا +30 </t>
  </si>
  <si>
    <t>دنيا الخولي 220+40</t>
  </si>
  <si>
    <t>الحاج اسامه 90</t>
  </si>
  <si>
    <t xml:space="preserve">سماح سلامه 40+وعليها 50 الموقف جمصه </t>
  </si>
  <si>
    <t xml:space="preserve">مها 45 </t>
  </si>
  <si>
    <t xml:space="preserve">تمت عبدالرحمن </t>
  </si>
  <si>
    <t>حي الجامعه بنت حنان 40</t>
  </si>
  <si>
    <t xml:space="preserve">الاطعام 4 من سمر  يوم الجمعه </t>
  </si>
  <si>
    <t>نفين ايمن 120</t>
  </si>
  <si>
    <t xml:space="preserve">احمد الجزار -15-وعليه مشوارين </t>
  </si>
  <si>
    <t>امير 40</t>
  </si>
  <si>
    <t xml:space="preserve">نورا برايا عليها 40 ل الشيماء صلاح </t>
  </si>
  <si>
    <t>جهاد اخت اجمد الشرقاوي 190</t>
  </si>
  <si>
    <t>فريسكا 40</t>
  </si>
  <si>
    <t>سواق المنزله -50 +890+40+50+40</t>
  </si>
  <si>
    <t xml:space="preserve">الدكتوره نرمين 200 بتوع خالد +50 مشوار ابو عمار </t>
  </si>
  <si>
    <t>كيك عصفور 40</t>
  </si>
  <si>
    <t>مني الخولي 200+40</t>
  </si>
  <si>
    <t>بلل فوده</t>
  </si>
  <si>
    <t>2175+40</t>
  </si>
  <si>
    <t xml:space="preserve">7 اطعام </t>
  </si>
  <si>
    <t>نيهال عبددالعزيز</t>
  </si>
  <si>
    <t>كيك عصفور</t>
  </si>
  <si>
    <t>النخله</t>
  </si>
  <si>
    <t>شيماء</t>
  </si>
  <si>
    <t>ميت الصارم</t>
  </si>
  <si>
    <t>3شيخ شريف</t>
  </si>
  <si>
    <t xml:space="preserve">الثلاثاء </t>
  </si>
  <si>
    <t xml:space="preserve">د.سلمي 80 </t>
  </si>
  <si>
    <t xml:space="preserve">اميره فريد عليها 50 طلخا </t>
  </si>
  <si>
    <t>الدكتوره حماه نيهال 60</t>
  </si>
  <si>
    <t>الموقف الجديد سمك نيهال -30-300 بيلا وعليها 50</t>
  </si>
  <si>
    <t>عدن 940+40</t>
  </si>
  <si>
    <t>خطاب ل توريل 40</t>
  </si>
  <si>
    <t>مارسيليا 2900+60</t>
  </si>
  <si>
    <t xml:space="preserve">كاجو نيهال -520 وعليها مشوار </t>
  </si>
  <si>
    <t>فروج 30</t>
  </si>
  <si>
    <t>مها -135+35</t>
  </si>
  <si>
    <t>3,755</t>
  </si>
  <si>
    <t>2026/04/15/16</t>
  </si>
  <si>
    <t>طلخا ندي وجيه 60</t>
  </si>
  <si>
    <t>بلال فحم 50</t>
  </si>
  <si>
    <t>نفين ايمن 80</t>
  </si>
  <si>
    <t>الاستماره 70</t>
  </si>
  <si>
    <t xml:space="preserve">د.اميره عليها مشوار </t>
  </si>
  <si>
    <t>وسام 70</t>
  </si>
  <si>
    <t>شي اونلي 50</t>
  </si>
  <si>
    <t>ريم ياسر  40+350+40</t>
  </si>
  <si>
    <t>الحاج اسامه -295 وله 800+40</t>
  </si>
  <si>
    <t xml:space="preserve">لينا 45 ج </t>
  </si>
  <si>
    <t>/965 اليوم 1165</t>
  </si>
  <si>
    <t xml:space="preserve">5 اطعام </t>
  </si>
  <si>
    <t>ريم ياسر 35</t>
  </si>
  <si>
    <t>مني الخولي 70</t>
  </si>
  <si>
    <t>لينك 70</t>
  </si>
  <si>
    <t>الحولوشه 100</t>
  </si>
  <si>
    <t>نيهال -كراتين 60</t>
  </si>
  <si>
    <t>اميز 50</t>
  </si>
  <si>
    <t>الشغل   550</t>
  </si>
  <si>
    <t>القبض410</t>
  </si>
  <si>
    <t>الحاج اسامه 900+40</t>
  </si>
  <si>
    <t xml:space="preserve">الوجبات نيهال 2مشوار طارق والحضانه </t>
  </si>
  <si>
    <t xml:space="preserve">اخت نورا برايا حجز </t>
  </si>
  <si>
    <t>المستشفي 120</t>
  </si>
  <si>
    <t>الصعيدي 40</t>
  </si>
  <si>
    <t>الحاج اسامه 50</t>
  </si>
  <si>
    <t>لينك 40</t>
  </si>
  <si>
    <t>ندي وجيه 30</t>
  </si>
  <si>
    <t>الترعه لخا 50</t>
  </si>
  <si>
    <t xml:space="preserve">القبض  </t>
  </si>
  <si>
    <t xml:space="preserve">الثالاثء </t>
  </si>
  <si>
    <t>ندي وجيه 50</t>
  </si>
  <si>
    <t>شفيقه نصر 35</t>
  </si>
  <si>
    <t>د.سلمي 40</t>
  </si>
  <si>
    <t>اميره فريد عليها 2</t>
  </si>
  <si>
    <t>ريم ياسر 40</t>
  </si>
  <si>
    <t>شيماء جديله حولت 40</t>
  </si>
  <si>
    <t>هاله 80</t>
  </si>
  <si>
    <t>وسام 35</t>
  </si>
  <si>
    <t>فيفيان 40</t>
  </si>
  <si>
    <t>الملك الكامل للصدر 50</t>
  </si>
  <si>
    <t xml:space="preserve">ريم الخولي عندي </t>
  </si>
  <si>
    <t xml:space="preserve">نرمين -150 وعليها مشوار </t>
  </si>
  <si>
    <t>سماح سلامه ناديه رمزي 35</t>
  </si>
  <si>
    <t>شعبان 40</t>
  </si>
  <si>
    <t xml:space="preserve">محمد الاسكندراني </t>
  </si>
  <si>
    <t>شريف 50</t>
  </si>
  <si>
    <t>نيو بيبي  80</t>
  </si>
  <si>
    <t>بلال فوده 50</t>
  </si>
  <si>
    <t>طلخا للجلاء 50</t>
  </si>
  <si>
    <t>مها سنتر النيل 420+40+120</t>
  </si>
  <si>
    <t>ام عمر 80</t>
  </si>
  <si>
    <t>وسام 90</t>
  </si>
  <si>
    <t>الحاج اسامه 1210+500+100</t>
  </si>
  <si>
    <t>نيو بيبي 80+60</t>
  </si>
  <si>
    <t xml:space="preserve">120شحن </t>
  </si>
  <si>
    <t>ام حمزه 40</t>
  </si>
  <si>
    <t>ساره احمد ماهر 40</t>
  </si>
  <si>
    <t xml:space="preserve">من المرور لميت حدر </t>
  </si>
  <si>
    <t xml:space="preserve">امبارح </t>
  </si>
  <si>
    <t xml:space="preserve">طلخا لتوريل </t>
  </si>
  <si>
    <t xml:space="preserve">محل البان بدرة رايح عبدالسلام عارف </t>
  </si>
  <si>
    <t xml:space="preserve">من النخلة لحي الجامعة </t>
  </si>
  <si>
    <t>850+50</t>
  </si>
  <si>
    <t xml:space="preserve">عبدالسلام عارف لعوض اللله الجديد </t>
  </si>
  <si>
    <t>825+40</t>
  </si>
  <si>
    <t xml:space="preserve">التليفونات ريم الخولي من المشاية للبيت </t>
  </si>
  <si>
    <t xml:space="preserve">-300عليها مشوار </t>
  </si>
  <si>
    <t xml:space="preserve">عيش من فينيسيا لنورا برايا </t>
  </si>
  <si>
    <t>وعليها مشوارين -150</t>
  </si>
  <si>
    <t xml:space="preserve">من الموقف الجديد لنورا برايا </t>
  </si>
  <si>
    <t xml:space="preserve">-40 ابو يس وعليها مشوار </t>
  </si>
  <si>
    <t>محمد</t>
  </si>
  <si>
    <t>عزبه الصفيح</t>
  </si>
  <si>
    <t>ساميه الجمل نهي</t>
  </si>
  <si>
    <t>خطاب</t>
  </si>
  <si>
    <t>الحاج اسامه-25</t>
  </si>
  <si>
    <t>الاوتبيس الجديد 40</t>
  </si>
  <si>
    <t xml:space="preserve">الطيب 4 ب 1865 +120 شحن </t>
  </si>
  <si>
    <t>ام مريم 3 ب  150+185</t>
  </si>
  <si>
    <t>الحاج اسامه550+50</t>
  </si>
  <si>
    <t xml:space="preserve">2 لمياء سمان 50+50 </t>
  </si>
  <si>
    <t xml:space="preserve">السيد الزهيري </t>
  </si>
  <si>
    <t>590+50</t>
  </si>
  <si>
    <t xml:space="preserve">هتستلم بالليل </t>
  </si>
  <si>
    <t>2دنيا الخولي</t>
  </si>
  <si>
    <t>300 + 50 + خالص عليها50</t>
  </si>
  <si>
    <t>1200+1100+40+40</t>
  </si>
  <si>
    <t>سايب5900</t>
  </si>
  <si>
    <t xml:space="preserve"> من الدرج280</t>
  </si>
  <si>
    <t>ساره هوكو</t>
  </si>
  <si>
    <t>التحاليل 40</t>
  </si>
  <si>
    <t>ام مريم 300+1050</t>
  </si>
  <si>
    <t xml:space="preserve">متولي500بالشحن </t>
  </si>
  <si>
    <t>اميره محمود 1200+35 ادويه</t>
  </si>
  <si>
    <t>سماح سلامه 40شحن</t>
  </si>
  <si>
    <t>سيد الخضري40</t>
  </si>
  <si>
    <t>نيهال عبدالعزيز ايات</t>
  </si>
  <si>
    <t xml:space="preserve">متولي ل مبارك 710 بالشحن </t>
  </si>
  <si>
    <t>استلف 300</t>
  </si>
  <si>
    <t>مها سنتر النيل 1385+40</t>
  </si>
  <si>
    <t>بنت حنان حي الجامعه 40</t>
  </si>
  <si>
    <t>شيماء من توريل لايرجنت 40</t>
  </si>
  <si>
    <t>ثريا 30</t>
  </si>
  <si>
    <t>المكبعه 40</t>
  </si>
  <si>
    <t>ام باسم 50</t>
  </si>
  <si>
    <t>حي الجامهخ 40</t>
  </si>
  <si>
    <t xml:space="preserve">6 نورا برايا توزيع </t>
  </si>
  <si>
    <t>عليها 180</t>
  </si>
  <si>
    <t xml:space="preserve">1حي الجامعة - 2 جديلة - 2 عبدالسلام عارف - 1 محمد فتحي </t>
  </si>
  <si>
    <t>كات ليدي  عليها 70</t>
  </si>
  <si>
    <t>مساكن المينا ل حي الاشجار 40+150+80توصيل</t>
  </si>
  <si>
    <t>توريل الموقف الجديد  50</t>
  </si>
  <si>
    <t>بدره 35</t>
  </si>
  <si>
    <t>سماح سلامه الفراخ من المجزر 40</t>
  </si>
  <si>
    <t>ام يوسف سندس 40</t>
  </si>
  <si>
    <t>مني الخولي 440+440+1040+840=2760</t>
  </si>
  <si>
    <t>مني 2640</t>
  </si>
  <si>
    <t>الفطير عند السيد 35-</t>
  </si>
  <si>
    <t>الزعفران 40</t>
  </si>
  <si>
    <t>2 كات ليدي</t>
  </si>
  <si>
    <t>35+35 عليها</t>
  </si>
  <si>
    <t>5سمان 6205</t>
  </si>
  <si>
    <t>السماد</t>
  </si>
  <si>
    <t>المطافي 40</t>
  </si>
  <si>
    <t>توريل 50</t>
  </si>
  <si>
    <t>جديله 50</t>
  </si>
  <si>
    <t>الترعه 50</t>
  </si>
  <si>
    <t>ساميه الجمل 50</t>
  </si>
  <si>
    <t xml:space="preserve">طلخا 40 +40 عبدالسلام عارف </t>
  </si>
  <si>
    <t>قناه السويس 50</t>
  </si>
  <si>
    <t xml:space="preserve">حي الجامعه 50+40 سامي جمل </t>
  </si>
  <si>
    <t>ام مريم 1500+1500+460</t>
  </si>
  <si>
    <t xml:space="preserve">ا مريم 5 </t>
  </si>
  <si>
    <t>معاه صندوق عليه 200</t>
  </si>
  <si>
    <t>30+35+35+30+30</t>
  </si>
  <si>
    <t>عليها 70</t>
  </si>
  <si>
    <t>برايمذا 35+35</t>
  </si>
  <si>
    <t>خاله نفين 30</t>
  </si>
  <si>
    <t>الكفاله اسماء النجار 50</t>
  </si>
  <si>
    <t xml:space="preserve">كفاله نوران 500 </t>
  </si>
  <si>
    <t>الدوا ايه اعشاب 500+35</t>
  </si>
  <si>
    <t>نورا برايا -150 السواق 35</t>
  </si>
  <si>
    <t>السيد</t>
  </si>
  <si>
    <t>المسجد حمد ماهر 30</t>
  </si>
  <si>
    <t xml:space="preserve">فرارجي </t>
  </si>
  <si>
    <t xml:space="preserve">نهال عبدالعزيز ل ام حنان </t>
  </si>
  <si>
    <t xml:space="preserve">وئام داخلي </t>
  </si>
  <si>
    <t>500+35</t>
  </si>
  <si>
    <t xml:space="preserve">جامبا العصير </t>
  </si>
  <si>
    <t>240+35</t>
  </si>
  <si>
    <t xml:space="preserve">خاله نفيتن </t>
  </si>
  <si>
    <t>صافي للشركه 70</t>
  </si>
  <si>
    <t xml:space="preserve">برايا الاستاد </t>
  </si>
  <si>
    <t xml:space="preserve">مركز النصر </t>
  </si>
  <si>
    <t xml:space="preserve">وئام شها </t>
  </si>
  <si>
    <t xml:space="preserve">عليها 100 وخالص الثمن </t>
  </si>
  <si>
    <t>نهال عبدالعزيز 6</t>
  </si>
  <si>
    <t xml:space="preserve">موقف الجديد دمياط -50 وعليها 50 مشوار </t>
  </si>
  <si>
    <t>احمد ماهر 30</t>
  </si>
  <si>
    <t>المسجد عليها 35</t>
  </si>
  <si>
    <t xml:space="preserve">ايهاب مصاحف </t>
  </si>
  <si>
    <t xml:space="preserve">شحن فقط اميره محمود 35 </t>
  </si>
  <si>
    <t xml:space="preserve">روزي </t>
  </si>
  <si>
    <t xml:space="preserve">عليها مشوار نشوي ساعات </t>
  </si>
  <si>
    <t xml:space="preserve">عليها 35 مشوار الطميهي </t>
  </si>
  <si>
    <t xml:space="preserve">عليا بروتين </t>
  </si>
  <si>
    <t>المشوار 350 دفع 50 باقي لها 300</t>
  </si>
  <si>
    <t xml:space="preserve">محمد الجمل فراخ جمب البيت </t>
  </si>
  <si>
    <t xml:space="preserve">عليه 40 توصيل </t>
  </si>
  <si>
    <t xml:space="preserve">عم السيد </t>
  </si>
  <si>
    <t>من المصنع للترعة 50</t>
  </si>
  <si>
    <t xml:space="preserve">35 من سندوب لميت حضر </t>
  </si>
  <si>
    <t xml:space="preserve">2 مارسيليا </t>
  </si>
  <si>
    <t xml:space="preserve">100 توصيل </t>
  </si>
  <si>
    <t xml:space="preserve">عليها مشوار 30 من محمد فتحي للشيماء </t>
  </si>
  <si>
    <t xml:space="preserve">40 + مرتجع </t>
  </si>
  <si>
    <t xml:space="preserve">احمد الصعيدي </t>
  </si>
  <si>
    <t>له 55</t>
  </si>
  <si>
    <t>حجز دكتور</t>
  </si>
  <si>
    <t>دفع 200</t>
  </si>
  <si>
    <t xml:space="preserve">رايح جاي من عددها للاستاد محل محمد حامد + اطعام حي الجامعه 30 عليها المشوار رايح جاي لم تحاسب عليه انما ال30 دفعتهم </t>
  </si>
  <si>
    <t xml:space="preserve">ابرار من سامية الجمل لمبارك </t>
  </si>
  <si>
    <t>-170 لعبدو البربري - 50 لابو حبيبه (خالد الي قاله)</t>
  </si>
  <si>
    <t>200من الدرج</t>
  </si>
  <si>
    <t>ميت حضر لسندوب شريف 40</t>
  </si>
  <si>
    <t>من مشعل لطلخا 45</t>
  </si>
  <si>
    <t>نورا برايا طارق  طباعة عليها 35 مشوار</t>
  </si>
  <si>
    <t>نورا برايا         ال10 وجبات 30</t>
  </si>
  <si>
    <t>لينك         سندوب  50</t>
  </si>
  <si>
    <t>3 مطبخ منمن 35×3=105</t>
  </si>
  <si>
    <t>3 سماح سلامه 35×3=105</t>
  </si>
  <si>
    <t>اجمالي</t>
  </si>
  <si>
    <t xml:space="preserve">دكتوره ساره </t>
  </si>
  <si>
    <t xml:space="preserve">شلبي </t>
  </si>
  <si>
    <t xml:space="preserve">5 مشاوير </t>
  </si>
  <si>
    <t>ليها 900 و35 شحن وليها 250 و35 شحن</t>
  </si>
  <si>
    <t xml:space="preserve">دكتوره نورا برايا </t>
  </si>
  <si>
    <t>احمد ماهر 30 وعليها مشوار المسجد 35</t>
  </si>
  <si>
    <t>اجمالي 1480</t>
  </si>
  <si>
    <t>قبض 385</t>
  </si>
  <si>
    <t>شغل 515</t>
  </si>
  <si>
    <t>عزبه الشال وشلبي</t>
  </si>
  <si>
    <t xml:space="preserve">د سارة </t>
  </si>
  <si>
    <t>مصنع مارسيليا</t>
  </si>
  <si>
    <t>اطعام حي الجامعه 30</t>
  </si>
  <si>
    <t xml:space="preserve">نورا برايا اطعام المستشفي </t>
  </si>
  <si>
    <t xml:space="preserve">تم التصفية بمعرفة عمر البربري </t>
  </si>
  <si>
    <t xml:space="preserve">2 لينك  - طلخا  - الموقف الجديد </t>
  </si>
  <si>
    <t xml:space="preserve">ال10 وجبات نورا برايا </t>
  </si>
  <si>
    <t xml:space="preserve">من حي الجامعة للمستشفي  العام </t>
  </si>
  <si>
    <t xml:space="preserve">اتلغي </t>
  </si>
  <si>
    <t>5توزيع</t>
  </si>
  <si>
    <t xml:space="preserve">الشربيني من الدراسات الي السكه الجديده </t>
  </si>
  <si>
    <t xml:space="preserve">مرتجع ودفع 30   الدراسات واحشاها she missed her </t>
  </si>
  <si>
    <t xml:space="preserve">30 توصبل الدراسات </t>
  </si>
  <si>
    <t xml:space="preserve">عبده معروف الي عزبه عقل </t>
  </si>
  <si>
    <t>مست ثقه عن عبده</t>
  </si>
  <si>
    <t xml:space="preserve">نورا برايا علي هناء النجار عليها مشوار </t>
  </si>
  <si>
    <t xml:space="preserve">عليها 35 </t>
  </si>
  <si>
    <t xml:space="preserve">كوريان هواوس </t>
  </si>
  <si>
    <t xml:space="preserve">تمت التصفيه بمعرفه عمر البربري </t>
  </si>
  <si>
    <t>عم السيد ساب 100 ج يعني 815</t>
  </si>
  <si>
    <t xml:space="preserve">شها عند عبده </t>
  </si>
  <si>
    <t xml:space="preserve">منصور </t>
  </si>
  <si>
    <t>470+25</t>
  </si>
  <si>
    <t xml:space="preserve">المشايه </t>
  </si>
  <si>
    <t>موقف اكتوبر -150 ومشوار 35</t>
  </si>
  <si>
    <t>1035+35</t>
  </si>
  <si>
    <t xml:space="preserve">ميت مزاح  ميان المجزر </t>
  </si>
  <si>
    <t>1850+90</t>
  </si>
  <si>
    <t>الكوبيات -30</t>
  </si>
  <si>
    <t>150+35</t>
  </si>
  <si>
    <t xml:space="preserve">هند عاشور </t>
  </si>
  <si>
    <t xml:space="preserve">د.نرمين </t>
  </si>
  <si>
    <t>تم خصم 100</t>
  </si>
  <si>
    <t>3 وسام</t>
  </si>
  <si>
    <t>30+30+50</t>
  </si>
  <si>
    <t xml:space="preserve">اسامه المرداش </t>
  </si>
  <si>
    <t>1940+40</t>
  </si>
  <si>
    <t xml:space="preserve">الدراسات لعزبة عقل </t>
  </si>
  <si>
    <t xml:space="preserve">5 اطعام نهال </t>
  </si>
  <si>
    <t xml:space="preserve">شيماء سليمان لتوريل </t>
  </si>
  <si>
    <t>600+35</t>
  </si>
  <si>
    <t>تم تحويل المبلغ 600 لعمر البربري</t>
  </si>
  <si>
    <t xml:space="preserve">تم تحويل المبلغ 600 من عمر للرقم البرايفت </t>
  </si>
  <si>
    <t>ساب 100 وباقي 2005</t>
  </si>
  <si>
    <t>تمت التصفية بمعرفة عمر البربري</t>
  </si>
  <si>
    <t>600+600+70</t>
  </si>
  <si>
    <t xml:space="preserve">نورا برايا -140 بيض وعليها مشوار </t>
  </si>
  <si>
    <t xml:space="preserve">احمد ماهر ب 30+المسجد عليها +مجمع المحاكم هبه النبوي عليها +البطل عليها </t>
  </si>
  <si>
    <t xml:space="preserve">عليها 35 حولت خلاص </t>
  </si>
  <si>
    <t>له 1500+40</t>
  </si>
  <si>
    <t xml:space="preserve">قولنجيل </t>
  </si>
  <si>
    <t>خالص بالشحن +950بالشحن ليها 850</t>
  </si>
  <si>
    <t xml:space="preserve">ام اميره الزغيبي </t>
  </si>
  <si>
    <t xml:space="preserve">توريل </t>
  </si>
  <si>
    <t>695+40</t>
  </si>
  <si>
    <t xml:space="preserve">3 مشاوير رنجه لنهال </t>
  </si>
  <si>
    <t xml:space="preserve">من نهال لحماتها رنجه </t>
  </si>
  <si>
    <t xml:space="preserve">من نهال لعم حمادة حي الجامعه </t>
  </si>
  <si>
    <t xml:space="preserve">نورا برايا من مصنع سويت هوم لها </t>
  </si>
  <si>
    <t xml:space="preserve">نورا برايا  اظرف </t>
  </si>
  <si>
    <t xml:space="preserve">3 يارا عاطف 560+40د اليا - 510+35 عزة - عبدو حول لدعاء 810 - ودعاء بتقول حسابه مشوار مع عبدو </t>
  </si>
  <si>
    <t xml:space="preserve">عليها من طلخا مكانين لعبدالسلام عارف - الترعة - الدراسات </t>
  </si>
  <si>
    <t xml:space="preserve">بلقاس </t>
  </si>
  <si>
    <t>هدير المصري</t>
  </si>
  <si>
    <t>1000+120</t>
  </si>
  <si>
    <t>لمسه عود</t>
  </si>
  <si>
    <t>عبدو اخد 1500</t>
  </si>
  <si>
    <t xml:space="preserve">سينيه درين </t>
  </si>
  <si>
    <t>ام محمد</t>
  </si>
  <si>
    <t>نشا</t>
  </si>
  <si>
    <t>البربري</t>
  </si>
  <si>
    <t>تسليم ناجح</t>
  </si>
  <si>
    <t>منار حسام</t>
  </si>
  <si>
    <t>درين</t>
  </si>
  <si>
    <t>رانيا ناصر</t>
  </si>
  <si>
    <t>نبروة</t>
  </si>
  <si>
    <t>عسل وطحينه</t>
  </si>
  <si>
    <t xml:space="preserve">نورا برايا احمد ماهر </t>
  </si>
  <si>
    <t xml:space="preserve">والاستاد عليها مشوار </t>
  </si>
  <si>
    <t>ل</t>
  </si>
  <si>
    <t>عمر اخد500 علشان فراخ الخان بتاع عصام</t>
  </si>
  <si>
    <t>السيد له275</t>
  </si>
  <si>
    <t>طنطا 350</t>
  </si>
  <si>
    <t>بلال بلبل 2</t>
  </si>
  <si>
    <t>الديرس 150</t>
  </si>
  <si>
    <t>نوسا الغيط 250</t>
  </si>
  <si>
    <t>هوت مكس 910+40</t>
  </si>
  <si>
    <t>عبدالرحمن اخد 1000 وانا عند امه</t>
  </si>
  <si>
    <t xml:space="preserve">له50ج </t>
  </si>
  <si>
    <t>من فيفيان ل الترعه</t>
  </si>
  <si>
    <t>35+1200</t>
  </si>
  <si>
    <t xml:space="preserve"> القطر الحجز </t>
  </si>
  <si>
    <t xml:space="preserve">70حولت </t>
  </si>
  <si>
    <t>الحاج اسامه</t>
  </si>
  <si>
    <t xml:space="preserve"> 465+40</t>
  </si>
  <si>
    <t>مدام نيهال ميد لاب</t>
  </si>
  <si>
    <t xml:space="preserve">كوريان هاوس شحن  </t>
  </si>
  <si>
    <t>نهال من عم مسعد لعندها</t>
  </si>
  <si>
    <t xml:space="preserve">مهاس سنتر النيل </t>
  </si>
  <si>
    <t>تمت التصفية بمعرفة عمر البربري و الفلوس في الدرج</t>
  </si>
  <si>
    <t>ام مريم 3 200</t>
  </si>
  <si>
    <t xml:space="preserve">  د احمد عثمان 35</t>
  </si>
  <si>
    <t xml:space="preserve">6اطعام </t>
  </si>
  <si>
    <t xml:space="preserve">اسماء النجار -500 + 100 مشوار طلخا ومشوار انهارده </t>
  </si>
  <si>
    <t>نانسي 35</t>
  </si>
  <si>
    <t xml:space="preserve">من مني بكر ل محله زياد ع نهال 250 </t>
  </si>
  <si>
    <t>كوريان هاوس 35</t>
  </si>
  <si>
    <t xml:space="preserve">غاده 260+35 وملهاش فلوس </t>
  </si>
  <si>
    <t>من خالد</t>
  </si>
  <si>
    <t xml:space="preserve">رشا الدهب 120+40+35 وملهاش فلوس </t>
  </si>
  <si>
    <t>عم سعيد 40</t>
  </si>
  <si>
    <t>منتصر المشايه 35</t>
  </si>
  <si>
    <t xml:space="preserve">1000 من عمر ل عم السيد هيوصلها ل عم طارق </t>
  </si>
  <si>
    <t>35اسماء النجار</t>
  </si>
  <si>
    <t>له170</t>
  </si>
  <si>
    <t>2×35+120</t>
  </si>
  <si>
    <t xml:space="preserve">4نفين ايمن </t>
  </si>
  <si>
    <t>3×40+30</t>
  </si>
  <si>
    <t xml:space="preserve">من جديلة للمشاية </t>
  </si>
  <si>
    <t xml:space="preserve">ظرف نهال المدرية القديمة </t>
  </si>
  <si>
    <t>من الجلاء لسعد الشربيني رايح جاي</t>
  </si>
  <si>
    <t xml:space="preserve">ريم ياسر </t>
  </si>
  <si>
    <t>490+35</t>
  </si>
  <si>
    <t xml:space="preserve">تم التحويل لها </t>
  </si>
  <si>
    <t>مني الخولي 5</t>
  </si>
  <si>
    <t>4X35 +30</t>
  </si>
  <si>
    <t xml:space="preserve">عم اسامه </t>
  </si>
  <si>
    <t xml:space="preserve">اماني سنترال الجزيرة </t>
  </si>
  <si>
    <t>كراتين لنهال ومجتش</t>
  </si>
  <si>
    <t>ساب 65</t>
  </si>
  <si>
    <t>اسامه</t>
  </si>
  <si>
    <t xml:space="preserve">بلال </t>
  </si>
  <si>
    <t>د.منه</t>
  </si>
  <si>
    <t>950+35+35</t>
  </si>
  <si>
    <t>فالكون</t>
  </si>
  <si>
    <t>ريم ياسر</t>
  </si>
  <si>
    <t>ام حماده</t>
  </si>
  <si>
    <t>هنا سراج</t>
  </si>
  <si>
    <t xml:space="preserve">يوسف </t>
  </si>
  <si>
    <t xml:space="preserve">البطل </t>
  </si>
  <si>
    <t xml:space="preserve">عليها  مشوار </t>
  </si>
  <si>
    <t>عهدة420</t>
  </si>
  <si>
    <t>سلف20</t>
  </si>
  <si>
    <t>توتال470</t>
  </si>
  <si>
    <t>الشغل  30</t>
  </si>
  <si>
    <t>القبض120</t>
  </si>
  <si>
    <t>الصافي350</t>
  </si>
  <si>
    <t>يوسف</t>
  </si>
  <si>
    <t xml:space="preserve">ميتشو </t>
  </si>
  <si>
    <t>معاك350</t>
  </si>
  <si>
    <t xml:space="preserve">بلبل فوده </t>
  </si>
  <si>
    <t>-260 و35</t>
  </si>
  <si>
    <t xml:space="preserve">-40 عصير عبدالرحمن </t>
  </si>
  <si>
    <t>عهدة500+1000</t>
  </si>
  <si>
    <t>توتال165</t>
  </si>
  <si>
    <t>الشغل  115</t>
  </si>
  <si>
    <t>القبض85</t>
  </si>
  <si>
    <t>الصافي عليك 80</t>
  </si>
  <si>
    <t xml:space="preserve">تمت التصفيه بمعرفه </t>
  </si>
  <si>
    <t xml:space="preserve">المسجد الاستاد </t>
  </si>
  <si>
    <t>كات ليدي 1550</t>
  </si>
  <si>
    <t xml:space="preserve">الحجز دكتور </t>
  </si>
  <si>
    <t>سماح سلامه عليها مشوار 35</t>
  </si>
  <si>
    <t xml:space="preserve">كت ليدي </t>
  </si>
  <si>
    <t xml:space="preserve">185 بالشحن </t>
  </si>
  <si>
    <t xml:space="preserve">محمد فكري </t>
  </si>
  <si>
    <t xml:space="preserve">البوسطه </t>
  </si>
  <si>
    <t>توزيع نيهال عبدالعزيز</t>
  </si>
  <si>
    <t>علاء ومصباح وام سلمي</t>
  </si>
  <si>
    <t>2 نيو بابي ليهم 405</t>
  </si>
  <si>
    <t xml:space="preserve">475 بالتوصيل </t>
  </si>
  <si>
    <t xml:space="preserve">متحول انستا لعبدو 405 اوردرات و70 توصيل </t>
  </si>
  <si>
    <t xml:space="preserve">مشتريات ثقه بتوع بورسعيد </t>
  </si>
  <si>
    <t>-65-270</t>
  </si>
  <si>
    <t>ليك 40ج</t>
  </si>
  <si>
    <t xml:space="preserve">يوووووسف </t>
  </si>
  <si>
    <t xml:space="preserve">كوريان  هاوس </t>
  </si>
  <si>
    <t>1850+120</t>
  </si>
  <si>
    <t xml:space="preserve">الحاجه فاطمه الكهرباء طلخا </t>
  </si>
  <si>
    <t xml:space="preserve">الشوا </t>
  </si>
  <si>
    <t xml:space="preserve">سكر </t>
  </si>
  <si>
    <t xml:space="preserve">الاستاد عليها مشوار </t>
  </si>
  <si>
    <t xml:space="preserve">لحمه من نهي ههتوزع </t>
  </si>
  <si>
    <t xml:space="preserve">محمد الشربيني </t>
  </si>
  <si>
    <t xml:space="preserve">ا. ليماء  كفر الشيخ سمان </t>
  </si>
  <si>
    <t xml:space="preserve">650+50 سندوب </t>
  </si>
  <si>
    <t>عبدالسلام عارف 1120+45</t>
  </si>
  <si>
    <t>قناه السويس 1530+40</t>
  </si>
  <si>
    <t>عوض الله 480+40</t>
  </si>
  <si>
    <t xml:space="preserve">وعليها مشوار 45 لمياء </t>
  </si>
  <si>
    <t>قولنجيل 45</t>
  </si>
  <si>
    <t>40 يحيي</t>
  </si>
  <si>
    <t xml:space="preserve">تمت تصفيه اليوم عبدالرحمن </t>
  </si>
  <si>
    <t>الاثنيين</t>
  </si>
  <si>
    <t xml:space="preserve">اخد 100 سلفه </t>
  </si>
  <si>
    <t>اسماء النجار 120+100</t>
  </si>
  <si>
    <t>الهابي لاند جدز دكتور -170وعليها 35</t>
  </si>
  <si>
    <t>شريف40</t>
  </si>
  <si>
    <t>البركه 40</t>
  </si>
  <si>
    <t>متولي  الاكياس عليه 70</t>
  </si>
  <si>
    <t>زين كيدز 40</t>
  </si>
  <si>
    <t>ام مريم 50+650</t>
  </si>
  <si>
    <t>حجز دكتور -500</t>
  </si>
  <si>
    <t xml:space="preserve">نيره </t>
  </si>
  <si>
    <t>نورا برايا 80</t>
  </si>
  <si>
    <t>عهده 500</t>
  </si>
  <si>
    <t>اسماء النجار 105</t>
  </si>
  <si>
    <t>يوساب 35</t>
  </si>
  <si>
    <t>توتال 640</t>
  </si>
  <si>
    <t>ليك 55 قبض</t>
  </si>
  <si>
    <t>معاك 585</t>
  </si>
  <si>
    <t xml:space="preserve">سمر 40 وجبه نيهال عبدالعزيز </t>
  </si>
  <si>
    <t>6*30</t>
  </si>
  <si>
    <t xml:space="preserve">عليه 90 اخدهم ولم تضاف في التصفية </t>
  </si>
  <si>
    <t>د.ساره احمد ماهر 70</t>
  </si>
  <si>
    <t>زين كيدز40</t>
  </si>
  <si>
    <t>جني عبدالله 40</t>
  </si>
  <si>
    <t>تمت التصفيه بمعرفه خالد</t>
  </si>
  <si>
    <t>من حي الجامعه لترويل 40</t>
  </si>
  <si>
    <t>المقدم محمود بكري عليه -150</t>
  </si>
  <si>
    <t xml:space="preserve">تمت التصفيه عبدالرحمن </t>
  </si>
  <si>
    <t>ام مريم 1040+50</t>
  </si>
  <si>
    <t>بلال فوده 155+35</t>
  </si>
  <si>
    <t>ريم ياسر 175+35</t>
  </si>
  <si>
    <t xml:space="preserve">نيهالللموقف الجديد -50 </t>
  </si>
  <si>
    <t xml:space="preserve">بهبيت الحجارة + 3 داخلي </t>
  </si>
  <si>
    <t>120+105</t>
  </si>
  <si>
    <t>تمت التصفيه عمر</t>
  </si>
  <si>
    <t>ام مريم 620</t>
  </si>
  <si>
    <t>200+200+325+460+200+275+740+450+325+600+75+350+535</t>
  </si>
  <si>
    <t>تمت التصفيه بودي</t>
  </si>
  <si>
    <t>ام مريم 9</t>
  </si>
  <si>
    <t>الثالاثاء</t>
  </si>
  <si>
    <t>استريو 65</t>
  </si>
  <si>
    <t>الحاج اسامه 750+50</t>
  </si>
  <si>
    <t xml:space="preserve">كرياتيف 35 </t>
  </si>
  <si>
    <t>مساكن الجامعه 60</t>
  </si>
  <si>
    <t>امقدم 40 +380</t>
  </si>
  <si>
    <t>الحاج ابراهيم -1000+40</t>
  </si>
  <si>
    <t>مها 3 بنات 300+35</t>
  </si>
  <si>
    <t>شريف حسن 40+2000</t>
  </si>
  <si>
    <t>سمر اطعام نهال</t>
  </si>
  <si>
    <t>عليها35+40</t>
  </si>
  <si>
    <t>عزبه عقل</t>
  </si>
  <si>
    <t>1715+35</t>
  </si>
  <si>
    <t>شيخ شريف</t>
  </si>
  <si>
    <t>الشربيني خارجي</t>
  </si>
  <si>
    <t>حول35</t>
  </si>
  <si>
    <t>-50 له من لمبارح</t>
  </si>
  <si>
    <t xml:space="preserve">لمسه عود </t>
  </si>
  <si>
    <t>550+90</t>
  </si>
  <si>
    <t>اطعام 3 ميادة +ام محمد + جورج</t>
  </si>
  <si>
    <t xml:space="preserve">منيه سندوب للخضري </t>
  </si>
  <si>
    <t xml:space="preserve">عليها 35 مشوار اللبن وتم دفع تمن اللبن </t>
  </si>
  <si>
    <t>محمود سلطان</t>
  </si>
  <si>
    <t>يارا عاطف -20عليها</t>
  </si>
  <si>
    <t>نهال موقف بيلا-40</t>
  </si>
  <si>
    <t>عليها50 مشوار</t>
  </si>
  <si>
    <t>هايدي</t>
  </si>
  <si>
    <t>65 مشوارين متحولين</t>
  </si>
  <si>
    <t>عزبه الشال</t>
  </si>
  <si>
    <t>190+40+35</t>
  </si>
  <si>
    <t>اخد 100ج</t>
  </si>
  <si>
    <t>ندي وجيه -15 وحولت 50</t>
  </si>
  <si>
    <t>الطوخي 40</t>
  </si>
  <si>
    <t>اساء الفيقي 1450+35</t>
  </si>
  <si>
    <t xml:space="preserve">نهال الكراتين </t>
  </si>
  <si>
    <t>بيراميز</t>
  </si>
  <si>
    <t xml:space="preserve">كفاله عم خالد </t>
  </si>
  <si>
    <t>عليها 40</t>
  </si>
  <si>
    <t xml:space="preserve">من حي الجامعه للاتوبيس </t>
  </si>
  <si>
    <t xml:space="preserve">شها </t>
  </si>
  <si>
    <t>1410+50</t>
  </si>
  <si>
    <t xml:space="preserve">عبدو يوسف </t>
  </si>
  <si>
    <t xml:space="preserve">محاسبش </t>
  </si>
  <si>
    <t xml:space="preserve">سواق نانسي -150وعليها مشوار </t>
  </si>
  <si>
    <t xml:space="preserve">خطاب لتوريل 40 سماح سلامه ناديه </t>
  </si>
  <si>
    <t>لينك ل بيلا 50</t>
  </si>
  <si>
    <t xml:space="preserve">ريهام نيهال بيلا -40 ومشوار </t>
  </si>
  <si>
    <t>احمد ماهر ندي الانصاري 40</t>
  </si>
  <si>
    <t>احمد ماهر لسعد الشربيني 40</t>
  </si>
  <si>
    <t>شيخ شريف 1300+30</t>
  </si>
  <si>
    <t>الدرسات ل سندوب 50</t>
  </si>
  <si>
    <t>الحاج اسامه ل سندوب 50+1100</t>
  </si>
  <si>
    <t>نديه رمزي سماح سلامه 2000+40</t>
  </si>
  <si>
    <t>ام مريم ميت عنتر 70</t>
  </si>
  <si>
    <t>لينك ل سندوب 50</t>
  </si>
  <si>
    <t xml:space="preserve">سمر ل  طارق وللحضانه نيهال اطعام </t>
  </si>
  <si>
    <t xml:space="preserve">ناديه حي الجامعه </t>
  </si>
  <si>
    <t xml:space="preserve">سلنا 405 بالشنت </t>
  </si>
  <si>
    <t xml:space="preserve">الطوخي دوري طلخا </t>
  </si>
  <si>
    <t xml:space="preserve">مشعل </t>
  </si>
  <si>
    <t xml:space="preserve">اشيكولاته </t>
  </si>
  <si>
    <t>بيلا -30</t>
  </si>
  <si>
    <t>موقف اسكندريه -150</t>
  </si>
  <si>
    <t xml:space="preserve">المفتاح الموقف الجديد </t>
  </si>
  <si>
    <t>توتال 200</t>
  </si>
  <si>
    <t>شغل 200</t>
  </si>
  <si>
    <t xml:space="preserve">قبض 150 </t>
  </si>
  <si>
    <t>ابومكه</t>
  </si>
  <si>
    <t xml:space="preserve">رانيا حسين </t>
  </si>
  <si>
    <t xml:space="preserve">سلكا </t>
  </si>
  <si>
    <t>500+100</t>
  </si>
  <si>
    <t xml:space="preserve">براميذا </t>
  </si>
  <si>
    <t xml:space="preserve">هيحول 50 </t>
  </si>
  <si>
    <t xml:space="preserve">نورا برايا الحل القافل </t>
  </si>
  <si>
    <t>ايمان موافي</t>
  </si>
  <si>
    <t xml:space="preserve">من الطميهي للبيت عنها </t>
  </si>
  <si>
    <t xml:space="preserve">الساعي للدراسات </t>
  </si>
  <si>
    <t xml:space="preserve">وعليه مشوار رجوع </t>
  </si>
  <si>
    <t>35+1885</t>
  </si>
  <si>
    <t>حول 450</t>
  </si>
  <si>
    <t>220+</t>
  </si>
  <si>
    <t>نورين مصطفي</t>
  </si>
  <si>
    <t xml:space="preserve">ايمان السلام </t>
  </si>
  <si>
    <t xml:space="preserve">سارة اسماعيل </t>
  </si>
  <si>
    <t xml:space="preserve">أخت احمد الشرقاوي </t>
  </si>
  <si>
    <t xml:space="preserve">محمد هشام الحمار </t>
  </si>
  <si>
    <t xml:space="preserve">ل معاذ الدجامع ابنها </t>
  </si>
  <si>
    <t xml:space="preserve">سندوب الحاج اسامه </t>
  </si>
  <si>
    <t>40+500</t>
  </si>
  <si>
    <t>الحاج اسامه 500</t>
  </si>
  <si>
    <t>ساميه الجمل 35</t>
  </si>
  <si>
    <t>صافي 500</t>
  </si>
  <si>
    <t xml:space="preserve">2 كوريان هاوس </t>
  </si>
  <si>
    <t xml:space="preserve">من منيه سندوب الي عزبة الشال </t>
  </si>
  <si>
    <t>نهال عبدالعزيز عليها 50</t>
  </si>
  <si>
    <t>من الطميهي + 3ك لبن للبيت عليها مشوارين 70</t>
  </si>
  <si>
    <t xml:space="preserve">اسماء النجار لشقوير </t>
  </si>
  <si>
    <t xml:space="preserve">50 + 300 قديم </t>
  </si>
  <si>
    <t xml:space="preserve">2585 بالشحن </t>
  </si>
  <si>
    <t>اخدت منه 3000 وناقص 20 يعني له 200</t>
  </si>
  <si>
    <t>ام مريم 2</t>
  </si>
  <si>
    <t xml:space="preserve">للترعة عليها مشوار </t>
  </si>
  <si>
    <t xml:space="preserve">380+100 </t>
  </si>
  <si>
    <t>عليه كارت فكه 20 لعمر</t>
  </si>
  <si>
    <t>اميممه 500+840+70</t>
  </si>
  <si>
    <t>عم اسامه 1500+50</t>
  </si>
  <si>
    <t>دفع1500</t>
  </si>
  <si>
    <t>سماح سلامه 460+35</t>
  </si>
  <si>
    <t xml:space="preserve">السلام </t>
  </si>
  <si>
    <t>دفع 460</t>
  </si>
  <si>
    <t>الشونه 35</t>
  </si>
  <si>
    <t xml:space="preserve">قناه السويس 1420+35 اتحول كاش للراسل </t>
  </si>
  <si>
    <t>اوردر اداب ٨٥٠</t>
  </si>
  <si>
    <t>اوردر مستشفي الصدر ٣٨٠</t>
  </si>
  <si>
    <t xml:space="preserve">اميمه </t>
  </si>
  <si>
    <t>دفع 1630و عليه والتوصيلات</t>
  </si>
  <si>
    <t>اوردر طلخا ٥٠٠</t>
  </si>
  <si>
    <t>نسبه 75/</t>
  </si>
  <si>
    <t xml:space="preserve"> ابو انس اسماء النجار </t>
  </si>
  <si>
    <t xml:space="preserve">السبيكه الذهب </t>
  </si>
  <si>
    <t xml:space="preserve">مجمع امحاكم ل بيلا </t>
  </si>
  <si>
    <t>هاله 880+40</t>
  </si>
  <si>
    <t>.3</t>
  </si>
  <si>
    <t xml:space="preserve">عم سعيد </t>
  </si>
  <si>
    <t>نيهال عبدالعزيز-175من عبده</t>
  </si>
  <si>
    <t>ادويه{1150+35ا}مع عبده</t>
  </si>
  <si>
    <t>1200+35+1200+40</t>
  </si>
  <si>
    <t>ملفووف60</t>
  </si>
  <si>
    <t>لينك50</t>
  </si>
  <si>
    <t>سلمي هشام60</t>
  </si>
  <si>
    <t>-2400عبده</t>
  </si>
  <si>
    <t>عليه770</t>
  </si>
  <si>
    <t>دفع70</t>
  </si>
  <si>
    <t>عليه700</t>
  </si>
  <si>
    <t xml:space="preserve">محمد هشام </t>
  </si>
  <si>
    <t>جديله موقف دكرنس حولت 45</t>
  </si>
  <si>
    <t xml:space="preserve">شريف 40 </t>
  </si>
  <si>
    <t xml:space="preserve">الطميهي 70 </t>
  </si>
  <si>
    <t xml:space="preserve">جديله ناديه 40 </t>
  </si>
  <si>
    <t xml:space="preserve">مني الخولي 40 </t>
  </si>
  <si>
    <t>الشاشات عليها 80</t>
  </si>
  <si>
    <t xml:space="preserve">الاوتبيس 40 </t>
  </si>
  <si>
    <t xml:space="preserve">تمت  عبدالرحمن </t>
  </si>
  <si>
    <t>مني الخولي 3</t>
  </si>
  <si>
    <t xml:space="preserve">لمياء سمان 180 شحن </t>
  </si>
  <si>
    <t>ااات</t>
  </si>
  <si>
    <t xml:space="preserve">تمت التصفيه اول 10 ايام من شهر 4 بمعرفه عبدالرحمن </t>
  </si>
  <si>
    <t xml:space="preserve">عليه 700دفع </t>
  </si>
  <si>
    <t>عليه 500</t>
  </si>
  <si>
    <t xml:space="preserve">5 ام مريم </t>
  </si>
  <si>
    <t>4×50+35</t>
  </si>
  <si>
    <t xml:space="preserve">2 ظرف نهال مجمع المحاكم </t>
  </si>
  <si>
    <t xml:space="preserve">أ حمدي </t>
  </si>
  <si>
    <t xml:space="preserve">واحد راح جديله والتاني طلخا  </t>
  </si>
  <si>
    <t xml:space="preserve">زوجة المقدم </t>
  </si>
  <si>
    <t xml:space="preserve">المجد </t>
  </si>
  <si>
    <t xml:space="preserve">-100 عبدو خدهم </t>
  </si>
  <si>
    <t>لك 45 -</t>
  </si>
  <si>
    <t>حسابات شهر ( 4 )</t>
  </si>
  <si>
    <t xml:space="preserve">3 اطعام </t>
  </si>
  <si>
    <t xml:space="preserve">من مبارك لمطعم مارشال </t>
  </si>
  <si>
    <t>بيان الاوردر</t>
  </si>
  <si>
    <t>سحب فلوس خالد</t>
  </si>
  <si>
    <t>تروسيكل عم مسعد</t>
  </si>
  <si>
    <t>ظرف د.امال</t>
  </si>
  <si>
    <t>ف المكتب</t>
  </si>
  <si>
    <t>استيكر نهال 2مشوار</t>
  </si>
  <si>
    <t>شاحن انكر</t>
  </si>
  <si>
    <t>الاطعام</t>
  </si>
  <si>
    <t>سكر السيد</t>
  </si>
  <si>
    <t>سكر عبود</t>
  </si>
  <si>
    <t>سكر خالد</t>
  </si>
  <si>
    <t>نهال عبدالعزيز 3/2/2026</t>
  </si>
  <si>
    <t>ادايدس</t>
  </si>
  <si>
    <t>ظرف كيك بوب</t>
  </si>
  <si>
    <t xml:space="preserve">ظرف لابريل </t>
  </si>
  <si>
    <t>ظرف الاسيوطي</t>
  </si>
  <si>
    <t>ظرف ساميه الجممل</t>
  </si>
  <si>
    <t xml:space="preserve">ظرف توريل </t>
  </si>
  <si>
    <t>سكر ش محمد\ فتحي 4 ك</t>
  </si>
  <si>
    <t>ام اسلام</t>
  </si>
  <si>
    <t>نهال عبدالعزيز4/2/2026</t>
  </si>
  <si>
    <t>كفاله رحاب 3000</t>
  </si>
  <si>
    <t>كفاله عم طارق 1000</t>
  </si>
  <si>
    <t>كفاله محمد رمزي 1000</t>
  </si>
  <si>
    <t>فاتن ش عشر1500</t>
  </si>
  <si>
    <t>ظرف ساعه1.5</t>
  </si>
  <si>
    <t>ظرف الجلاء c&amp;b</t>
  </si>
  <si>
    <t xml:space="preserve">ظرف مبارك </t>
  </si>
  <si>
    <t>عم خالد 1000</t>
  </si>
  <si>
    <t>كفاله1000علاء</t>
  </si>
  <si>
    <t>يوم5</t>
  </si>
  <si>
    <t>اوردر ارامكس35</t>
  </si>
  <si>
    <t>يوم6</t>
  </si>
  <si>
    <t>يوم7</t>
  </si>
  <si>
    <t>يوم8</t>
  </si>
  <si>
    <t>يوم9</t>
  </si>
  <si>
    <t xml:space="preserve">اكل الحضانه </t>
  </si>
  <si>
    <t>البراق</t>
  </si>
  <si>
    <t>ادايديس</t>
  </si>
  <si>
    <t>من نهال لاسراء</t>
  </si>
  <si>
    <t>طرح بحر 250</t>
  </si>
  <si>
    <t xml:space="preserve">الطيبه </t>
  </si>
  <si>
    <t>يوم10</t>
  </si>
  <si>
    <t xml:space="preserve">هدوم </t>
  </si>
  <si>
    <t>من المكتب لبيتها</t>
  </si>
  <si>
    <t>3مشوار سمر للمخزن</t>
  </si>
  <si>
    <t>هديه ريم الخولي</t>
  </si>
  <si>
    <t>شيف عزه</t>
  </si>
  <si>
    <t>سحب كاش</t>
  </si>
  <si>
    <t>وا اخت احمد</t>
  </si>
  <si>
    <t>لطلخا</t>
  </si>
  <si>
    <t>معمل ميدلاب</t>
  </si>
  <si>
    <t>للبيت</t>
  </si>
  <si>
    <t xml:space="preserve">معطر ارضيات </t>
  </si>
  <si>
    <t>بيتها</t>
  </si>
  <si>
    <t xml:space="preserve">الحضانه </t>
  </si>
  <si>
    <t xml:space="preserve">فستان </t>
  </si>
  <si>
    <t xml:space="preserve">ساميه الجمل </t>
  </si>
  <si>
    <t>يوم11</t>
  </si>
  <si>
    <t xml:space="preserve">ل ولاء الزبده 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</si>
  <si>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</si>
  <si>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</si>
  <si>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</si>
  <si>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</si>
  <si>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</si>
  <si>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</si>
  <si>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</si>
  <si>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</si>
  <si>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</si>
  <si>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</si>
  <si>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</si>
  <si>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</si>
  <si>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</si>
  <si>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</si>
  <si>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</si>
  <si>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</si>
  <si>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عمود17</t>
  </si>
  <si>
    <t>عمود18</t>
  </si>
  <si>
    <t>عمود19</t>
  </si>
  <si>
    <t>شحن روزي كاش100ج</t>
  </si>
  <si>
    <t xml:space="preserve">روزي لمبارك </t>
  </si>
  <si>
    <t>كرسي نهال</t>
  </si>
  <si>
    <t xml:space="preserve">البطه نهال </t>
  </si>
  <si>
    <t>بيض اورجانيك-480</t>
  </si>
  <si>
    <t>يوم12</t>
  </si>
  <si>
    <t>نيهال عبد العزيز</t>
  </si>
  <si>
    <t xml:space="preserve">توزيع شنط عبدالرحمن 7 </t>
  </si>
  <si>
    <t>مقشه 70</t>
  </si>
  <si>
    <t>خالد 2وابو عمار 2</t>
  </si>
  <si>
    <t>روزي 100ج</t>
  </si>
  <si>
    <t xml:space="preserve">مشوارين ل نهي رايح جاي </t>
  </si>
  <si>
    <t>نهال عبد العزيز</t>
  </si>
  <si>
    <t xml:space="preserve">لحمه ريهام ل البيت </t>
  </si>
  <si>
    <t xml:space="preserve">3 مشاوير كبار لتوزيع </t>
  </si>
  <si>
    <t xml:space="preserve">مش هنقول اسمها </t>
  </si>
  <si>
    <t xml:space="preserve">العبور والنخله  وجديله </t>
  </si>
  <si>
    <t xml:space="preserve">البراق </t>
  </si>
  <si>
    <t xml:space="preserve">سحب الفلوس </t>
  </si>
  <si>
    <t xml:space="preserve">حنان الرفاعي </t>
  </si>
  <si>
    <t xml:space="preserve">البصل ام محمد </t>
  </si>
  <si>
    <t>توزيع 15 شنطه رمضان</t>
  </si>
  <si>
    <t>الفرخه  415</t>
  </si>
  <si>
    <t>ابراهيم</t>
  </si>
  <si>
    <t xml:space="preserve">بوسعيد ام يوسعيد </t>
  </si>
  <si>
    <t xml:space="preserve">اول يوم شغل </t>
  </si>
  <si>
    <t xml:space="preserve">حنان </t>
  </si>
  <si>
    <t>30+180</t>
  </si>
  <si>
    <t>50+500</t>
  </si>
  <si>
    <t xml:space="preserve">امل رضا </t>
  </si>
  <si>
    <t xml:space="preserve">توريل  </t>
  </si>
  <si>
    <t xml:space="preserve">الجلاء لمحمد فتحي </t>
  </si>
  <si>
    <t xml:space="preserve">د.نورا برايا </t>
  </si>
  <si>
    <t xml:space="preserve">الطعميه واللبن والعيش والبطاطس </t>
  </si>
  <si>
    <t>-220وعليها 2 مشوار 70</t>
  </si>
  <si>
    <t xml:space="preserve">تمت التصفيه بمعرفه عبدالرحمن </t>
  </si>
  <si>
    <t xml:space="preserve">محمد الساعي </t>
  </si>
  <si>
    <t>ابو النجا</t>
  </si>
  <si>
    <t>ابرار</t>
  </si>
  <si>
    <t>ام مليكه</t>
  </si>
  <si>
    <t>ابراهيم لينك</t>
  </si>
  <si>
    <t>أ.نهال عبد العزيز</t>
  </si>
  <si>
    <t>عليها30</t>
  </si>
  <si>
    <t>2 كيس من سمر المرسي من المكتب</t>
  </si>
  <si>
    <t>5 وحبات شيماء عبدالعزيز</t>
  </si>
  <si>
    <t>ساميه الجمل</t>
  </si>
  <si>
    <t>شيماء عبدالعزيز</t>
  </si>
  <si>
    <t>الاتوبيس القديم</t>
  </si>
  <si>
    <t>نهال عبدالعزيز موني بلاط</t>
  </si>
  <si>
    <t>هدير قناه السويس</t>
  </si>
  <si>
    <t xml:space="preserve">نور حمزه </t>
  </si>
  <si>
    <t>200+35+425+35</t>
  </si>
  <si>
    <t>-30عبده</t>
  </si>
  <si>
    <t xml:space="preserve"> مع خالد575</t>
  </si>
  <si>
    <t>تمت التصفيه بمعرفه عمر البربري</t>
  </si>
  <si>
    <t>325+40</t>
  </si>
  <si>
    <t xml:space="preserve">المهندس </t>
  </si>
  <si>
    <t xml:space="preserve">هيحول </t>
  </si>
  <si>
    <t>115+45</t>
  </si>
  <si>
    <t xml:space="preserve">المجزر ل السلام </t>
  </si>
  <si>
    <t>ئ</t>
  </si>
  <si>
    <t xml:space="preserve">عمل  3 اوردرات ب 105 واخدتهم منه </t>
  </si>
  <si>
    <t xml:space="preserve">اشتغل 3 ايام </t>
  </si>
  <si>
    <t xml:space="preserve">من بكره اليوم الرابع </t>
  </si>
  <si>
    <t xml:space="preserve">مريم كساب </t>
  </si>
  <si>
    <t xml:space="preserve">منه </t>
  </si>
  <si>
    <t>500 مشتريات ومعاه 80</t>
  </si>
  <si>
    <t xml:space="preserve">محمد الجمل </t>
  </si>
  <si>
    <t>نشأت 60</t>
  </si>
  <si>
    <t>نيو بيبي 2</t>
  </si>
  <si>
    <t>50 والتاني في المحل</t>
  </si>
  <si>
    <t xml:space="preserve">-350 عبدو </t>
  </si>
  <si>
    <t xml:space="preserve">من احمد ماهر لبورسعيد </t>
  </si>
  <si>
    <t>----</t>
  </si>
  <si>
    <t>خد 100</t>
  </si>
  <si>
    <t xml:space="preserve">اخدت منه </t>
  </si>
  <si>
    <t xml:space="preserve">اديته 100 </t>
  </si>
  <si>
    <t>باقي 395</t>
  </si>
  <si>
    <t xml:space="preserve">من سامي الجمل الي مبارك </t>
  </si>
  <si>
    <t xml:space="preserve">شيماء سليمان حولت 400 وادتله 25 </t>
  </si>
  <si>
    <t xml:space="preserve">حسابها 390+35 </t>
  </si>
  <si>
    <t xml:space="preserve">نادي الجزيرة </t>
  </si>
  <si>
    <t xml:space="preserve">سويت هوم </t>
  </si>
  <si>
    <t>شيماء سليمان ساميه الجمل</t>
  </si>
  <si>
    <t>عبدو خد الفلوس كلها واداله 100</t>
  </si>
  <si>
    <t xml:space="preserve">جايلان لمجمع المحاكم </t>
  </si>
  <si>
    <t xml:space="preserve">جايلان لحي الجامعه </t>
  </si>
  <si>
    <t xml:space="preserve">دفع 130 لعبدو </t>
  </si>
  <si>
    <t xml:space="preserve">ظرف نهال من الجلاء </t>
  </si>
  <si>
    <t xml:space="preserve">عمر اخد 140 وادي 350 ليوسف </t>
  </si>
  <si>
    <t xml:space="preserve">بمعرفة عبدو </t>
  </si>
  <si>
    <t xml:space="preserve">سيمو فايد 150+35 شيماء سليمان </t>
  </si>
  <si>
    <t>هدير المصر40</t>
  </si>
  <si>
    <t>حولتلها  890</t>
  </si>
  <si>
    <t xml:space="preserve">ام صهيب </t>
  </si>
  <si>
    <t xml:space="preserve">الشحن ام صهيب </t>
  </si>
  <si>
    <t xml:space="preserve">عليها شحن </t>
  </si>
  <si>
    <t xml:space="preserve">نهال لحماتها </t>
  </si>
  <si>
    <t>كوريان هاوس 2</t>
  </si>
  <si>
    <t>130+35+</t>
  </si>
  <si>
    <t>الجلاء ل احمد ماهر 40</t>
  </si>
  <si>
    <t xml:space="preserve">ايناس شبانه نيهال عبدالعزيز </t>
  </si>
  <si>
    <t>الاندومي نورا برايا --200</t>
  </si>
  <si>
    <t>-20 اخدتهم منه</t>
  </si>
  <si>
    <t>حاله الاوردر</t>
  </si>
  <si>
    <t xml:space="preserve">عمر العايق </t>
  </si>
  <si>
    <t>شيماء صبحي</t>
  </si>
  <si>
    <t xml:space="preserve">عزبه الشال </t>
  </si>
  <si>
    <t>35فقط</t>
  </si>
  <si>
    <t xml:space="preserve">عمرو العايق </t>
  </si>
  <si>
    <t xml:space="preserve">سالي عاجل </t>
  </si>
  <si>
    <t>الاوتبيس الجديد</t>
  </si>
  <si>
    <t>350+35</t>
  </si>
  <si>
    <t xml:space="preserve">روشا يوسف </t>
  </si>
  <si>
    <t>جديله البحر</t>
  </si>
  <si>
    <t>140+35</t>
  </si>
  <si>
    <t>لا ترد</t>
  </si>
  <si>
    <t xml:space="preserve">دينا  علي </t>
  </si>
  <si>
    <t>بكرا</t>
  </si>
  <si>
    <t xml:space="preserve">نرمين مجدي </t>
  </si>
  <si>
    <t>الاوتبيس قديم</t>
  </si>
  <si>
    <t>شحن فقط</t>
  </si>
  <si>
    <t>تم التسليم</t>
  </si>
  <si>
    <t>ب</t>
  </si>
  <si>
    <t xml:space="preserve">د.نهال </t>
  </si>
  <si>
    <t>جديله رخام</t>
  </si>
  <si>
    <t>135+35+</t>
  </si>
  <si>
    <t>ليست موجوده</t>
  </si>
  <si>
    <t>بوسي الزيني</t>
  </si>
  <si>
    <t xml:space="preserve">المطافي </t>
  </si>
  <si>
    <t>200+35</t>
  </si>
  <si>
    <t>عبير إبراهيم</t>
  </si>
  <si>
    <t xml:space="preserve">النخله </t>
  </si>
  <si>
    <t xml:space="preserve">بدون </t>
  </si>
  <si>
    <t xml:space="preserve">جاسمين </t>
  </si>
  <si>
    <t>ساره محمد</t>
  </si>
  <si>
    <t>تم 260</t>
  </si>
  <si>
    <t xml:space="preserve">حنين متولي </t>
  </si>
  <si>
    <t xml:space="preserve">ايمان جمال </t>
  </si>
  <si>
    <t>410+مرتجع</t>
  </si>
  <si>
    <t xml:space="preserve">أسماء الشوربجي </t>
  </si>
  <si>
    <t>280+35</t>
  </si>
  <si>
    <t xml:space="preserve">سمر سويلم </t>
  </si>
  <si>
    <t>430+35</t>
  </si>
  <si>
    <t xml:space="preserve">عبير عادل </t>
  </si>
  <si>
    <t>1385+35</t>
  </si>
  <si>
    <t xml:space="preserve">ايمان سامي </t>
  </si>
  <si>
    <t xml:space="preserve">مجمعالمحاكم </t>
  </si>
  <si>
    <t>150+مرتجع</t>
  </si>
  <si>
    <t xml:space="preserve">سولا سعد </t>
  </si>
  <si>
    <t>سميه الهلالي</t>
  </si>
  <si>
    <t xml:space="preserve">بكره </t>
  </si>
  <si>
    <t>ماني</t>
  </si>
  <si>
    <t>عجوزات / خصومات</t>
  </si>
  <si>
    <t>له</t>
  </si>
  <si>
    <t>صافي</t>
  </si>
  <si>
    <t xml:space="preserve">ابو يونس </t>
  </si>
  <si>
    <t xml:space="preserve">ظرف نور موسي </t>
  </si>
  <si>
    <t>وادايدس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</si>
</sst>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yyyy/MM/dd"/>
    <numFmt numFmtId="166" formatCode="d/m/yyyy"/>
    <numFmt numFmtId="167" formatCode="dd/mm/yyyy"/>
  </numFmts>
  <fonts count="42">
    <font>
      <sz val="11.0"/>
      <color theme="1"/>
      <name val="Calibri"/>
      <scheme val="minor"/>
    </font>
    <font>
      <sz val="18.0"/>
      <color theme="1"/>
      <name val="Arial"/>
    </font>
    <font/>
    <font>
      <sz val="11.0"/>
      <color theme="1"/>
      <name val="Arial"/>
    </font>
    <font>
      <b/>
      <sz val="14.0"/>
      <color rgb="FFFFFFFF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0"/>
      <name val="Arial"/>
    </font>
    <font>
      <sz val="12.0"/>
      <color theme="1"/>
      <name val="Arial"/>
    </font>
    <font>
      <b/>
      <sz val="16.0"/>
      <color rgb="FF000000"/>
      <name val="Arial"/>
    </font>
    <font>
      <sz val="11.0"/>
      <color theme="1"/>
      <name val="Calibri"/>
    </font>
    <font>
      <sz val="16.0"/>
      <color theme="1"/>
      <name val="Arial"/>
    </font>
    <font>
      <sz val="16.0"/>
      <color rgb="FF000000"/>
      <name val="Arial"/>
    </font>
    <font>
      <sz val="16.0"/>
      <color theme="1"/>
      <name val="Calibri"/>
    </font>
    <font>
      <color theme="1"/>
      <name val="Calibri"/>
    </font>
    <font>
      <sz val="19.0"/>
      <color rgb="FF000000"/>
      <name val="Arial"/>
    </font>
    <font>
      <sz val="19.0"/>
      <color theme="1"/>
      <name val="Calibri"/>
      <scheme val="minor"/>
    </font>
    <font>
      <sz val="16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Arial"/>
    </font>
    <font>
      <sz val="17.0"/>
      <color theme="1"/>
      <name val="Calibri"/>
    </font>
    <font>
      <b/>
      <sz val="16.0"/>
      <color theme="1"/>
      <name val="Calibri"/>
    </font>
    <font>
      <sz val="12.0"/>
      <color theme="1"/>
      <name val="Calibri"/>
    </font>
    <font>
      <sz val="18.0"/>
      <color theme="1"/>
      <name val="Calibri"/>
    </font>
    <font>
      <sz val="11.0"/>
      <color rgb="FF000000"/>
      <name val="Calibri"/>
    </font>
    <font>
      <sz val="20.0"/>
      <color theme="1"/>
      <name val="Calibri"/>
    </font>
    <font>
      <b/>
      <sz val="11.0"/>
      <color rgb="FF000000"/>
      <name val="Calibri"/>
    </font>
    <font>
      <sz val="17.0"/>
      <color theme="1"/>
      <name val="Calibri"/>
      <scheme val="minor"/>
    </font>
    <font>
      <color rgb="FF434343"/>
      <name val="Roboto"/>
    </font>
    <font>
      <sz val="20.0"/>
      <color theme="1"/>
      <name val="Calibri"/>
      <scheme val="minor"/>
    </font>
    <font>
      <sz val="14.0"/>
      <color rgb="FF000000"/>
      <name val="Arial"/>
    </font>
    <font>
      <sz val="12.0"/>
      <color rgb="FF000000"/>
      <name val="Calibri"/>
    </font>
    <font>
      <sz val="12.0"/>
      <color rgb="FF000000"/>
      <name val="Arial"/>
    </font>
    <font>
      <b/>
      <sz val="16.0"/>
      <color rgb="FF000000"/>
      <name val="Calibri"/>
    </font>
    <font>
      <sz val="15.0"/>
      <color theme="1"/>
      <name val="Calibri"/>
    </font>
    <font>
      <sz val="12.0"/>
      <color rgb="FFFFFFFF"/>
      <name val="Arial"/>
    </font>
    <font>
      <sz val="11.0"/>
      <color rgb="FFFFFFFF"/>
      <name val="Arial"/>
    </font>
    <font>
      <b/>
      <sz val="12.0"/>
      <color rgb="FFADB9CA"/>
      <name val="Arial"/>
    </font>
    <font>
      <sz val="12.0"/>
      <color rgb="FFADB9CA"/>
      <name val="Arial"/>
    </font>
    <font>
      <sz val="11.0"/>
      <color rgb="FFADB9CA"/>
      <name val="Arial"/>
    </font>
    <font>
      <b/>
      <sz val="12.0"/>
      <color theme="1"/>
      <name val="Arial"/>
    </font>
    <font>
      <sz val="11.0"/>
      <color theme="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theme="7"/>
        <bgColor theme="7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0C0C0C"/>
        <bgColor rgb="FF0C0C0C"/>
      </patternFill>
    </fill>
    <fill>
      <patternFill patternType="solid">
        <fgColor rgb="FFF7CAAC"/>
        <bgColor rgb="FFF7CAAC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 style="thin">
        <color theme="1"/>
      </left>
      <right/>
      <top style="thin">
        <color theme="1"/>
      </top>
      <bottom/>
    </border>
    <border>
      <left/>
      <right style="thin">
        <color rgb="FF8EAADB"/>
      </right>
      <top style="thin">
        <color rgb="FF8EAADB"/>
      </top>
      <bottom/>
    </border>
    <border>
      <right style="thin">
        <color rgb="FF8EAADB"/>
      </right>
      <top style="thin">
        <color rgb="FF8EAA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rgb="FF8EAADB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center" wrapText="1"/>
    </xf>
    <xf borderId="2" fillId="2" fontId="1" numFmtId="0" xfId="0" applyAlignment="1" applyBorder="1" applyFont="1">
      <alignment horizontal="righ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right"/>
    </xf>
    <xf borderId="5" fillId="3" fontId="3" numFmtId="0" xfId="0" applyAlignment="1" applyBorder="1" applyFill="1" applyFont="1">
      <alignment horizontal="right"/>
    </xf>
    <xf borderId="5" fillId="4" fontId="3" numFmtId="0" xfId="0" applyAlignment="1" applyBorder="1" applyFill="1" applyFont="1">
      <alignment horizontal="right"/>
    </xf>
    <xf borderId="6" fillId="2" fontId="1" numFmtId="0" xfId="0" applyAlignment="1" applyBorder="1" applyFont="1">
      <alignment horizontal="right" shrinkToFit="0" vertical="center" wrapText="1"/>
    </xf>
    <xf borderId="7" fillId="2" fontId="1" numFmtId="0" xfId="0" applyAlignment="1" applyBorder="1" applyFont="1">
      <alignment horizontal="right" readingOrder="0" shrinkToFit="0" vertical="center" wrapText="1"/>
    </xf>
    <xf borderId="8" fillId="0" fontId="2" numFmtId="0" xfId="0" applyBorder="1" applyFont="1"/>
    <xf borderId="5" fillId="5" fontId="3" numFmtId="0" xfId="0" applyAlignment="1" applyBorder="1" applyFill="1" applyFont="1">
      <alignment horizontal="right"/>
    </xf>
    <xf borderId="6" fillId="3" fontId="4" numFmtId="0" xfId="0" applyAlignment="1" applyBorder="1" applyFont="1">
      <alignment horizontal="right" readingOrder="0" vertical="top"/>
    </xf>
    <xf borderId="6" fillId="6" fontId="4" numFmtId="0" xfId="0" applyAlignment="1" applyBorder="1" applyFill="1" applyFont="1">
      <alignment horizontal="right" readingOrder="0" vertical="top"/>
    </xf>
    <xf borderId="6" fillId="7" fontId="4" numFmtId="0" xfId="0" applyAlignment="1" applyBorder="1" applyFill="1" applyFont="1">
      <alignment horizontal="right" readingOrder="0" vertical="top"/>
    </xf>
    <xf borderId="6" fillId="8" fontId="4" numFmtId="0" xfId="0" applyAlignment="1" applyBorder="1" applyFill="1" applyFont="1">
      <alignment horizontal="right" readingOrder="0" vertical="top"/>
    </xf>
    <xf borderId="9" fillId="9" fontId="4" numFmtId="0" xfId="0" applyAlignment="1" applyBorder="1" applyFill="1" applyFont="1">
      <alignment horizontal="right" readingOrder="0" vertical="top"/>
    </xf>
    <xf borderId="9" fillId="10" fontId="4" numFmtId="0" xfId="0" applyAlignment="1" applyBorder="1" applyFill="1" applyFont="1">
      <alignment horizontal="right" readingOrder="0" vertical="top"/>
    </xf>
    <xf borderId="10" fillId="11" fontId="5" numFmtId="0" xfId="0" applyAlignment="1" applyBorder="1" applyFill="1" applyFont="1">
      <alignment horizontal="right" readingOrder="0" vertical="top"/>
    </xf>
    <xf borderId="5" fillId="3" fontId="6" numFmtId="0" xfId="0" applyAlignment="1" applyBorder="1" applyFont="1">
      <alignment horizontal="right" readingOrder="0" vertical="top"/>
    </xf>
    <xf borderId="5" fillId="4" fontId="6" numFmtId="0" xfId="0" applyAlignment="1" applyBorder="1" applyFont="1">
      <alignment horizontal="right" readingOrder="0" vertical="top"/>
    </xf>
    <xf borderId="0" fillId="0" fontId="6" numFmtId="0" xfId="0" applyAlignment="1" applyFont="1">
      <alignment horizontal="right" readingOrder="0" vertical="top"/>
    </xf>
    <xf borderId="0" fillId="0" fontId="6" numFmtId="0" xfId="0" applyAlignment="1" applyFont="1">
      <alignment horizontal="right" vertical="top"/>
    </xf>
    <xf borderId="1" fillId="3" fontId="7" numFmtId="0" xfId="0" applyAlignment="1" applyBorder="1" applyFont="1">
      <alignment horizontal="right" vertical="top"/>
    </xf>
    <xf borderId="1" fillId="0" fontId="8" numFmtId="14" xfId="0" applyAlignment="1" applyBorder="1" applyFont="1" applyNumberFormat="1">
      <alignment horizontal="right"/>
    </xf>
    <xf borderId="1" fillId="12" fontId="8" numFmtId="0" xfId="0" applyAlignment="1" applyBorder="1" applyFill="1" applyFont="1">
      <alignment horizontal="right" readingOrder="0"/>
    </xf>
    <xf borderId="1" fillId="6" fontId="8" numFmtId="0" xfId="0" applyAlignment="1" applyBorder="1" applyFont="1">
      <alignment horizontal="right" readingOrder="0" vertical="top"/>
    </xf>
    <xf borderId="1" fillId="6" fontId="8" numFmtId="0" xfId="0" applyAlignment="1" applyBorder="1" applyFont="1">
      <alignment horizontal="right" vertical="top"/>
    </xf>
    <xf borderId="1" fillId="7" fontId="8" numFmtId="0" xfId="0" applyAlignment="1" applyBorder="1" applyFont="1">
      <alignment horizontal="right" readingOrder="0" vertical="top"/>
    </xf>
    <xf borderId="1" fillId="7" fontId="8" numFmtId="0" xfId="0" applyAlignment="1" applyBorder="1" applyFont="1">
      <alignment horizontal="right" vertical="top"/>
    </xf>
    <xf borderId="1" fillId="8" fontId="8" numFmtId="0" xfId="0" applyAlignment="1" applyBorder="1" applyFont="1">
      <alignment horizontal="right" vertical="top"/>
    </xf>
    <xf borderId="1" fillId="8" fontId="8" numFmtId="164" xfId="0" applyAlignment="1" applyBorder="1" applyFont="1" applyNumberFormat="1">
      <alignment horizontal="right" vertical="top"/>
    </xf>
    <xf borderId="1" fillId="9" fontId="8" numFmtId="0" xfId="0" applyAlignment="1" applyBorder="1" applyFont="1">
      <alignment horizontal="right"/>
    </xf>
    <xf borderId="1" fillId="9" fontId="8" numFmtId="0" xfId="0" applyAlignment="1" applyBorder="1" applyFont="1">
      <alignment horizontal="right" readingOrder="0"/>
    </xf>
    <xf borderId="1" fillId="9" fontId="8" numFmtId="1" xfId="0" applyAlignment="1" applyBorder="1" applyFont="1" applyNumberFormat="1">
      <alignment horizontal="right"/>
    </xf>
    <xf borderId="1" fillId="10" fontId="8" numFmtId="0" xfId="0" applyAlignment="1" applyBorder="1" applyFont="1">
      <alignment horizontal="right"/>
    </xf>
    <xf borderId="10" fillId="12" fontId="8" numFmtId="0" xfId="0" applyAlignment="1" applyBorder="1" applyFont="1">
      <alignment horizontal="right" readingOrder="0"/>
    </xf>
    <xf borderId="5" fillId="3" fontId="8" numFmtId="0" xfId="0" applyAlignment="1" applyBorder="1" applyFont="1">
      <alignment horizontal="right"/>
    </xf>
    <xf borderId="5" fillId="4" fontId="8" numFmtId="0" xfId="0" applyAlignment="1" applyBorder="1" applyFont="1">
      <alignment horizontal="right"/>
    </xf>
    <xf borderId="0" fillId="0" fontId="8" numFmtId="0" xfId="0" applyAlignment="1" applyFont="1">
      <alignment horizontal="right"/>
    </xf>
    <xf borderId="0" fillId="0" fontId="8" numFmtId="14" xfId="0" applyAlignment="1" applyFont="1" applyNumberFormat="1">
      <alignment horizontal="right"/>
    </xf>
    <xf borderId="11" fillId="0" fontId="8" numFmtId="0" xfId="0" applyAlignment="1" applyBorder="1" applyFont="1">
      <alignment horizontal="right" readingOrder="0"/>
    </xf>
    <xf borderId="1" fillId="8" fontId="8" numFmtId="0" xfId="0" applyAlignment="1" applyBorder="1" applyFont="1">
      <alignment horizontal="right" readingOrder="0" vertical="top"/>
    </xf>
    <xf borderId="10" fillId="12" fontId="8" numFmtId="0" xfId="0" applyAlignment="1" applyBorder="1" applyFont="1">
      <alignment horizontal="right"/>
    </xf>
    <xf borderId="11" fillId="0" fontId="8" numFmtId="0" xfId="0" applyAlignment="1" applyBorder="1" applyFont="1">
      <alignment horizontal="right"/>
    </xf>
    <xf borderId="10" fillId="12" fontId="3" numFmtId="0" xfId="0" applyAlignment="1" applyBorder="1" applyFont="1">
      <alignment horizontal="right" readingOrder="0"/>
    </xf>
    <xf borderId="5" fillId="5" fontId="3" numFmtId="0" xfId="0" applyAlignment="1" applyBorder="1" applyFont="1">
      <alignment horizontal="right" readingOrder="0"/>
    </xf>
    <xf borderId="5" fillId="4" fontId="3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11" fillId="0" fontId="3" numFmtId="0" xfId="0" applyAlignment="1" applyBorder="1" applyFont="1">
      <alignment horizontal="right" readingOrder="0"/>
    </xf>
    <xf borderId="10" fillId="12" fontId="3" numFmtId="0" xfId="0" applyAlignment="1" applyBorder="1" applyFont="1">
      <alignment horizontal="right"/>
    </xf>
    <xf borderId="11" fillId="0" fontId="3" numFmtId="0" xfId="0" applyAlignment="1" applyBorder="1" applyFont="1">
      <alignment horizontal="right"/>
    </xf>
    <xf borderId="5" fillId="3" fontId="3" numFmtId="0" xfId="0" applyAlignment="1" applyBorder="1" applyFont="1">
      <alignment horizontal="right" readingOrder="0"/>
    </xf>
    <xf borderId="1" fillId="12" fontId="8" numFmtId="0" xfId="0" applyAlignment="1" applyBorder="1" applyFont="1">
      <alignment horizontal="right"/>
    </xf>
    <xf borderId="0" fillId="0" fontId="8" numFmtId="0" xfId="0" applyAlignment="1" applyFont="1">
      <alignment readingOrder="0"/>
    </xf>
    <xf borderId="0" fillId="0" fontId="8" numFmtId="0" xfId="0" applyFont="1"/>
    <xf borderId="1" fillId="13" fontId="9" numFmtId="0" xfId="0" applyAlignment="1" applyBorder="1" applyFill="1" applyFont="1">
      <alignment horizontal="center" readingOrder="0" vertical="top"/>
    </xf>
    <xf borderId="2" fillId="13" fontId="9" numFmtId="0" xfId="0" applyAlignment="1" applyBorder="1" applyFont="1">
      <alignment horizontal="center" readingOrder="0" vertical="top"/>
    </xf>
    <xf borderId="0" fillId="14" fontId="10" numFmtId="0" xfId="0" applyFill="1" applyFont="1"/>
    <xf borderId="0" fillId="0" fontId="11" numFmtId="0" xfId="0" applyAlignment="1" applyFont="1">
      <alignment horizontal="right"/>
    </xf>
    <xf borderId="1" fillId="13" fontId="9" numFmtId="0" xfId="0" applyAlignment="1" applyBorder="1" applyFont="1">
      <alignment horizontal="center" vertical="top"/>
    </xf>
    <xf borderId="1" fillId="15" fontId="12" numFmtId="14" xfId="0" applyAlignment="1" applyBorder="1" applyFill="1" applyFont="1" applyNumberFormat="1">
      <alignment horizontal="right" readingOrder="0"/>
    </xf>
    <xf borderId="1" fillId="15" fontId="13" numFmtId="0" xfId="0" applyAlignment="1" applyBorder="1" applyFont="1">
      <alignment readingOrder="0"/>
    </xf>
    <xf borderId="1" fillId="16" fontId="12" numFmtId="0" xfId="0" applyAlignment="1" applyBorder="1" applyFill="1" applyFont="1">
      <alignment horizontal="right" readingOrder="0"/>
    </xf>
    <xf borderId="1" fillId="16" fontId="12" numFmtId="0" xfId="0" applyAlignment="1" applyBorder="1" applyFont="1">
      <alignment horizontal="right" readingOrder="0" vertical="top"/>
    </xf>
    <xf borderId="1" fillId="17" fontId="12" numFmtId="0" xfId="0" applyAlignment="1" applyBorder="1" applyFill="1" applyFont="1">
      <alignment horizontal="right" readingOrder="0" vertical="top"/>
    </xf>
    <xf borderId="1" fillId="15" fontId="12" numFmtId="14" xfId="0" applyAlignment="1" applyBorder="1" applyFont="1" applyNumberFormat="1">
      <alignment horizontal="right"/>
    </xf>
    <xf borderId="1" fillId="15" fontId="13" numFmtId="0" xfId="0" applyAlignment="1" applyBorder="1" applyFont="1">
      <alignment readingOrder="0"/>
    </xf>
    <xf borderId="1" fillId="17" fontId="12" numFmtId="0" xfId="0" applyAlignment="1" applyBorder="1" applyFont="1">
      <alignment horizontal="right" readingOrder="0" vertical="top"/>
    </xf>
    <xf borderId="1" fillId="17" fontId="12" numFmtId="0" xfId="0" applyAlignment="1" applyBorder="1" applyFont="1">
      <alignment horizontal="right" vertical="top"/>
    </xf>
    <xf borderId="1" fillId="16" fontId="12" numFmtId="0" xfId="0" applyAlignment="1" applyBorder="1" applyFont="1">
      <alignment horizontal="right" vertical="top"/>
    </xf>
    <xf borderId="12" fillId="13" fontId="9" numFmtId="0" xfId="0" applyAlignment="1" applyBorder="1" applyFont="1">
      <alignment horizontal="center" vertical="top"/>
    </xf>
    <xf borderId="12" fillId="15" fontId="12" numFmtId="14" xfId="0" applyAlignment="1" applyBorder="1" applyFont="1" applyNumberFormat="1">
      <alignment horizontal="right"/>
    </xf>
    <xf borderId="12" fillId="15" fontId="13" numFmtId="0" xfId="0" applyAlignment="1" applyBorder="1" applyFont="1">
      <alignment readingOrder="0"/>
    </xf>
    <xf borderId="0" fillId="14" fontId="12" numFmtId="0" xfId="0" applyAlignment="1" applyFont="1">
      <alignment horizontal="center"/>
    </xf>
    <xf borderId="0" fillId="14" fontId="12" numFmtId="14" xfId="0" applyAlignment="1" applyFont="1" applyNumberFormat="1">
      <alignment horizontal="right"/>
    </xf>
    <xf borderId="0" fillId="14" fontId="14" numFmtId="0" xfId="0" applyFont="1"/>
    <xf borderId="4" fillId="13" fontId="9" numFmtId="0" xfId="0" applyAlignment="1" applyBorder="1" applyFont="1">
      <alignment horizontal="right" readingOrder="0" vertical="top"/>
    </xf>
    <xf borderId="1" fillId="13" fontId="9" numFmtId="0" xfId="0" applyAlignment="1" applyBorder="1" applyFont="1">
      <alignment horizontal="right" vertical="top"/>
    </xf>
    <xf borderId="0" fillId="14" fontId="9" numFmtId="0" xfId="0" applyAlignment="1" applyFont="1">
      <alignment horizontal="center" vertical="top"/>
    </xf>
    <xf borderId="1" fillId="13" fontId="9" numFmtId="0" xfId="0" applyAlignment="1" applyBorder="1" applyFont="1">
      <alignment horizontal="right" readingOrder="0" vertical="top"/>
    </xf>
    <xf borderId="4" fillId="13" fontId="9" numFmtId="0" xfId="0" applyAlignment="1" applyBorder="1" applyFont="1">
      <alignment horizontal="right" readingOrder="0" vertical="top"/>
    </xf>
    <xf borderId="1" fillId="16" fontId="12" numFmtId="0" xfId="0" applyAlignment="1" applyBorder="1" applyFont="1">
      <alignment horizontal="right" readingOrder="0" vertical="top"/>
    </xf>
    <xf borderId="1" fillId="16" fontId="15" numFmtId="0" xfId="0" applyAlignment="1" applyBorder="1" applyFont="1">
      <alignment horizontal="right"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1" fillId="13" fontId="9" numFmtId="0" xfId="0" applyAlignment="1" applyBorder="1" applyFont="1">
      <alignment horizontal="right" readingOrder="0" vertical="top"/>
    </xf>
    <xf borderId="1" fillId="15" fontId="12" numFmtId="165" xfId="0" applyAlignment="1" applyBorder="1" applyFont="1" applyNumberFormat="1">
      <alignment horizontal="right" readingOrder="0"/>
    </xf>
    <xf borderId="12" fillId="13" fontId="9" numFmtId="0" xfId="0" applyAlignment="1" applyBorder="1" applyFont="1">
      <alignment horizontal="center" readingOrder="0" vertical="top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right" shrinkToFit="0" wrapText="1"/>
    </xf>
    <xf borderId="0" fillId="0" fontId="12" numFmtId="0" xfId="0" applyAlignment="1" applyFont="1">
      <alignment horizontal="right" readingOrder="0" shrinkToFit="0" wrapText="1"/>
    </xf>
    <xf borderId="0" fillId="14" fontId="9" numFmtId="0" xfId="0" applyAlignment="1" applyFont="1">
      <alignment horizontal="center" shrinkToFit="0" vertical="top" wrapText="1"/>
    </xf>
    <xf borderId="0" fillId="14" fontId="12" numFmtId="0" xfId="0" applyAlignment="1" applyFont="1">
      <alignment horizontal="right" shrinkToFit="0" wrapText="1"/>
    </xf>
    <xf borderId="0" fillId="14" fontId="13" numFmtId="0" xfId="0" applyAlignment="1" applyFont="1">
      <alignment horizontal="right" shrinkToFit="0" wrapText="1"/>
    </xf>
    <xf borderId="4" fillId="13" fontId="9" numFmtId="0" xfId="0" applyAlignment="1" applyBorder="1" applyFont="1">
      <alignment horizontal="right" readingOrder="0" shrinkToFit="0" vertical="top" wrapText="1"/>
    </xf>
    <xf borderId="1" fillId="13" fontId="9" numFmtId="0" xfId="0" applyAlignment="1" applyBorder="1" applyFont="1">
      <alignment horizontal="right" readingOrder="0" shrinkToFit="0" vertical="top" wrapText="1"/>
    </xf>
    <xf borderId="0" fillId="14" fontId="13" numFmtId="0" xfId="0" applyAlignment="1" applyFont="1">
      <alignment horizontal="right" readingOrder="0" shrinkToFit="0" wrapText="1"/>
    </xf>
    <xf borderId="0" fillId="0" fontId="17" numFmtId="0" xfId="0" applyAlignment="1" applyFont="1">
      <alignment readingOrder="0"/>
    </xf>
    <xf borderId="4" fillId="13" fontId="9" numFmtId="0" xfId="0" applyAlignment="1" applyBorder="1" applyFont="1">
      <alignment horizontal="right" readingOrder="0" vertical="center"/>
    </xf>
    <xf borderId="1" fillId="13" fontId="9" numFmtId="0" xfId="0" applyAlignment="1" applyBorder="1" applyFont="1">
      <alignment horizontal="right" readingOrder="0" vertical="center"/>
    </xf>
    <xf borderId="0" fillId="14" fontId="13" numFmtId="0" xfId="0" applyAlignment="1" applyFont="1">
      <alignment readingOrder="0"/>
    </xf>
    <xf borderId="1" fillId="13" fontId="9" numFmtId="0" xfId="0" applyAlignment="1" applyBorder="1" applyFont="1">
      <alignment horizontal="center" readingOrder="0" vertical="center"/>
    </xf>
    <xf borderId="2" fillId="13" fontId="9" numFmtId="0" xfId="0" applyAlignment="1" applyBorder="1" applyFont="1">
      <alignment horizontal="center" readingOrder="0" vertical="center"/>
    </xf>
    <xf borderId="1" fillId="13" fontId="9" numFmtId="0" xfId="0" applyAlignment="1" applyBorder="1" applyFont="1">
      <alignment horizontal="center" vertical="center"/>
    </xf>
    <xf borderId="1" fillId="15" fontId="12" numFmtId="14" xfId="0" applyAlignment="1" applyBorder="1" applyFont="1" applyNumberFormat="1">
      <alignment horizontal="right" readingOrder="0" vertical="center"/>
    </xf>
    <xf borderId="1" fillId="15" fontId="13" numFmtId="0" xfId="0" applyAlignment="1" applyBorder="1" applyFont="1">
      <alignment readingOrder="0" vertical="center"/>
    </xf>
    <xf borderId="1" fillId="16" fontId="12" numFmtId="0" xfId="0" applyAlignment="1" applyBorder="1" applyFont="1">
      <alignment horizontal="right" readingOrder="0" vertical="center"/>
    </xf>
    <xf borderId="1" fillId="17" fontId="12" numFmtId="0" xfId="0" applyAlignment="1" applyBorder="1" applyFont="1">
      <alignment horizontal="right" readingOrder="0" vertical="center"/>
    </xf>
    <xf borderId="1" fillId="17" fontId="12" numFmtId="0" xfId="0" applyAlignment="1" applyBorder="1" applyFont="1">
      <alignment horizontal="right" vertical="center"/>
    </xf>
    <xf borderId="1" fillId="15" fontId="13" numFmtId="0" xfId="0" applyAlignment="1" applyBorder="1" applyFont="1">
      <alignment readingOrder="0" vertical="center"/>
    </xf>
    <xf borderId="1" fillId="17" fontId="12" numFmtId="0" xfId="0" applyAlignment="1" applyBorder="1" applyFont="1">
      <alignment horizontal="right" readingOrder="0" vertical="center"/>
    </xf>
    <xf borderId="0" fillId="14" fontId="12" numFmtId="0" xfId="0" applyAlignment="1" applyFont="1">
      <alignment horizontal="center" vertical="center"/>
    </xf>
    <xf borderId="0" fillId="14" fontId="12" numFmtId="14" xfId="0" applyAlignment="1" applyFont="1" applyNumberFormat="1">
      <alignment horizontal="right" vertical="center"/>
    </xf>
    <xf borderId="0" fillId="14" fontId="14" numFmtId="0" xfId="0" applyAlignment="1" applyFont="1">
      <alignment vertical="center"/>
    </xf>
    <xf borderId="0" fillId="14" fontId="9" numFmtId="0" xfId="0" applyAlignment="1" applyFont="1">
      <alignment horizontal="center" vertical="center"/>
    </xf>
    <xf borderId="1" fillId="17" fontId="12" numFmtId="0" xfId="0" applyAlignment="1" applyBorder="1" applyFont="1">
      <alignment horizontal="right" vertical="top"/>
    </xf>
    <xf borderId="0" fillId="14" fontId="14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right" shrinkToFit="0" vertical="center" wrapText="1"/>
    </xf>
    <xf borderId="1" fillId="15" fontId="12" numFmtId="14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12" fillId="13" fontId="9" numFmtId="0" xfId="0" applyAlignment="1" applyBorder="1" applyFont="1">
      <alignment horizontal="center" vertical="center"/>
    </xf>
    <xf borderId="12" fillId="15" fontId="12" numFmtId="14" xfId="0" applyAlignment="1" applyBorder="1" applyFont="1" applyNumberFormat="1">
      <alignment horizontal="right" vertical="center"/>
    </xf>
    <xf borderId="12" fillId="15" fontId="13" numFmtId="0" xfId="0" applyAlignment="1" applyBorder="1" applyFont="1">
      <alignment readingOrder="0" vertical="center"/>
    </xf>
    <xf borderId="1" fillId="16" fontId="12" numFmtId="0" xfId="0" applyAlignment="1" applyBorder="1" applyFont="1">
      <alignment horizontal="right" vertical="center"/>
    </xf>
    <xf borderId="1" fillId="13" fontId="9" numFmtId="0" xfId="0" applyAlignment="1" applyBorder="1" applyFont="1">
      <alignment horizontal="right" readingOrder="0" vertical="center"/>
    </xf>
    <xf borderId="1" fillId="16" fontId="12" numFmtId="0" xfId="0" applyAlignment="1" applyBorder="1" applyFont="1">
      <alignment horizontal="right" readingOrder="0" vertical="center"/>
    </xf>
    <xf borderId="0" fillId="0" fontId="18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12" numFmtId="0" xfId="0" applyAlignment="1" applyFont="1">
      <alignment horizontal="right" readingOrder="0" shrinkToFit="0" vertical="center" wrapText="1"/>
    </xf>
    <xf borderId="1" fillId="13" fontId="9" numFmtId="0" xfId="0" applyAlignment="1" applyBorder="1" applyFont="1">
      <alignment horizontal="right" vertical="center"/>
    </xf>
    <xf borderId="0" fillId="14" fontId="13" numFmtId="0" xfId="0" applyAlignment="1" applyFont="1">
      <alignment vertical="center"/>
    </xf>
    <xf borderId="0" fillId="14" fontId="13" numFmtId="0" xfId="0" applyAlignment="1" applyFont="1">
      <alignment readingOrder="0" vertical="center"/>
    </xf>
    <xf borderId="0" fillId="17" fontId="12" numFmtId="0" xfId="0" applyAlignment="1" applyFont="1">
      <alignment horizontal="right" readingOrder="0" vertical="center"/>
    </xf>
    <xf borderId="0" fillId="17" fontId="12" numFmtId="0" xfId="0" applyAlignment="1" applyFont="1">
      <alignment horizontal="right" readingOrder="0" vertical="center"/>
    </xf>
    <xf borderId="1" fillId="18" fontId="12" numFmtId="0" xfId="0" applyAlignment="1" applyBorder="1" applyFill="1" applyFont="1">
      <alignment horizontal="right" readingOrder="0" vertical="center"/>
    </xf>
    <xf borderId="1" fillId="13" fontId="19" numFmtId="0" xfId="0" applyAlignment="1" applyBorder="1" applyFont="1">
      <alignment horizontal="center"/>
    </xf>
    <xf borderId="1" fillId="15" fontId="11" numFmtId="14" xfId="0" applyAlignment="1" applyBorder="1" applyFont="1" applyNumberFormat="1">
      <alignment horizontal="right" readingOrder="0"/>
    </xf>
    <xf borderId="1" fillId="15" fontId="13" numFmtId="0" xfId="0" applyAlignment="1" applyBorder="1" applyFont="1">
      <alignment horizontal="right" readingOrder="0"/>
    </xf>
    <xf borderId="1" fillId="15" fontId="13" numFmtId="0" xfId="0" applyAlignment="1" applyBorder="1" applyFont="1">
      <alignment horizontal="right"/>
    </xf>
    <xf borderId="1" fillId="16" fontId="11" numFmtId="0" xfId="0" applyAlignment="1" applyBorder="1" applyFont="1">
      <alignment horizontal="right" readingOrder="0"/>
    </xf>
    <xf borderId="1" fillId="17" fontId="11" numFmtId="0" xfId="0" applyAlignment="1" applyBorder="1" applyFont="1">
      <alignment horizontal="right"/>
    </xf>
    <xf borderId="1" fillId="17" fontId="10" numFmtId="0" xfId="0" applyBorder="1" applyFont="1"/>
    <xf borderId="0" fillId="0" fontId="12" numFmtId="0" xfId="0" applyAlignment="1" applyFont="1">
      <alignment horizontal="right" readingOrder="0" shrinkToFit="0" vertical="center" wrapText="1"/>
    </xf>
    <xf borderId="13" fillId="18" fontId="11" numFmtId="0" xfId="0" applyAlignment="1" applyBorder="1" applyFont="1">
      <alignment horizontal="right" readingOrder="0"/>
    </xf>
    <xf borderId="0" fillId="14" fontId="9" numFmtId="0" xfId="0" applyAlignment="1" applyFont="1">
      <alignment horizontal="right" readingOrder="0" vertical="center"/>
    </xf>
    <xf borderId="12" fillId="15" fontId="12" numFmtId="14" xfId="0" applyAlignment="1" applyBorder="1" applyFont="1" applyNumberFormat="1">
      <alignment horizontal="right" readingOrder="0" vertical="center"/>
    </xf>
    <xf borderId="12" fillId="15" fontId="12" numFmtId="0" xfId="0" applyAlignment="1" applyBorder="1" applyFont="1">
      <alignment horizontal="right" readingOrder="0" vertical="center"/>
    </xf>
    <xf borderId="0" fillId="14" fontId="10" numFmtId="14" xfId="0" applyFont="1" applyNumberFormat="1"/>
    <xf borderId="1" fillId="13" fontId="9" numFmtId="0" xfId="0" applyAlignment="1" applyBorder="1" applyFont="1">
      <alignment horizontal="center" readingOrder="0" vertical="center"/>
    </xf>
    <xf borderId="1" fillId="13" fontId="9" numFmtId="0" xfId="0" applyAlignment="1" applyBorder="1" applyFont="1">
      <alignment horizontal="center" readingOrder="0" vertical="center"/>
    </xf>
    <xf borderId="0" fillId="14" fontId="14" numFmtId="0" xfId="0" applyAlignment="1" applyFont="1">
      <alignment readingOrder="0" vertical="center"/>
    </xf>
    <xf borderId="0" fillId="14" fontId="20" numFmtId="0" xfId="0" applyAlignment="1" applyFont="1">
      <alignment readingOrder="0"/>
    </xf>
    <xf borderId="0" fillId="13" fontId="9" numFmtId="0" xfId="0" applyAlignment="1" applyFont="1">
      <alignment horizontal="center" readingOrder="0" vertical="center"/>
    </xf>
    <xf borderId="0" fillId="15" fontId="12" numFmtId="14" xfId="0" applyAlignment="1" applyFont="1" applyNumberFormat="1">
      <alignment horizontal="right" vertical="center"/>
    </xf>
    <xf borderId="0" fillId="16" fontId="12" numFmtId="0" xfId="0" applyAlignment="1" applyFont="1">
      <alignment horizontal="right" readingOrder="0" vertical="center"/>
    </xf>
    <xf borderId="0" fillId="14" fontId="10" numFmtId="0" xfId="0" applyAlignment="1" applyFont="1">
      <alignment readingOrder="0"/>
    </xf>
    <xf borderId="0" fillId="14" fontId="9" numFmtId="0" xfId="0" applyAlignment="1" applyFont="1">
      <alignment horizontal="center" readingOrder="0" vertical="center"/>
    </xf>
    <xf borderId="0" fillId="14" fontId="12" numFmtId="0" xfId="0" applyAlignment="1" applyFont="1">
      <alignment horizontal="right" shrinkToFit="0" vertical="top" wrapText="1"/>
    </xf>
    <xf borderId="0" fillId="14" fontId="12" numFmtId="0" xfId="0" applyAlignment="1" applyFont="1">
      <alignment horizontal="right" shrinkToFit="0" wrapText="1"/>
    </xf>
    <xf borderId="12" fillId="16" fontId="12" numFmtId="0" xfId="0" applyAlignment="1" applyBorder="1" applyFont="1">
      <alignment horizontal="right" readingOrder="0" vertical="top"/>
    </xf>
    <xf borderId="12" fillId="17" fontId="12" numFmtId="0" xfId="0" applyAlignment="1" applyBorder="1" applyFont="1">
      <alignment horizontal="right" readingOrder="0" vertical="top"/>
    </xf>
    <xf borderId="2" fillId="16" fontId="12" numFmtId="0" xfId="0" applyAlignment="1" applyBorder="1" applyFont="1">
      <alignment horizontal="right" readingOrder="0"/>
    </xf>
    <xf borderId="13" fillId="5" fontId="12" numFmtId="0" xfId="0" applyAlignment="1" applyBorder="1" applyFont="1">
      <alignment horizontal="right" readingOrder="0" vertical="top"/>
    </xf>
    <xf borderId="4" fillId="17" fontId="12" numFmtId="0" xfId="0" applyAlignment="1" applyBorder="1" applyFont="1">
      <alignment horizontal="right" vertical="top"/>
    </xf>
    <xf borderId="13" fillId="5" fontId="12" numFmtId="0" xfId="0" applyAlignment="1" applyBorder="1" applyFont="1">
      <alignment horizontal="right" readingOrder="0" vertical="top"/>
    </xf>
    <xf borderId="4" fillId="17" fontId="12" numFmtId="0" xfId="0" applyAlignment="1" applyBorder="1" applyFont="1">
      <alignment horizontal="right" readingOrder="0" vertical="top"/>
    </xf>
    <xf borderId="14" fillId="16" fontId="12" numFmtId="0" xfId="0" applyAlignment="1" applyBorder="1" applyFont="1">
      <alignment horizontal="right" readingOrder="0" vertical="top"/>
    </xf>
    <xf borderId="14" fillId="17" fontId="12" numFmtId="0" xfId="0" applyAlignment="1" applyBorder="1" applyFont="1">
      <alignment horizontal="right" vertical="top"/>
    </xf>
    <xf borderId="0" fillId="18" fontId="14" numFmtId="0" xfId="0" applyAlignment="1" applyFont="1">
      <alignment readingOrder="0"/>
    </xf>
    <xf borderId="0" fillId="19" fontId="12" numFmtId="0" xfId="0" applyAlignment="1" applyFill="1" applyFont="1">
      <alignment horizontal="right" shrinkToFit="0" vertical="top" wrapText="1"/>
    </xf>
    <xf borderId="0" fillId="19" fontId="12" numFmtId="0" xfId="0" applyAlignment="1" applyFont="1">
      <alignment horizontal="right" shrinkToFit="0" wrapText="1"/>
    </xf>
    <xf borderId="0" fillId="12" fontId="12" numFmtId="0" xfId="0" applyAlignment="1" applyFont="1">
      <alignment horizontal="right" shrinkToFit="0" vertical="top" wrapText="1"/>
    </xf>
    <xf borderId="0" fillId="12" fontId="12" numFmtId="0" xfId="0" applyAlignment="1" applyFont="1">
      <alignment horizontal="right" shrinkToFit="0" wrapText="1"/>
    </xf>
    <xf borderId="1" fillId="16" fontId="12" numFmtId="0" xfId="0" applyAlignment="1" applyBorder="1" applyFont="1">
      <alignment horizontal="right" readingOrder="0"/>
    </xf>
    <xf borderId="2" fillId="17" fontId="12" numFmtId="0" xfId="0" applyAlignment="1" applyBorder="1" applyFont="1">
      <alignment horizontal="right" readingOrder="0" vertical="top"/>
    </xf>
    <xf borderId="4" fillId="19" fontId="2" numFmtId="0" xfId="0" applyBorder="1" applyFont="1"/>
    <xf borderId="1" fillId="13" fontId="9" numFmtId="0" xfId="0" applyAlignment="1" applyBorder="1" applyFont="1">
      <alignment horizontal="right" readingOrder="0" vertical="center"/>
    </xf>
    <xf borderId="2" fillId="13" fontId="9" numFmtId="0" xfId="0" applyAlignment="1" applyBorder="1" applyFont="1">
      <alignment horizontal="right" readingOrder="0" vertical="center"/>
    </xf>
    <xf borderId="1" fillId="15" fontId="13" numFmtId="0" xfId="0" applyAlignment="1" applyBorder="1" applyFont="1">
      <alignment horizontal="right" readingOrder="0" vertical="center"/>
    </xf>
    <xf borderId="1" fillId="15" fontId="13" numFmtId="0" xfId="0" applyAlignment="1" applyBorder="1" applyFont="1">
      <alignment horizontal="right" readingOrder="0" vertical="center"/>
    </xf>
    <xf borderId="0" fillId="14" fontId="12" numFmtId="0" xfId="0" applyAlignment="1" applyFont="1">
      <alignment horizontal="right" vertical="center"/>
    </xf>
    <xf borderId="0" fillId="14" fontId="14" numFmtId="0" xfId="0" applyAlignment="1" applyFont="1">
      <alignment horizontal="right" vertical="center"/>
    </xf>
    <xf borderId="0" fillId="14" fontId="9" numFmtId="0" xfId="0" applyAlignment="1" applyFont="1">
      <alignment horizontal="right" vertical="center"/>
    </xf>
    <xf borderId="0" fillId="14" fontId="14" numFmtId="0" xfId="0" applyAlignment="1" applyFont="1">
      <alignment horizontal="right" readingOrder="0" vertical="center"/>
    </xf>
    <xf borderId="0" fillId="14" fontId="9" numFmtId="0" xfId="0" applyAlignment="1" applyFont="1">
      <alignment horizontal="right" shrinkToFit="0" vertical="center" wrapText="1"/>
    </xf>
    <xf borderId="0" fillId="14" fontId="12" numFmtId="0" xfId="0" applyAlignment="1" applyFont="1">
      <alignment horizontal="right" shrinkToFit="0" vertical="center" wrapText="1"/>
    </xf>
    <xf borderId="0" fillId="14" fontId="13" numFmtId="0" xfId="0" applyAlignment="1" applyFont="1">
      <alignment horizontal="right" shrinkToFit="0" vertical="center" wrapText="1"/>
    </xf>
    <xf borderId="4" fillId="13" fontId="9" numFmtId="0" xfId="0" applyAlignment="1" applyBorder="1" applyFont="1">
      <alignment horizontal="right" readingOrder="0" shrinkToFit="0" vertical="center" wrapText="1"/>
    </xf>
    <xf borderId="1" fillId="13" fontId="9" numFmtId="0" xfId="0" applyAlignment="1" applyBorder="1" applyFont="1">
      <alignment horizontal="right" readingOrder="0" shrinkToFit="0" vertical="center" wrapText="1"/>
    </xf>
    <xf borderId="0" fillId="14" fontId="10" numFmtId="0" xfId="0" applyAlignment="1" applyFont="1">
      <alignment horizontal="right" readingOrder="0" shrinkToFit="0" vertical="center" wrapText="1"/>
    </xf>
    <xf borderId="0" fillId="14" fontId="9" numFmtId="0" xfId="0" applyAlignment="1" applyFont="1">
      <alignment horizontal="right" readingOrder="0" shrinkToFit="0" vertical="center" wrapText="1"/>
    </xf>
    <xf borderId="0" fillId="14" fontId="21" numFmtId="0" xfId="0" applyAlignment="1" applyFont="1">
      <alignment horizontal="right" readingOrder="0" shrinkToFit="0" vertical="center" wrapText="1"/>
    </xf>
    <xf borderId="1" fillId="13" fontId="9" numFmtId="0" xfId="0" applyAlignment="1" applyBorder="1" applyFont="1">
      <alignment horizontal="right" readingOrder="0" shrinkToFit="0" vertical="center" wrapText="1"/>
    </xf>
    <xf borderId="0" fillId="14" fontId="21" numFmtId="0" xfId="0" applyAlignment="1" applyFont="1">
      <alignment horizontal="right" readingOrder="0" shrinkToFit="0" vertical="center" wrapText="1"/>
    </xf>
    <xf borderId="0" fillId="14" fontId="22" numFmtId="0" xfId="0" applyAlignment="1" applyFont="1">
      <alignment readingOrder="0" vertical="center"/>
    </xf>
    <xf borderId="0" fillId="20" fontId="12" numFmtId="0" xfId="0" applyAlignment="1" applyFill="1" applyFont="1">
      <alignment horizontal="center" shrinkToFit="0" vertical="center" wrapText="1"/>
    </xf>
    <xf borderId="0" fillId="20" fontId="12" numFmtId="0" xfId="0" applyAlignment="1" applyFont="1">
      <alignment horizontal="right" shrinkToFit="0" vertical="center" wrapText="1"/>
    </xf>
    <xf borderId="0" fillId="20" fontId="12" numFmtId="0" xfId="0" applyAlignment="1" applyFont="1">
      <alignment horizontal="right" shrinkToFit="0" wrapText="1"/>
    </xf>
    <xf borderId="12" fillId="13" fontId="9" numFmtId="0" xfId="0" applyAlignment="1" applyBorder="1" applyFont="1">
      <alignment horizontal="center" readingOrder="0" vertical="center"/>
    </xf>
    <xf borderId="0" fillId="14" fontId="23" numFmtId="0" xfId="0" applyAlignment="1" applyFont="1">
      <alignment readingOrder="0" vertical="center"/>
    </xf>
    <xf borderId="0" fillId="14" fontId="23" numFmtId="0" xfId="0" applyAlignment="1" applyFont="1">
      <alignment vertical="center"/>
    </xf>
    <xf borderId="0" fillId="14" fontId="12" numFmtId="0" xfId="0" applyAlignment="1" applyFont="1">
      <alignment horizontal="center" shrinkToFit="0" vertical="center" wrapText="1"/>
    </xf>
    <xf borderId="0" fillId="14" fontId="12" numFmtId="0" xfId="0" applyAlignment="1" applyFont="1">
      <alignment horizontal="right" shrinkToFit="0" vertical="center" wrapText="1"/>
    </xf>
    <xf borderId="1" fillId="0" fontId="12" numFmtId="0" xfId="0" applyAlignment="1" applyBorder="1" applyFont="1">
      <alignment horizontal="right" readingOrder="0" vertical="center"/>
    </xf>
    <xf borderId="1" fillId="21" fontId="12" numFmtId="0" xfId="0" applyAlignment="1" applyBorder="1" applyFill="1" applyFont="1">
      <alignment horizontal="right" readingOrder="0" vertical="center"/>
    </xf>
    <xf borderId="0" fillId="18" fontId="9" numFmtId="0" xfId="0" applyAlignment="1" applyFont="1">
      <alignment horizontal="center" readingOrder="0" vertical="center"/>
    </xf>
    <xf borderId="0" fillId="18" fontId="9" numFmtId="0" xfId="0" applyAlignment="1" applyFont="1">
      <alignment horizontal="center" readingOrder="0" vertical="center"/>
    </xf>
    <xf borderId="1" fillId="18" fontId="12" numFmtId="0" xfId="0" applyAlignment="1" applyBorder="1" applyFont="1">
      <alignment horizontal="right" readingOrder="0" vertical="center"/>
    </xf>
    <xf borderId="0" fillId="14" fontId="23" numFmtId="0" xfId="0" applyAlignment="1" applyFont="1">
      <alignment readingOrder="0" vertical="center"/>
    </xf>
    <xf borderId="1" fillId="17" fontId="12" numFmtId="0" xfId="0" applyAlignment="1" applyBorder="1" applyFont="1">
      <alignment horizontal="center" readingOrder="0" vertical="center"/>
    </xf>
    <xf borderId="0" fillId="14" fontId="10" numFmtId="0" xfId="0" applyAlignment="1" applyFont="1">
      <alignment readingOrder="0"/>
    </xf>
    <xf borderId="0" fillId="14" fontId="24" numFmtId="0" xfId="0" applyAlignment="1" applyFont="1">
      <alignment horizontal="center" shrinkToFit="0" wrapText="1"/>
    </xf>
    <xf borderId="0" fillId="14" fontId="24" numFmtId="0" xfId="0" applyAlignment="1" applyFont="1">
      <alignment horizontal="right" shrinkToFit="0" wrapText="1"/>
    </xf>
    <xf borderId="0" fillId="14" fontId="24" numFmtId="0" xfId="0" applyAlignment="1" applyFont="1">
      <alignment horizontal="right" readingOrder="0" shrinkToFit="0" wrapText="1"/>
    </xf>
    <xf borderId="0" fillId="13" fontId="9" numFmtId="0" xfId="0" applyAlignment="1" applyFont="1">
      <alignment horizontal="center" readingOrder="0" shrinkToFit="0" vertical="center" wrapText="1"/>
    </xf>
    <xf borderId="0" fillId="13" fontId="9" numFmtId="0" xfId="0" applyAlignment="1" applyFont="1">
      <alignment horizontal="center" readingOrder="0" shrinkToFit="0" vertical="center" wrapText="1"/>
    </xf>
    <xf borderId="0" fillId="13" fontId="12" numFmtId="0" xfId="0" applyAlignment="1" applyFont="1">
      <alignment horizontal="center" shrinkToFit="0" wrapText="1"/>
    </xf>
    <xf borderId="0" fillId="13" fontId="12" numFmtId="0" xfId="0" applyAlignment="1" applyFont="1">
      <alignment horizontal="right" shrinkToFit="0" wrapText="1"/>
    </xf>
    <xf borderId="0" fillId="14" fontId="14" numFmtId="0" xfId="0" applyAlignment="1" applyFont="1">
      <alignment readingOrder="0" vertical="center"/>
    </xf>
    <xf borderId="0" fillId="13" fontId="9" numFmtId="0" xfId="0" applyAlignment="1" applyFont="1">
      <alignment horizontal="right" readingOrder="0" vertical="center"/>
    </xf>
    <xf borderId="0" fillId="13" fontId="9" numFmtId="0" xfId="0" applyAlignment="1" applyFont="1">
      <alignment horizontal="right" readingOrder="0" vertical="center"/>
    </xf>
    <xf borderId="0" fillId="14" fontId="25" numFmtId="0" xfId="0" applyAlignment="1" applyFont="1">
      <alignment readingOrder="0" vertical="center"/>
    </xf>
    <xf borderId="0" fillId="14" fontId="9" numFmtId="0" xfId="0" applyAlignment="1" applyFont="1">
      <alignment horizontal="right" readingOrder="0" vertical="center"/>
    </xf>
    <xf borderId="15" fillId="14" fontId="10" numFmtId="0" xfId="0" applyAlignment="1" applyBorder="1" applyFont="1">
      <alignment readingOrder="0" shrinkToFit="0" vertical="top" wrapText="1"/>
    </xf>
    <xf borderId="15" fillId="14" fontId="10" numFmtId="0" xfId="0" applyAlignment="1" applyBorder="1" applyFont="1">
      <alignment shrinkToFit="0" vertical="top" wrapText="1"/>
    </xf>
    <xf borderId="0" fillId="14" fontId="9" numFmtId="0" xfId="0" applyAlignment="1" applyFont="1">
      <alignment horizontal="center" shrinkToFit="0" vertical="top" wrapText="1"/>
    </xf>
    <xf borderId="14" fillId="13" fontId="19" numFmtId="0" xfId="0" applyAlignment="1" applyBorder="1" applyFont="1">
      <alignment horizontal="center" readingOrder="0" shrinkToFit="0" vertical="top" wrapText="1"/>
    </xf>
    <xf borderId="16" fillId="13" fontId="19" numFmtId="0" xfId="0" applyAlignment="1" applyBorder="1" applyFont="1">
      <alignment horizontal="center" readingOrder="0" shrinkToFit="0" vertical="top" wrapText="1"/>
    </xf>
    <xf borderId="15" fillId="13" fontId="19" numFmtId="0" xfId="0" applyAlignment="1" applyBorder="1" applyFont="1">
      <alignment horizontal="center" readingOrder="0" shrinkToFit="0" vertical="top" wrapText="1"/>
    </xf>
    <xf borderId="14" fillId="13" fontId="19" numFmtId="0" xfId="0" applyAlignment="1" applyBorder="1" applyFont="1">
      <alignment horizontal="center" readingOrder="0" shrinkToFit="0" vertical="top" wrapText="1"/>
    </xf>
    <xf borderId="16" fillId="15" fontId="11" numFmtId="166" xfId="0" applyAlignment="1" applyBorder="1" applyFont="1" applyNumberFormat="1">
      <alignment horizontal="right" readingOrder="0" shrinkToFit="0" vertical="bottom" wrapText="1"/>
    </xf>
    <xf borderId="16" fillId="15" fontId="13" numFmtId="0" xfId="0" applyAlignment="1" applyBorder="1" applyFont="1">
      <alignment horizontal="right" readingOrder="0" shrinkToFit="0" vertical="bottom" wrapText="1"/>
    </xf>
    <xf borderId="16" fillId="16" fontId="13" numFmtId="0" xfId="0" applyAlignment="1" applyBorder="1" applyFont="1">
      <alignment shrinkToFit="0" vertical="bottom" wrapText="1"/>
    </xf>
    <xf borderId="16" fillId="16" fontId="13" numFmtId="0" xfId="0" applyAlignment="1" applyBorder="1" applyFont="1">
      <alignment shrinkToFit="0" vertical="top" wrapText="1"/>
    </xf>
    <xf borderId="16" fillId="17" fontId="13" numFmtId="0" xfId="0" applyAlignment="1" applyBorder="1" applyFont="1">
      <alignment readingOrder="0" shrinkToFit="0" vertical="top" wrapText="1"/>
    </xf>
    <xf borderId="16" fillId="17" fontId="13" numFmtId="0" xfId="0" applyAlignment="1" applyBorder="1" applyFont="1">
      <alignment shrinkToFit="0" vertical="top" wrapText="1"/>
    </xf>
    <xf borderId="16" fillId="15" fontId="10" numFmtId="0" xfId="0" applyAlignment="1" applyBorder="1" applyFont="1">
      <alignment shrinkToFit="0" vertical="bottom" wrapText="1"/>
    </xf>
    <xf borderId="16" fillId="16" fontId="13" numFmtId="0" xfId="0" applyAlignment="1" applyBorder="1" applyFont="1">
      <alignment readingOrder="0" shrinkToFit="0" vertical="top" wrapText="1"/>
    </xf>
    <xf borderId="16" fillId="17" fontId="13" numFmtId="0" xfId="0" applyAlignment="1" applyBorder="1" applyFont="1">
      <alignment readingOrder="0" shrinkToFit="0" vertical="top" wrapText="1"/>
    </xf>
    <xf borderId="17" fillId="13" fontId="19" numFmtId="0" xfId="0" applyAlignment="1" applyBorder="1" applyFont="1">
      <alignment horizontal="center" readingOrder="0" shrinkToFit="0" vertical="top" wrapText="1"/>
    </xf>
    <xf borderId="18" fillId="15" fontId="10" numFmtId="0" xfId="0" applyAlignment="1" applyBorder="1" applyFont="1">
      <alignment shrinkToFit="0" vertical="bottom" wrapText="1"/>
    </xf>
    <xf borderId="16" fillId="16" fontId="10" numFmtId="0" xfId="0" applyAlignment="1" applyBorder="1" applyFont="1">
      <alignment shrinkToFit="0" vertical="bottom" wrapText="1"/>
    </xf>
    <xf borderId="16" fillId="16" fontId="10" numFmtId="0" xfId="0" applyAlignment="1" applyBorder="1" applyFont="1">
      <alignment shrinkToFit="0" vertical="top" wrapText="1"/>
    </xf>
    <xf borderId="16" fillId="17" fontId="10" numFmtId="0" xfId="0" applyAlignment="1" applyBorder="1" applyFont="1">
      <alignment shrinkToFit="0" vertical="top" wrapText="1"/>
    </xf>
    <xf borderId="0" fillId="14" fontId="10" numFmtId="0" xfId="0" applyAlignment="1" applyFont="1">
      <alignment shrinkToFit="0" vertical="bottom" wrapText="1"/>
    </xf>
    <xf borderId="16" fillId="13" fontId="19" numFmtId="0" xfId="0" applyAlignment="1" applyBorder="1" applyFont="1">
      <alignment horizontal="right" readingOrder="0" shrinkToFit="0" vertical="top" wrapText="1"/>
    </xf>
    <xf borderId="16" fillId="13" fontId="13" numFmtId="0" xfId="0" applyAlignment="1" applyBorder="1" applyFont="1">
      <alignment readingOrder="0" shrinkToFit="0" vertical="top" wrapText="1"/>
    </xf>
    <xf borderId="0" fillId="14" fontId="10" numFmtId="0" xfId="0" applyAlignment="1" applyFont="1">
      <alignment shrinkToFit="0" vertical="top" wrapText="1"/>
    </xf>
    <xf borderId="16" fillId="16" fontId="20" numFmtId="0" xfId="0" applyAlignment="1" applyBorder="1" applyFont="1">
      <alignment shrinkToFit="0" vertical="bottom" wrapText="1"/>
    </xf>
    <xf borderId="16" fillId="16" fontId="20" numFmtId="0" xfId="0" applyAlignment="1" applyBorder="1" applyFont="1">
      <alignment readingOrder="0" shrinkToFit="0" vertical="top" wrapText="1"/>
    </xf>
    <xf borderId="16" fillId="17" fontId="20" numFmtId="0" xfId="0" applyAlignment="1" applyBorder="1" applyFont="1">
      <alignment readingOrder="0" shrinkToFit="0" vertical="top" wrapText="1"/>
    </xf>
    <xf borderId="16" fillId="17" fontId="20" numFmtId="0" xfId="0" applyAlignment="1" applyBorder="1" applyFont="1">
      <alignment shrinkToFit="0" vertical="top" wrapText="1"/>
    </xf>
    <xf borderId="16" fillId="17" fontId="20" numFmtId="0" xfId="0" applyAlignment="1" applyBorder="1" applyFont="1">
      <alignment readingOrder="0" shrinkToFit="0" vertical="top" wrapText="1"/>
    </xf>
    <xf borderId="16" fillId="16" fontId="20" numFmtId="0" xfId="0" applyAlignment="1" applyBorder="1" applyFont="1">
      <alignment shrinkToFit="0" vertical="top" wrapText="1"/>
    </xf>
    <xf borderId="16" fillId="13" fontId="10" numFmtId="0" xfId="0" applyAlignment="1" applyBorder="1" applyFont="1">
      <alignment shrinkToFit="0" vertical="top" wrapText="1"/>
    </xf>
    <xf borderId="16" fillId="16" fontId="10" numFmtId="0" xfId="0" applyAlignment="1" applyBorder="1" applyFont="1">
      <alignment readingOrder="0" shrinkToFit="0" vertical="top" wrapText="1"/>
    </xf>
    <xf borderId="16" fillId="17" fontId="10" numFmtId="0" xfId="0" applyAlignment="1" applyBorder="1" applyFont="1">
      <alignment readingOrder="0" shrinkToFit="0" vertical="top" wrapText="1"/>
    </xf>
    <xf borderId="16" fillId="17" fontId="10" numFmtId="0" xfId="0" applyAlignment="1" applyBorder="1" applyFont="1">
      <alignment readingOrder="0" shrinkToFit="0" vertical="top" wrapText="1"/>
    </xf>
    <xf borderId="16" fillId="15" fontId="10" numFmtId="0" xfId="0" applyAlignment="1" applyBorder="1" applyFont="1">
      <alignment readingOrder="0" shrinkToFit="0" vertical="bottom" wrapText="1"/>
    </xf>
    <xf borderId="16" fillId="16" fontId="10" numFmtId="0" xfId="0" applyAlignment="1" applyBorder="1" applyFont="1">
      <alignment readingOrder="0" shrinkToFit="0" vertical="bottom" wrapText="1"/>
    </xf>
    <xf borderId="18" fillId="17" fontId="10" numFmtId="0" xfId="0" applyAlignment="1" applyBorder="1" applyFont="1">
      <alignment shrinkToFit="0" vertical="top" wrapText="1"/>
    </xf>
    <xf borderId="13" fillId="13" fontId="10" numFmtId="0" xfId="0" applyAlignment="1" applyBorder="1" applyFont="1">
      <alignment readingOrder="0" shrinkToFit="0" vertical="top" wrapText="1"/>
    </xf>
    <xf borderId="13" fillId="13" fontId="10" numFmtId="0" xfId="0" applyAlignment="1" applyBorder="1" applyFont="1">
      <alignment shrinkToFit="0" vertical="top" wrapText="1"/>
    </xf>
    <xf borderId="18" fillId="14" fontId="9" numFmtId="0" xfId="0" applyAlignment="1" applyBorder="1" applyFont="1">
      <alignment horizontal="center" shrinkToFit="0" vertical="top" wrapText="1"/>
    </xf>
    <xf borderId="0" fillId="19" fontId="9" numFmtId="0" xfId="0" applyAlignment="1" applyFont="1">
      <alignment horizontal="center" readingOrder="0" shrinkToFit="0" vertical="top" wrapText="1"/>
    </xf>
    <xf borderId="0" fillId="12" fontId="9" numFmtId="0" xfId="0" applyAlignment="1" applyFont="1">
      <alignment horizontal="right" readingOrder="0" shrinkToFit="0" vertical="top" wrapText="1"/>
    </xf>
    <xf borderId="0" fillId="12" fontId="9" numFmtId="0" xfId="0" applyAlignment="1" applyFont="1">
      <alignment horizontal="right" shrinkToFit="0" vertical="top" wrapText="1"/>
    </xf>
    <xf borderId="0" fillId="19" fontId="9" numFmtId="0" xfId="0" applyAlignment="1" applyFont="1">
      <alignment horizontal="right" shrinkToFit="0" vertical="top" wrapText="1"/>
    </xf>
    <xf borderId="2" fillId="17" fontId="12" numFmtId="0" xfId="0" applyAlignment="1" applyBorder="1" applyFont="1">
      <alignment horizontal="right" readingOrder="0" vertical="top"/>
    </xf>
    <xf borderId="0" fillId="19" fontId="9" numFmtId="0" xfId="0" applyAlignment="1" applyFont="1">
      <alignment horizontal="right" readingOrder="0" shrinkToFit="0" vertical="top" wrapText="1"/>
    </xf>
    <xf borderId="0" fillId="19" fontId="21" numFmtId="0" xfId="0" applyAlignment="1" applyFont="1">
      <alignment horizontal="center" shrinkToFit="0" vertical="top" wrapText="1"/>
    </xf>
    <xf borderId="0" fillId="12" fontId="21" numFmtId="0" xfId="0" applyAlignment="1" applyFont="1">
      <alignment horizontal="center" shrinkToFit="0" vertical="top" wrapText="1"/>
    </xf>
    <xf borderId="18" fillId="14" fontId="26" numFmtId="0" xfId="0" applyAlignment="1" applyBorder="1" applyFont="1">
      <alignment horizontal="center" shrinkToFit="0" vertical="top" wrapText="1"/>
    </xf>
    <xf borderId="0" fillId="14" fontId="26" numFmtId="0" xfId="0" applyAlignment="1" applyFont="1">
      <alignment horizontal="center" shrinkToFit="0" vertical="top" wrapText="1"/>
    </xf>
    <xf borderId="0" fillId="0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18" fillId="14" fontId="9" numFmtId="0" xfId="0" applyAlignment="1" applyBorder="1" applyFont="1">
      <alignment horizontal="center" shrinkToFit="0" vertical="top" wrapText="1"/>
    </xf>
    <xf borderId="15" fillId="14" fontId="9" numFmtId="0" xfId="0" applyAlignment="1" applyBorder="1" applyFont="1">
      <alignment horizontal="center" shrinkToFit="0" vertical="top" wrapText="1"/>
    </xf>
    <xf borderId="4" fillId="13" fontId="9" numFmtId="0" xfId="0" applyAlignment="1" applyBorder="1" applyFont="1">
      <alignment horizontal="right" readingOrder="0" vertical="center"/>
    </xf>
    <xf borderId="4" fillId="13" fontId="9" numFmtId="0" xfId="0" applyAlignment="1" applyBorder="1" applyFont="1">
      <alignment horizontal="right" readingOrder="0" vertical="center"/>
    </xf>
    <xf borderId="0" fillId="12" fontId="12" numFmtId="0" xfId="0" applyAlignment="1" applyFont="1">
      <alignment horizontal="right" shrinkToFit="0" vertical="center" wrapText="1"/>
    </xf>
    <xf borderId="0" fillId="19" fontId="12" numFmtId="0" xfId="0" applyAlignment="1" applyFont="1">
      <alignment horizontal="right" shrinkToFit="0" vertical="center" wrapText="1"/>
    </xf>
    <xf borderId="0" fillId="19" fontId="18" numFmtId="0" xfId="0" applyAlignment="1" applyFont="1">
      <alignment vertical="center"/>
    </xf>
    <xf borderId="0" fillId="12" fontId="9" numFmtId="0" xfId="0" applyAlignment="1" applyFont="1">
      <alignment horizontal="center" shrinkToFit="0" vertical="center" wrapText="1"/>
    </xf>
    <xf borderId="0" fillId="12" fontId="13" numFmtId="0" xfId="0" applyAlignment="1" applyFont="1">
      <alignment horizontal="right" shrinkToFit="0" vertical="center" wrapText="1"/>
    </xf>
    <xf borderId="0" fillId="12" fontId="9" numFmtId="0" xfId="0" applyAlignment="1" applyFont="1">
      <alignment horizontal="right" readingOrder="0" shrinkToFit="0" vertical="center" wrapText="1"/>
    </xf>
    <xf borderId="0" fillId="12" fontId="9" numFmtId="0" xfId="0" applyAlignment="1" applyFont="1">
      <alignment horizontal="right" readingOrder="0" shrinkToFit="0" vertical="center" wrapText="1"/>
    </xf>
    <xf borderId="0" fillId="12" fontId="18" numFmtId="0" xfId="0" applyAlignment="1" applyFont="1">
      <alignment readingOrder="0" vertical="center"/>
    </xf>
    <xf borderId="0" fillId="14" fontId="9" numFmtId="0" xfId="0" applyAlignment="1" applyFont="1">
      <alignment horizontal="center" shrinkToFit="0" vertical="center" wrapText="1"/>
    </xf>
    <xf borderId="4" fillId="13" fontId="9" numFmtId="0" xfId="0" applyAlignment="1" applyBorder="1" applyFont="1">
      <alignment horizontal="right" readingOrder="0" shrinkToFit="0" vertical="center" wrapText="1"/>
    </xf>
    <xf borderId="1" fillId="13" fontId="9" numFmtId="0" xfId="0" applyAlignment="1" applyBorder="1" applyFont="1">
      <alignment horizontal="right" readingOrder="0" shrinkToFit="0" vertical="center" wrapText="1"/>
    </xf>
    <xf borderId="0" fillId="14" fontId="13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/>
    </xf>
    <xf borderId="0" fillId="22" fontId="12" numFmtId="0" xfId="0" applyAlignment="1" applyFill="1" applyFont="1">
      <alignment horizontal="center" shrinkToFit="0" vertical="center" wrapText="1"/>
    </xf>
    <xf borderId="0" fillId="22" fontId="12" numFmtId="0" xfId="0" applyAlignment="1" applyFont="1">
      <alignment horizontal="right" shrinkToFit="0" vertical="center" wrapText="1"/>
    </xf>
    <xf borderId="0" fillId="14" fontId="24" numFmtId="0" xfId="0" applyAlignment="1" applyFont="1">
      <alignment horizontal="center" shrinkToFit="0" vertical="center" wrapText="1"/>
    </xf>
    <xf borderId="0" fillId="14" fontId="24" numFmtId="0" xfId="0" applyAlignment="1" applyFont="1">
      <alignment horizontal="right" shrinkToFit="0" vertical="center" wrapText="1"/>
    </xf>
    <xf borderId="1" fillId="15" fontId="12" numFmtId="0" xfId="0" applyAlignment="1" applyBorder="1" applyFont="1">
      <alignment horizontal="right" readingOrder="0" vertical="center"/>
    </xf>
    <xf borderId="1" fillId="15" fontId="12" numFmtId="166" xfId="0" applyAlignment="1" applyBorder="1" applyFont="1" applyNumberFormat="1">
      <alignment horizontal="right" readingOrder="0" vertical="center"/>
    </xf>
    <xf borderId="1" fillId="17" fontId="12" numFmtId="0" xfId="0" applyAlignment="1" applyBorder="1" applyFont="1">
      <alignment horizontal="right" vertical="top"/>
    </xf>
    <xf borderId="0" fillId="0" fontId="18" numFmtId="0" xfId="0" applyAlignment="1" applyFont="1">
      <alignment horizontal="right" readingOrder="2"/>
    </xf>
    <xf borderId="0" fillId="0" fontId="18" numFmtId="0" xfId="0" applyAlignment="1" applyFont="1">
      <alignment readingOrder="0"/>
    </xf>
    <xf borderId="1" fillId="16" fontId="11" numFmtId="0" xfId="0" applyAlignment="1" applyBorder="1" applyFont="1">
      <alignment horizontal="right" vertical="top"/>
    </xf>
    <xf borderId="1" fillId="17" fontId="11" numFmtId="0" xfId="0" applyAlignment="1" applyBorder="1" applyFont="1">
      <alignment horizontal="right" vertical="top"/>
    </xf>
    <xf borderId="1" fillId="17" fontId="11" numFmtId="0" xfId="0" applyAlignment="1" applyBorder="1" applyFont="1">
      <alignment horizontal="right" readingOrder="0" vertical="top"/>
    </xf>
    <xf borderId="0" fillId="14" fontId="14" numFmtId="0" xfId="0" applyAlignment="1" applyFont="1">
      <alignment readingOrder="0"/>
    </xf>
    <xf borderId="1" fillId="13" fontId="19" numFmtId="0" xfId="0" applyAlignment="1" applyBorder="1" applyFont="1">
      <alignment horizontal="center" vertical="top"/>
    </xf>
    <xf borderId="2" fillId="13" fontId="19" numFmtId="0" xfId="0" applyAlignment="1" applyBorder="1" applyFont="1">
      <alignment horizontal="center" vertical="top"/>
    </xf>
    <xf borderId="1" fillId="13" fontId="19" numFmtId="0" xfId="0" applyAlignment="1" applyBorder="1" applyFont="1">
      <alignment horizontal="center"/>
    </xf>
    <xf borderId="0" fillId="14" fontId="10" numFmtId="0" xfId="0" applyFont="1"/>
    <xf borderId="0" fillId="13" fontId="9" numFmtId="0" xfId="0" applyAlignment="1" applyFont="1">
      <alignment horizontal="center" readingOrder="0" vertical="center"/>
    </xf>
    <xf borderId="0" fillId="13" fontId="9" numFmtId="0" xfId="0" applyAlignment="1" applyFont="1">
      <alignment horizontal="center" readingOrder="0" vertical="center"/>
    </xf>
    <xf borderId="12" fillId="16" fontId="12" numFmtId="0" xfId="0" applyAlignment="1" applyBorder="1" applyFont="1">
      <alignment horizontal="right" vertical="top"/>
    </xf>
    <xf borderId="12" fillId="17" fontId="12" numFmtId="0" xfId="0" applyAlignment="1" applyBorder="1" applyFont="1">
      <alignment horizontal="right" vertical="top"/>
    </xf>
    <xf borderId="13" fillId="13" fontId="12" numFmtId="0" xfId="0" applyAlignment="1" applyBorder="1" applyFont="1">
      <alignment horizontal="right" readingOrder="0" vertical="top"/>
    </xf>
    <xf borderId="13" fillId="13" fontId="12" numFmtId="0" xfId="0" applyAlignment="1" applyBorder="1" applyFont="1">
      <alignment horizontal="right" vertical="top"/>
    </xf>
    <xf borderId="14" fillId="16" fontId="12" numFmtId="0" xfId="0" applyAlignment="1" applyBorder="1" applyFont="1">
      <alignment horizontal="right" vertical="top"/>
    </xf>
    <xf borderId="14" fillId="17" fontId="12" numFmtId="0" xfId="0" applyAlignment="1" applyBorder="1" applyFont="1">
      <alignment horizontal="right" readingOrder="0" vertical="top"/>
    </xf>
    <xf borderId="18" fillId="14" fontId="9" numFmtId="0" xfId="0" applyAlignment="1" applyBorder="1" applyFont="1">
      <alignment horizontal="center" vertical="top"/>
    </xf>
    <xf borderId="13" fillId="13" fontId="12" numFmtId="0" xfId="0" applyAlignment="1" applyBorder="1" applyFont="1">
      <alignment horizontal="right" readingOrder="0" vertical="top"/>
    </xf>
    <xf borderId="1" fillId="12" fontId="28" numFmtId="0" xfId="0" applyAlignment="1" applyBorder="1" applyFont="1">
      <alignment horizontal="right" readingOrder="0" shrinkToFit="0" wrapText="0"/>
    </xf>
    <xf borderId="0" fillId="0" fontId="29" numFmtId="0" xfId="0" applyAlignment="1" applyFont="1">
      <alignment readingOrder="0" vertical="center"/>
    </xf>
    <xf borderId="0" fillId="13" fontId="9" numFmtId="0" xfId="0" applyAlignment="1" applyFont="1">
      <alignment horizontal="center" readingOrder="0" vertical="top"/>
    </xf>
    <xf borderId="0" fillId="17" fontId="9" numFmtId="0" xfId="0" applyAlignment="1" applyFont="1">
      <alignment horizontal="right" vertical="top"/>
    </xf>
    <xf borderId="0" fillId="17" fontId="9" numFmtId="0" xfId="0" applyAlignment="1" applyFont="1">
      <alignment horizontal="right" readingOrder="0" vertical="top"/>
    </xf>
    <xf borderId="0" fillId="14" fontId="21" numFmtId="0" xfId="0" applyAlignment="1" applyFont="1">
      <alignment horizontal="center" vertical="top"/>
    </xf>
    <xf borderId="0" fillId="13" fontId="9" numFmtId="0" xfId="0" applyAlignment="1" applyFont="1">
      <alignment horizontal="center" readingOrder="0" vertical="center"/>
    </xf>
    <xf borderId="0" fillId="17" fontId="9" numFmtId="0" xfId="0" applyAlignment="1" applyFont="1">
      <alignment horizontal="right" vertical="center"/>
    </xf>
    <xf borderId="0" fillId="17" fontId="9" numFmtId="0" xfId="0" applyAlignment="1" applyFont="1">
      <alignment horizontal="right" readingOrder="0" vertical="center"/>
    </xf>
    <xf borderId="0" fillId="14" fontId="21" numFmtId="0" xfId="0" applyAlignment="1" applyFont="1">
      <alignment horizontal="center" vertical="center"/>
    </xf>
    <xf borderId="0" fillId="0" fontId="30" numFmtId="0" xfId="0" applyAlignment="1" applyFont="1">
      <alignment horizontal="right" readingOrder="0" shrinkToFit="0" vertical="bottom" wrapText="0"/>
    </xf>
    <xf borderId="0" fillId="0" fontId="31" numFmtId="0" xfId="0" applyAlignment="1" applyFont="1">
      <alignment horizontal="right" readingOrder="0" vertical="bottom"/>
    </xf>
    <xf borderId="0" fillId="0" fontId="32" numFmtId="0" xfId="0" applyAlignment="1" applyFont="1">
      <alignment horizontal="right" readingOrder="0" vertical="bottom"/>
    </xf>
    <xf borderId="0" fillId="0" fontId="32" numFmtId="0" xfId="0" applyAlignment="1" applyFont="1">
      <alignment horizontal="right" readingOrder="0" vertical="bottom"/>
    </xf>
    <xf borderId="0" fillId="0" fontId="32" numFmtId="167" xfId="0" applyAlignment="1" applyFont="1" applyNumberFormat="1">
      <alignment horizontal="right" readingOrder="0" vertical="bottom"/>
    </xf>
    <xf borderId="0" fillId="0" fontId="31" numFmtId="0" xfId="0" applyAlignment="1" applyFont="1">
      <alignment horizontal="right"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horizontal="right" vertical="bottom"/>
    </xf>
    <xf borderId="0" fillId="0" fontId="31" numFmtId="0" xfId="0" applyAlignment="1" applyFont="1">
      <alignment horizontal="right" readingOrder="0" vertical="bottom"/>
    </xf>
    <xf borderId="0" fillId="0" fontId="31" numFmtId="167" xfId="0" applyAlignment="1" applyFont="1" applyNumberFormat="1">
      <alignment horizontal="right" readingOrder="0" vertical="bottom"/>
    </xf>
    <xf borderId="1" fillId="15" fontId="12" numFmtId="0" xfId="0" applyAlignment="1" applyBorder="1" applyFont="1">
      <alignment horizontal="right" readingOrder="0" vertical="center"/>
    </xf>
    <xf borderId="12" fillId="15" fontId="12" numFmtId="166" xfId="0" applyAlignment="1" applyBorder="1" applyFont="1" applyNumberFormat="1">
      <alignment horizontal="right" readingOrder="0" vertical="center"/>
    </xf>
    <xf borderId="18" fillId="14" fontId="26" numFmtId="0" xfId="0" applyAlignment="1" applyBorder="1" applyFont="1">
      <alignment horizontal="center" vertical="top"/>
    </xf>
    <xf borderId="0" fillId="14" fontId="26" numFmtId="0" xfId="0" applyAlignment="1" applyFont="1">
      <alignment horizontal="center" vertical="top"/>
    </xf>
    <xf borderId="0" fillId="14" fontId="33" numFmtId="0" xfId="0" applyAlignment="1" applyFont="1">
      <alignment horizontal="center" readingOrder="0" vertical="top"/>
    </xf>
    <xf borderId="0" fillId="0" fontId="18" numFmtId="0" xfId="0" applyAlignment="1" applyFont="1">
      <alignment readingOrder="0"/>
    </xf>
    <xf borderId="16" fillId="14" fontId="9" numFmtId="0" xfId="0" applyAlignment="1" applyBorder="1" applyFont="1">
      <alignment horizontal="center" vertical="top"/>
    </xf>
    <xf borderId="15" fillId="14" fontId="9" numFmtId="0" xfId="0" applyAlignment="1" applyBorder="1" applyFont="1">
      <alignment horizontal="center" vertical="top"/>
    </xf>
    <xf borderId="0" fillId="14" fontId="9" numFmtId="0" xfId="0" applyAlignment="1" applyFont="1">
      <alignment horizontal="center" readingOrder="0" vertical="center"/>
    </xf>
    <xf borderId="0" fillId="0" fontId="17" numFmtId="0" xfId="0" applyAlignment="1" applyFont="1">
      <alignment vertical="center"/>
    </xf>
    <xf borderId="1" fillId="13" fontId="19" numFmtId="0" xfId="0" applyAlignment="1" applyBorder="1" applyFont="1">
      <alignment horizontal="center" vertical="center"/>
    </xf>
    <xf borderId="2" fillId="13" fontId="1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1" fillId="15" fontId="11" numFmtId="14" xfId="0" applyAlignment="1" applyBorder="1" applyFont="1" applyNumberFormat="1">
      <alignment horizontal="right" readingOrder="0" vertical="center"/>
    </xf>
    <xf borderId="1" fillId="15" fontId="13" numFmtId="0" xfId="0" applyAlignment="1" applyBorder="1" applyFont="1">
      <alignment horizontal="right" readingOrder="0" vertical="center"/>
    </xf>
    <xf borderId="1" fillId="16" fontId="13" numFmtId="0" xfId="0" applyAlignment="1" applyBorder="1" applyFont="1">
      <alignment readingOrder="0" vertical="center"/>
    </xf>
    <xf borderId="1" fillId="17" fontId="13" numFmtId="0" xfId="0" applyAlignment="1" applyBorder="1" applyFont="1">
      <alignment readingOrder="0" vertical="center"/>
    </xf>
    <xf borderId="1" fillId="17" fontId="10" numFmtId="0" xfId="0" applyAlignment="1" applyBorder="1" applyFont="1">
      <alignment vertical="center"/>
    </xf>
    <xf borderId="1" fillId="15" fontId="13" numFmtId="14" xfId="0" applyAlignment="1" applyBorder="1" applyFont="1" applyNumberFormat="1">
      <alignment vertical="center"/>
    </xf>
    <xf borderId="1" fillId="15" fontId="13" numFmtId="0" xfId="0" applyAlignment="1" applyBorder="1" applyFont="1">
      <alignment vertical="center"/>
    </xf>
    <xf borderId="1" fillId="16" fontId="13" numFmtId="0" xfId="0" applyAlignment="1" applyBorder="1" applyFont="1">
      <alignment vertical="center"/>
    </xf>
    <xf borderId="1" fillId="17" fontId="13" numFmtId="0" xfId="0" applyAlignment="1" applyBorder="1" applyFont="1">
      <alignment readingOrder="0" vertical="center"/>
    </xf>
    <xf borderId="1" fillId="17" fontId="13" numFmtId="0" xfId="0" applyAlignment="1" applyBorder="1" applyFont="1">
      <alignment vertical="center"/>
    </xf>
    <xf borderId="12" fillId="13" fontId="19" numFmtId="0" xfId="0" applyAlignment="1" applyBorder="1" applyFont="1">
      <alignment horizontal="center" vertical="center"/>
    </xf>
    <xf borderId="12" fillId="15" fontId="13" numFmtId="14" xfId="0" applyAlignment="1" applyBorder="1" applyFont="1" applyNumberFormat="1">
      <alignment vertical="center"/>
    </xf>
    <xf borderId="12" fillId="15" fontId="13" numFmtId="0" xfId="0" applyAlignment="1" applyBorder="1" applyFont="1">
      <alignment vertical="center"/>
    </xf>
    <xf borderId="0" fillId="14" fontId="13" numFmtId="0" xfId="0" applyAlignment="1" applyFont="1">
      <alignment vertical="center"/>
    </xf>
    <xf borderId="0" fillId="14" fontId="13" numFmtId="14" xfId="0" applyAlignment="1" applyFont="1" applyNumberFormat="1">
      <alignment vertical="center"/>
    </xf>
    <xf borderId="4" fillId="13" fontId="19" numFmtId="0" xfId="0" applyAlignment="1" applyBorder="1" applyFont="1">
      <alignment horizontal="right" vertical="center"/>
    </xf>
    <xf borderId="1" fillId="13" fontId="13" numFmtId="0" xfId="0" applyAlignment="1" applyBorder="1" applyFont="1">
      <alignment vertical="center"/>
    </xf>
    <xf borderId="0" fillId="14" fontId="10" numFmtId="0" xfId="0" applyAlignment="1" applyFont="1">
      <alignment vertical="center"/>
    </xf>
    <xf borderId="1" fillId="16" fontId="23" numFmtId="0" xfId="0" applyAlignment="1" applyBorder="1" applyFont="1">
      <alignment readingOrder="0" vertical="center"/>
    </xf>
    <xf borderId="1" fillId="16" fontId="34" numFmtId="0" xfId="0" applyAlignment="1" applyBorder="1" applyFont="1">
      <alignment readingOrder="0" vertical="center"/>
    </xf>
    <xf borderId="1" fillId="17" fontId="20" numFmtId="0" xfId="0" applyAlignment="1" applyBorder="1" applyFont="1">
      <alignment readingOrder="0" vertical="center"/>
    </xf>
    <xf borderId="1" fillId="15" fontId="10" numFmtId="14" xfId="0" applyAlignment="1" applyBorder="1" applyFont="1" applyNumberFormat="1">
      <alignment vertical="center"/>
    </xf>
    <xf borderId="1" fillId="15" fontId="10" numFmtId="0" xfId="0" applyAlignment="1" applyBorder="1" applyFont="1">
      <alignment vertical="center"/>
    </xf>
    <xf borderId="1" fillId="16" fontId="10" numFmtId="0" xfId="0" applyAlignment="1" applyBorder="1" applyFont="1">
      <alignment vertical="center"/>
    </xf>
    <xf borderId="1" fillId="17" fontId="10" numFmtId="0" xfId="0" applyAlignment="1" applyBorder="1" applyFont="1">
      <alignment readingOrder="0" vertical="center"/>
    </xf>
    <xf borderId="1" fillId="16" fontId="10" numFmtId="0" xfId="0" applyAlignment="1" applyBorder="1" applyFont="1">
      <alignment readingOrder="0" vertical="center"/>
    </xf>
    <xf borderId="1" fillId="17" fontId="10" numFmtId="0" xfId="0" applyAlignment="1" applyBorder="1" applyFont="1">
      <alignment readingOrder="0" vertical="center"/>
    </xf>
    <xf borderId="12" fillId="15" fontId="10" numFmtId="14" xfId="0" applyAlignment="1" applyBorder="1" applyFont="1" applyNumberFormat="1">
      <alignment vertical="center"/>
    </xf>
    <xf borderId="12" fillId="15" fontId="10" numFmtId="0" xfId="0" applyAlignment="1" applyBorder="1" applyFont="1">
      <alignment vertical="center"/>
    </xf>
    <xf borderId="0" fillId="14" fontId="10" numFmtId="14" xfId="0" applyAlignment="1" applyFont="1" applyNumberFormat="1">
      <alignment vertical="center"/>
    </xf>
    <xf borderId="1" fillId="13" fontId="23" numFmtId="0" xfId="0" applyAlignment="1" applyBorder="1" applyFont="1">
      <alignment readingOrder="0" vertical="center"/>
    </xf>
    <xf borderId="1" fillId="13" fontId="23" numFmtId="0" xfId="0" applyAlignment="1" applyBorder="1" applyFont="1">
      <alignment readingOrder="0" vertical="center"/>
    </xf>
    <xf borderId="2" fillId="17" fontId="12" numFmtId="0" xfId="0" applyAlignment="1" applyBorder="1" applyFont="1">
      <alignment horizontal="right" readingOrder="0" vertical="center"/>
    </xf>
    <xf borderId="0" fillId="17" fontId="12" numFmtId="0" xfId="0" applyAlignment="1" applyFont="1">
      <alignment horizontal="right" vertical="center"/>
    </xf>
    <xf borderId="0" fillId="17" fontId="12" numFmtId="0" xfId="0" applyAlignment="1" applyFont="1">
      <alignment horizontal="right" readingOrder="0" vertical="center"/>
    </xf>
    <xf borderId="0" fillId="17" fontId="12" numFmtId="0" xfId="0" applyAlignment="1" applyFont="1">
      <alignment horizontal="right" readingOrder="0" vertical="center"/>
    </xf>
    <xf borderId="1" fillId="20" fontId="9" numFmtId="0" xfId="0" applyAlignment="1" applyBorder="1" applyFont="1">
      <alignment horizontal="center" readingOrder="0" vertical="center"/>
    </xf>
    <xf borderId="12" fillId="20" fontId="12" numFmtId="14" xfId="0" applyAlignment="1" applyBorder="1" applyFont="1" applyNumberFormat="1">
      <alignment horizontal="right" vertical="center"/>
    </xf>
    <xf borderId="1" fillId="20" fontId="12" numFmtId="0" xfId="0" applyAlignment="1" applyBorder="1" applyFont="1">
      <alignment horizontal="right" readingOrder="0" vertical="center"/>
    </xf>
    <xf borderId="1" fillId="20" fontId="12" numFmtId="0" xfId="0" applyAlignment="1" applyBorder="1" applyFont="1">
      <alignment horizontal="right" readingOrder="0" vertical="center"/>
    </xf>
    <xf borderId="0" fillId="20" fontId="12" numFmtId="0" xfId="0" applyAlignment="1" applyFont="1">
      <alignment horizontal="right" readingOrder="0" vertical="center"/>
    </xf>
    <xf borderId="0" fillId="20" fontId="17" numFmtId="0" xfId="0" applyAlignment="1" applyFont="1">
      <alignment vertical="center"/>
    </xf>
    <xf borderId="1" fillId="5" fontId="12" numFmtId="0" xfId="0" applyAlignment="1" applyBorder="1" applyFont="1">
      <alignment horizontal="right" readingOrder="0" vertical="center"/>
    </xf>
    <xf borderId="1" fillId="14" fontId="12" numFmtId="0" xfId="0" applyAlignment="1" applyBorder="1" applyFont="1">
      <alignment horizontal="right" readingOrder="0" vertical="center"/>
    </xf>
    <xf borderId="0" fillId="14" fontId="12" numFmtId="0" xfId="0" applyAlignment="1" applyFont="1">
      <alignment horizontal="right" readingOrder="0" vertical="center"/>
    </xf>
    <xf borderId="0" fillId="14" fontId="17" numFmtId="0" xfId="0" applyAlignment="1" applyFont="1">
      <alignment vertical="center"/>
    </xf>
    <xf borderId="0" fillId="20" fontId="18" numFmtId="0" xfId="0" applyAlignment="1" applyFont="1">
      <alignment vertical="center"/>
    </xf>
    <xf borderId="0" fillId="0" fontId="18" numFmtId="166" xfId="0" applyAlignment="1" applyFont="1" applyNumberFormat="1">
      <alignment readingOrder="0" vertical="center"/>
    </xf>
    <xf borderId="0" fillId="0" fontId="18" numFmtId="0" xfId="0" applyAlignment="1" applyFont="1">
      <alignment readingOrder="0" vertical="center"/>
    </xf>
    <xf borderId="0" fillId="5" fontId="18" numFmtId="0" xfId="0" applyAlignment="1" applyFont="1">
      <alignment vertical="center"/>
    </xf>
    <xf borderId="1" fillId="15" fontId="12" numFmtId="165" xfId="0" applyAlignment="1" applyBorder="1" applyFont="1" applyNumberFormat="1">
      <alignment horizontal="right" readingOrder="0" vertical="center"/>
    </xf>
    <xf borderId="0" fillId="13" fontId="9" numFmtId="0" xfId="0" applyAlignment="1" applyFont="1">
      <alignment horizontal="right" readingOrder="0" shrinkToFit="0" vertical="center" wrapText="1"/>
    </xf>
    <xf borderId="0" fillId="13" fontId="9" numFmtId="0" xfId="0" applyAlignment="1" applyFont="1">
      <alignment horizontal="right" readingOrder="0" shrinkToFit="0" vertical="center" wrapText="1"/>
    </xf>
    <xf borderId="0" fillId="14" fontId="13" numFmtId="0" xfId="0" applyAlignment="1" applyFont="1">
      <alignment horizontal="right" readingOrder="0" shrinkToFit="0" vertical="center" wrapText="1"/>
    </xf>
    <xf borderId="0" fillId="13" fontId="9" numFmtId="0" xfId="0" applyAlignment="1" applyFont="1">
      <alignment horizontal="righ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19" fillId="3" fontId="4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right" readingOrder="0" vertical="center"/>
    </xf>
    <xf borderId="6" fillId="6" fontId="4" numFmtId="0" xfId="0" applyAlignment="1" applyBorder="1" applyFont="1">
      <alignment horizontal="right" readingOrder="0" vertical="center"/>
    </xf>
    <xf borderId="6" fillId="7" fontId="4" numFmtId="0" xfId="0" applyAlignment="1" applyBorder="1" applyFont="1">
      <alignment horizontal="right" readingOrder="0" vertical="center"/>
    </xf>
    <xf borderId="6" fillId="8" fontId="4" numFmtId="0" xfId="0" applyAlignment="1" applyBorder="1" applyFont="1">
      <alignment horizontal="right" readingOrder="0" vertical="center"/>
    </xf>
    <xf borderId="9" fillId="9" fontId="4" numFmtId="0" xfId="0" applyAlignment="1" applyBorder="1" applyFont="1">
      <alignment horizontal="right" readingOrder="0" vertical="center"/>
    </xf>
    <xf borderId="9" fillId="10" fontId="4" numFmtId="0" xfId="0" applyAlignment="1" applyBorder="1" applyFont="1">
      <alignment horizontal="right" readingOrder="0" vertical="center"/>
    </xf>
    <xf borderId="20" fillId="10" fontId="4" numFmtId="0" xfId="0" applyAlignment="1" applyBorder="1" applyFont="1">
      <alignment horizontal="right" readingOrder="0" vertical="center"/>
    </xf>
    <xf borderId="0" fillId="0" fontId="6" numFmtId="0" xfId="0" applyAlignment="1" applyFont="1">
      <alignment horizontal="right" vertical="center"/>
    </xf>
    <xf borderId="19" fillId="3" fontId="7" numFmtId="0" xfId="0" applyAlignment="1" applyBorder="1" applyFont="1">
      <alignment horizontal="center" vertical="center"/>
    </xf>
    <xf borderId="6" fillId="12" fontId="8" numFmtId="14" xfId="0" applyAlignment="1" applyBorder="1" applyFont="1" applyNumberFormat="1">
      <alignment horizontal="right" vertical="center"/>
    </xf>
    <xf borderId="6" fillId="12" fontId="8" numFmtId="0" xfId="0" applyAlignment="1" applyBorder="1" applyFont="1">
      <alignment horizontal="right" readingOrder="0" vertical="center"/>
    </xf>
    <xf borderId="6" fillId="12" fontId="3" numFmtId="0" xfId="0" applyAlignment="1" applyBorder="1" applyFont="1">
      <alignment horizontal="right" readingOrder="0" vertical="center"/>
    </xf>
    <xf borderId="6" fillId="12" fontId="3" numFmtId="0" xfId="0" applyAlignment="1" applyBorder="1" applyFont="1">
      <alignment horizontal="right" vertical="center"/>
    </xf>
    <xf borderId="6" fillId="7" fontId="8" numFmtId="0" xfId="0" applyAlignment="1" applyBorder="1" applyFont="1">
      <alignment horizontal="right" readingOrder="0" vertical="center"/>
    </xf>
    <xf borderId="6" fillId="7" fontId="8" numFmtId="0" xfId="0" applyAlignment="1" applyBorder="1" applyFont="1">
      <alignment horizontal="right" vertical="center"/>
    </xf>
    <xf borderId="6" fillId="8" fontId="8" numFmtId="0" xfId="0" applyAlignment="1" applyBorder="1" applyFont="1">
      <alignment horizontal="right" vertical="center"/>
    </xf>
    <xf borderId="6" fillId="8" fontId="8" numFmtId="164" xfId="0" applyAlignment="1" applyBorder="1" applyFont="1" applyNumberFormat="1">
      <alignment horizontal="right" vertical="center"/>
    </xf>
    <xf borderId="6" fillId="9" fontId="8" numFmtId="0" xfId="0" applyAlignment="1" applyBorder="1" applyFont="1">
      <alignment horizontal="right" vertical="center"/>
    </xf>
    <xf borderId="6" fillId="9" fontId="8" numFmtId="1" xfId="0" applyAlignment="1" applyBorder="1" applyFont="1" applyNumberFormat="1">
      <alignment horizontal="right" vertical="center"/>
    </xf>
    <xf borderId="6" fillId="10" fontId="8" numFmtId="0" xfId="0" applyAlignment="1" applyBorder="1" applyFont="1">
      <alignment horizontal="right" vertical="center"/>
    </xf>
    <xf borderId="21" fillId="10" fontId="8" numFmtId="0" xfId="0" applyAlignment="1" applyBorder="1" applyFont="1">
      <alignment horizontal="right" vertical="center"/>
    </xf>
    <xf borderId="0" fillId="0" fontId="8" numFmtId="0" xfId="0" applyAlignment="1" applyFont="1">
      <alignment horizontal="right" vertical="center"/>
    </xf>
    <xf borderId="0" fillId="0" fontId="8" numFmtId="14" xfId="0" applyAlignment="1" applyFont="1" applyNumberFormat="1">
      <alignment horizontal="right" vertical="center"/>
    </xf>
    <xf borderId="6" fillId="12" fontId="8" numFmtId="0" xfId="0" applyAlignment="1" applyBorder="1" applyFont="1">
      <alignment horizontal="right" vertical="center"/>
    </xf>
    <xf borderId="6" fillId="10" fontId="8" numFmtId="0" xfId="0" applyAlignment="1" applyBorder="1" applyFont="1">
      <alignment horizontal="right" readingOrder="0" vertical="center"/>
    </xf>
    <xf borderId="22" fillId="12" fontId="3" numFmtId="0" xfId="0" applyAlignment="1" applyBorder="1" applyFont="1">
      <alignment horizontal="right" vertical="center"/>
    </xf>
    <xf borderId="22" fillId="12" fontId="3" numFmtId="0" xfId="0" applyAlignment="1" applyBorder="1" applyFont="1">
      <alignment horizontal="right" readingOrder="0" vertical="center"/>
    </xf>
    <xf borderId="22" fillId="7" fontId="8" numFmtId="0" xfId="0" applyAlignment="1" applyBorder="1" applyFont="1">
      <alignment horizontal="right" vertical="center"/>
    </xf>
    <xf borderId="22" fillId="8" fontId="8" numFmtId="0" xfId="0" applyAlignment="1" applyBorder="1" applyFont="1">
      <alignment horizontal="right" vertical="center"/>
    </xf>
    <xf borderId="22" fillId="9" fontId="8" numFmtId="0" xfId="0" applyAlignment="1" applyBorder="1" applyFont="1">
      <alignment horizontal="right" vertical="center"/>
    </xf>
    <xf borderId="22" fillId="9" fontId="8" numFmtId="1" xfId="0" applyAlignment="1" applyBorder="1" applyFont="1" applyNumberFormat="1">
      <alignment horizontal="right" vertical="center"/>
    </xf>
    <xf borderId="22" fillId="10" fontId="8" numFmtId="0" xfId="0" applyAlignment="1" applyBorder="1" applyFont="1">
      <alignment horizontal="right" vertical="center"/>
    </xf>
    <xf borderId="1" fillId="10" fontId="8" numFmtId="0" xfId="0" applyAlignment="1" applyBorder="1" applyFont="1">
      <alignment horizontal="right" vertical="center"/>
    </xf>
    <xf borderId="1" fillId="12" fontId="8" numFmtId="0" xfId="0" applyAlignment="1" applyBorder="1" applyFont="1">
      <alignment horizontal="right" vertical="center"/>
    </xf>
    <xf borderId="1" fillId="12" fontId="3" numFmtId="0" xfId="0" applyAlignment="1" applyBorder="1" applyFont="1">
      <alignment horizontal="right" vertical="center"/>
    </xf>
    <xf borderId="1" fillId="8" fontId="8" numFmtId="0" xfId="0" applyAlignment="1" applyBorder="1" applyFont="1">
      <alignment horizontal="right" vertical="center"/>
    </xf>
    <xf borderId="1" fillId="9" fontId="8" numFmtId="0" xfId="0" applyAlignment="1" applyBorder="1" applyFont="1">
      <alignment horizontal="right" vertical="center"/>
    </xf>
    <xf borderId="1" fillId="9" fontId="8" numFmtId="1" xfId="0" applyAlignment="1" applyBorder="1" applyFont="1" applyNumberFormat="1">
      <alignment horizontal="right" vertical="center"/>
    </xf>
    <xf borderId="6" fillId="19" fontId="7" numFmtId="0" xfId="0" applyAlignment="1" applyBorder="1" applyFont="1">
      <alignment horizontal="center" vertical="center"/>
    </xf>
    <xf borderId="6" fillId="19" fontId="8" numFmtId="14" xfId="0" applyAlignment="1" applyBorder="1" applyFont="1" applyNumberFormat="1">
      <alignment horizontal="right" vertical="center"/>
    </xf>
    <xf borderId="6" fillId="19" fontId="8" numFmtId="0" xfId="0" applyAlignment="1" applyBorder="1" applyFont="1">
      <alignment horizontal="right" vertical="center"/>
    </xf>
    <xf borderId="19" fillId="19" fontId="3" numFmtId="0" xfId="0" applyAlignment="1" applyBorder="1" applyFont="1">
      <alignment horizontal="right" vertical="center"/>
    </xf>
    <xf borderId="6" fillId="19" fontId="3" numFmtId="0" xfId="0" applyAlignment="1" applyBorder="1" applyFont="1">
      <alignment horizontal="right" vertical="center"/>
    </xf>
    <xf borderId="23" fillId="19" fontId="8" numFmtId="164" xfId="0" applyAlignment="1" applyBorder="1" applyFont="1" applyNumberFormat="1">
      <alignment horizontal="right" vertical="center"/>
    </xf>
    <xf borderId="23" fillId="19" fontId="8" numFmtId="0" xfId="0" applyAlignment="1" applyBorder="1" applyFont="1">
      <alignment horizontal="right" vertical="center"/>
    </xf>
    <xf borderId="5" fillId="19" fontId="8" numFmtId="0" xfId="0" applyAlignment="1" applyBorder="1" applyFont="1">
      <alignment horizontal="right" vertical="center"/>
    </xf>
    <xf borderId="5" fillId="19" fontId="8" numFmtId="1" xfId="0" applyAlignment="1" applyBorder="1" applyFont="1" applyNumberFormat="1">
      <alignment horizontal="right" vertical="center"/>
    </xf>
    <xf borderId="22" fillId="8" fontId="8" numFmtId="164" xfId="0" applyAlignment="1" applyBorder="1" applyFont="1" applyNumberFormat="1">
      <alignment horizontal="right" vertical="center"/>
    </xf>
    <xf borderId="23" fillId="19" fontId="7" numFmtId="0" xfId="0" applyAlignment="1" applyBorder="1" applyFont="1">
      <alignment horizontal="center" vertical="center"/>
    </xf>
    <xf borderId="23" fillId="19" fontId="8" numFmtId="14" xfId="0" applyAlignment="1" applyBorder="1" applyFont="1" applyNumberFormat="1">
      <alignment horizontal="right" vertical="center"/>
    </xf>
    <xf borderId="23" fillId="19" fontId="3" numFmtId="0" xfId="0" applyAlignment="1" applyBorder="1" applyFont="1">
      <alignment horizontal="right" vertical="center"/>
    </xf>
    <xf borderId="23" fillId="19" fontId="8" numFmtId="1" xfId="0" applyAlignment="1" applyBorder="1" applyFont="1" applyNumberFormat="1">
      <alignment horizontal="right" vertical="center"/>
    </xf>
    <xf borderId="24" fillId="19" fontId="8" numFmtId="0" xfId="0" applyAlignment="1" applyBorder="1" applyFont="1">
      <alignment horizontal="right" vertical="center"/>
    </xf>
    <xf borderId="5" fillId="19" fontId="3" numFmtId="0" xfId="0" applyAlignment="1" applyBorder="1" applyFont="1">
      <alignment horizontal="right" vertical="center"/>
    </xf>
    <xf borderId="19" fillId="6" fontId="4" numFmtId="0" xfId="0" applyAlignment="1" applyBorder="1" applyFont="1">
      <alignment horizontal="right" readingOrder="0" vertical="center"/>
    </xf>
    <xf borderId="6" fillId="19" fontId="8" numFmtId="164" xfId="0" applyAlignment="1" applyBorder="1" applyFont="1" applyNumberFormat="1">
      <alignment horizontal="right" vertical="center"/>
    </xf>
    <xf borderId="6" fillId="19" fontId="8" numFmtId="1" xfId="0" applyAlignment="1" applyBorder="1" applyFont="1" applyNumberFormat="1">
      <alignment horizontal="right" vertical="center"/>
    </xf>
    <xf borderId="21" fillId="19" fontId="8" numFmtId="0" xfId="0" applyAlignment="1" applyBorder="1" applyFont="1">
      <alignment horizontal="right" vertical="center"/>
    </xf>
    <xf borderId="6" fillId="8" fontId="8" numFmtId="14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22" fillId="12" fontId="8" numFmtId="0" xfId="0" applyAlignment="1" applyBorder="1" applyFont="1">
      <alignment horizontal="right" readingOrder="0" vertical="center"/>
    </xf>
    <xf borderId="22" fillId="12" fontId="8" numFmtId="0" xfId="0" applyAlignment="1" applyBorder="1" applyFont="1">
      <alignment horizontal="right" vertical="center"/>
    </xf>
    <xf borderId="22" fillId="7" fontId="8" numFmtId="0" xfId="0" applyAlignment="1" applyBorder="1" applyFont="1">
      <alignment horizontal="right" readingOrder="0" vertical="center"/>
    </xf>
    <xf borderId="5" fillId="3" fontId="7" numFmtId="0" xfId="0" applyAlignment="1" applyBorder="1" applyFont="1">
      <alignment horizontal="center" vertical="center"/>
    </xf>
    <xf borderId="23" fillId="12" fontId="8" numFmtId="14" xfId="0" applyAlignment="1" applyBorder="1" applyFont="1" applyNumberFormat="1">
      <alignment horizontal="right" vertical="center"/>
    </xf>
    <xf borderId="23" fillId="12" fontId="8" numFmtId="0" xfId="0" applyAlignment="1" applyBorder="1" applyFont="1">
      <alignment horizontal="right" vertical="center"/>
    </xf>
    <xf borderId="23" fillId="12" fontId="3" numFmtId="0" xfId="0" applyAlignment="1" applyBorder="1" applyFont="1">
      <alignment horizontal="right" vertical="center"/>
    </xf>
    <xf borderId="23" fillId="7" fontId="8" numFmtId="0" xfId="0" applyAlignment="1" applyBorder="1" applyFont="1">
      <alignment horizontal="right" vertical="center"/>
    </xf>
    <xf borderId="23" fillId="8" fontId="8" numFmtId="0" xfId="0" applyAlignment="1" applyBorder="1" applyFont="1">
      <alignment horizontal="right" vertical="center"/>
    </xf>
    <xf borderId="23" fillId="8" fontId="8" numFmtId="164" xfId="0" applyAlignment="1" applyBorder="1" applyFont="1" applyNumberFormat="1">
      <alignment horizontal="right" vertical="center"/>
    </xf>
    <xf borderId="23" fillId="9" fontId="8" numFmtId="0" xfId="0" applyAlignment="1" applyBorder="1" applyFont="1">
      <alignment horizontal="right" vertical="center"/>
    </xf>
    <xf borderId="23" fillId="9" fontId="8" numFmtId="1" xfId="0" applyAlignment="1" applyBorder="1" applyFont="1" applyNumberFormat="1">
      <alignment horizontal="right" vertical="center"/>
    </xf>
    <xf borderId="23" fillId="10" fontId="8" numFmtId="0" xfId="0" applyAlignment="1" applyBorder="1" applyFont="1">
      <alignment horizontal="right" vertical="center"/>
    </xf>
    <xf borderId="24" fillId="10" fontId="8" numFmtId="0" xfId="0" applyAlignment="1" applyBorder="1" applyFont="1">
      <alignment horizontal="right" vertical="center"/>
    </xf>
    <xf borderId="19" fillId="3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right" readingOrder="0" vertical="center"/>
    </xf>
    <xf borderId="19" fillId="6" fontId="5" numFmtId="0" xfId="0" applyAlignment="1" applyBorder="1" applyFont="1">
      <alignment horizontal="right" readingOrder="0" vertical="center"/>
    </xf>
    <xf borderId="6" fillId="6" fontId="5" numFmtId="0" xfId="0" applyAlignment="1" applyBorder="1" applyFont="1">
      <alignment horizontal="right" readingOrder="0" vertical="center"/>
    </xf>
    <xf borderId="6" fillId="7" fontId="5" numFmtId="0" xfId="0" applyAlignment="1" applyBorder="1" applyFont="1">
      <alignment horizontal="right" readingOrder="0" vertical="center"/>
    </xf>
    <xf borderId="6" fillId="8" fontId="5" numFmtId="0" xfId="0" applyAlignment="1" applyBorder="1" applyFont="1">
      <alignment horizontal="right" readingOrder="0" vertical="center"/>
    </xf>
    <xf borderId="9" fillId="9" fontId="5" numFmtId="0" xfId="0" applyAlignment="1" applyBorder="1" applyFont="1">
      <alignment horizontal="right" readingOrder="0" vertical="center"/>
    </xf>
    <xf borderId="9" fillId="10" fontId="5" numFmtId="0" xfId="0" applyAlignment="1" applyBorder="1" applyFont="1">
      <alignment horizontal="right" readingOrder="0" vertical="center"/>
    </xf>
    <xf borderId="20" fillId="10" fontId="5" numFmtId="0" xfId="0" applyAlignment="1" applyBorder="1" applyFont="1">
      <alignment horizontal="right" readingOrder="0" vertical="center"/>
    </xf>
    <xf borderId="19" fillId="3" fontId="7" numFmtId="0" xfId="0" applyAlignment="1" applyBorder="1" applyFont="1">
      <alignment horizontal="center" vertical="center"/>
    </xf>
    <xf borderId="6" fillId="12" fontId="8" numFmtId="14" xfId="0" applyAlignment="1" applyBorder="1" applyFont="1" applyNumberFormat="1">
      <alignment horizontal="right" vertical="center"/>
    </xf>
    <xf borderId="6" fillId="12" fontId="8" numFmtId="0" xfId="0" applyAlignment="1" applyBorder="1" applyFont="1">
      <alignment horizontal="right" vertical="center"/>
    </xf>
    <xf borderId="6" fillId="12" fontId="3" numFmtId="0" xfId="0" applyAlignment="1" applyBorder="1" applyFont="1">
      <alignment horizontal="right" readingOrder="0" vertical="center"/>
    </xf>
    <xf borderId="6" fillId="12" fontId="3" numFmtId="0" xfId="0" applyAlignment="1" applyBorder="1" applyFont="1">
      <alignment horizontal="right" vertical="center"/>
    </xf>
    <xf borderId="6" fillId="7" fontId="8" numFmtId="0" xfId="0" applyAlignment="1" applyBorder="1" applyFont="1">
      <alignment horizontal="right" vertical="center"/>
    </xf>
    <xf borderId="6" fillId="7" fontId="8" numFmtId="0" xfId="0" applyAlignment="1" applyBorder="1" applyFont="1">
      <alignment horizontal="right" readingOrder="0" vertical="center"/>
    </xf>
    <xf borderId="6" fillId="8" fontId="8" numFmtId="0" xfId="0" applyAlignment="1" applyBorder="1" applyFont="1">
      <alignment horizontal="right" vertical="center"/>
    </xf>
    <xf borderId="6" fillId="8" fontId="8" numFmtId="164" xfId="0" applyAlignment="1" applyBorder="1" applyFont="1" applyNumberFormat="1">
      <alignment horizontal="right" vertical="center"/>
    </xf>
    <xf borderId="6" fillId="9" fontId="8" numFmtId="0" xfId="0" applyAlignment="1" applyBorder="1" applyFont="1">
      <alignment horizontal="right" vertical="center"/>
    </xf>
    <xf borderId="6" fillId="9" fontId="8" numFmtId="1" xfId="0" applyAlignment="1" applyBorder="1" applyFont="1" applyNumberFormat="1">
      <alignment horizontal="right" vertical="center"/>
    </xf>
    <xf borderId="6" fillId="10" fontId="8" numFmtId="0" xfId="0" applyAlignment="1" applyBorder="1" applyFont="1">
      <alignment horizontal="right" vertical="center"/>
    </xf>
    <xf borderId="21" fillId="10" fontId="8" numFmtId="0" xfId="0" applyAlignment="1" applyBorder="1" applyFont="1">
      <alignment horizontal="right" vertical="center"/>
    </xf>
    <xf borderId="6" fillId="12" fontId="8" numFmtId="0" xfId="0" applyAlignment="1" applyBorder="1" applyFont="1">
      <alignment horizontal="right" readingOrder="0" vertical="center"/>
    </xf>
    <xf borderId="19" fillId="3" fontId="7" numFmtId="0" xfId="0" applyAlignment="1" applyBorder="1" applyFont="1">
      <alignment horizontal="center" readingOrder="0" vertical="center"/>
    </xf>
    <xf borderId="6" fillId="12" fontId="35" numFmtId="14" xfId="0" applyAlignment="1" applyBorder="1" applyFont="1" applyNumberFormat="1">
      <alignment horizontal="right" readingOrder="0" vertical="center"/>
    </xf>
    <xf borderId="6" fillId="12" fontId="35" numFmtId="0" xfId="0" applyAlignment="1" applyBorder="1" applyFont="1">
      <alignment horizontal="right" readingOrder="0" vertical="center"/>
    </xf>
    <xf borderId="6" fillId="12" fontId="36" numFmtId="0" xfId="0" applyAlignment="1" applyBorder="1" applyFont="1">
      <alignment horizontal="right" readingOrder="0" vertical="center"/>
    </xf>
    <xf borderId="6" fillId="7" fontId="35" numFmtId="0" xfId="0" applyAlignment="1" applyBorder="1" applyFont="1">
      <alignment horizontal="right" readingOrder="0" vertical="center"/>
    </xf>
    <xf borderId="6" fillId="8" fontId="35" numFmtId="0" xfId="0" applyAlignment="1" applyBorder="1" applyFont="1">
      <alignment horizontal="right" readingOrder="0" vertical="center"/>
    </xf>
    <xf borderId="6" fillId="8" fontId="35" numFmtId="164" xfId="0" applyAlignment="1" applyBorder="1" applyFont="1" applyNumberFormat="1">
      <alignment horizontal="right" readingOrder="0" vertical="center"/>
    </xf>
    <xf borderId="6" fillId="9" fontId="35" numFmtId="0" xfId="0" applyAlignment="1" applyBorder="1" applyFont="1">
      <alignment horizontal="right" readingOrder="0" vertical="center"/>
    </xf>
    <xf borderId="6" fillId="9" fontId="35" numFmtId="1" xfId="0" applyAlignment="1" applyBorder="1" applyFont="1" applyNumberFormat="1">
      <alignment horizontal="right" readingOrder="0" vertical="center"/>
    </xf>
    <xf borderId="6" fillId="10" fontId="35" numFmtId="0" xfId="0" applyAlignment="1" applyBorder="1" applyFont="1">
      <alignment horizontal="right" readingOrder="0" vertical="center"/>
    </xf>
    <xf borderId="21" fillId="10" fontId="35" numFmtId="0" xfId="0" applyAlignment="1" applyBorder="1" applyFont="1">
      <alignment horizontal="right" readingOrder="0" vertical="center"/>
    </xf>
    <xf borderId="1" fillId="6" fontId="8" numFmtId="0" xfId="0" applyAlignment="1" applyBorder="1" applyFont="1">
      <alignment horizontal="right" readingOrder="0" vertical="center"/>
    </xf>
    <xf borderId="1" fillId="6" fontId="8" numFmtId="0" xfId="0" applyAlignment="1" applyBorder="1" applyFont="1">
      <alignment horizontal="right" vertical="center"/>
    </xf>
    <xf borderId="19" fillId="3" fontId="37" numFmtId="0" xfId="0" applyAlignment="1" applyBorder="1" applyFont="1">
      <alignment horizontal="center" vertical="center"/>
    </xf>
    <xf borderId="6" fillId="12" fontId="38" numFmtId="14" xfId="0" applyAlignment="1" applyBorder="1" applyFont="1" applyNumberFormat="1">
      <alignment horizontal="right" vertical="center"/>
    </xf>
    <xf borderId="6" fillId="12" fontId="38" numFmtId="0" xfId="0" applyAlignment="1" applyBorder="1" applyFont="1">
      <alignment horizontal="right" vertical="center"/>
    </xf>
    <xf borderId="6" fillId="12" fontId="39" numFmtId="0" xfId="0" applyAlignment="1" applyBorder="1" applyFont="1">
      <alignment horizontal="right" vertical="center"/>
    </xf>
    <xf borderId="6" fillId="7" fontId="38" numFmtId="0" xfId="0" applyAlignment="1" applyBorder="1" applyFont="1">
      <alignment horizontal="right" vertical="center"/>
    </xf>
    <xf borderId="6" fillId="8" fontId="38" numFmtId="0" xfId="0" applyAlignment="1" applyBorder="1" applyFont="1">
      <alignment horizontal="right" vertical="center"/>
    </xf>
    <xf borderId="6" fillId="8" fontId="38" numFmtId="164" xfId="0" applyAlignment="1" applyBorder="1" applyFont="1" applyNumberFormat="1">
      <alignment horizontal="right" vertical="center"/>
    </xf>
    <xf borderId="6" fillId="9" fontId="38" numFmtId="0" xfId="0" applyAlignment="1" applyBorder="1" applyFont="1">
      <alignment horizontal="right" vertical="center"/>
    </xf>
    <xf borderId="6" fillId="9" fontId="38" numFmtId="1" xfId="0" applyAlignment="1" applyBorder="1" applyFont="1" applyNumberFormat="1">
      <alignment horizontal="right" vertical="center"/>
    </xf>
    <xf borderId="6" fillId="10" fontId="38" numFmtId="0" xfId="0" applyAlignment="1" applyBorder="1" applyFont="1">
      <alignment horizontal="right" vertical="center"/>
    </xf>
    <xf borderId="21" fillId="10" fontId="38" numFmtId="0" xfId="0" applyAlignment="1" applyBorder="1" applyFont="1">
      <alignment horizontal="right" vertical="center"/>
    </xf>
    <xf borderId="0" fillId="0" fontId="39" numFmtId="0" xfId="0" applyAlignment="1" applyFont="1">
      <alignment horizontal="right" vertical="center"/>
    </xf>
    <xf borderId="19" fillId="23" fontId="7" numFmtId="0" xfId="0" applyAlignment="1" applyBorder="1" applyFill="1" applyFont="1">
      <alignment horizontal="center" vertical="center"/>
    </xf>
    <xf borderId="6" fillId="23" fontId="8" numFmtId="14" xfId="0" applyAlignment="1" applyBorder="1" applyFont="1" applyNumberFormat="1">
      <alignment horizontal="right" vertical="center"/>
    </xf>
    <xf borderId="6" fillId="23" fontId="8" numFmtId="0" xfId="0" applyAlignment="1" applyBorder="1" applyFont="1">
      <alignment horizontal="right" vertical="center"/>
    </xf>
    <xf borderId="6" fillId="23" fontId="3" numFmtId="0" xfId="0" applyAlignment="1" applyBorder="1" applyFont="1">
      <alignment horizontal="right" vertical="center"/>
    </xf>
    <xf borderId="6" fillId="23" fontId="8" numFmtId="164" xfId="0" applyAlignment="1" applyBorder="1" applyFont="1" applyNumberFormat="1">
      <alignment horizontal="right" vertical="center"/>
    </xf>
    <xf borderId="6" fillId="23" fontId="8" numFmtId="1" xfId="0" applyAlignment="1" applyBorder="1" applyFont="1" applyNumberFormat="1">
      <alignment horizontal="right" vertical="center"/>
    </xf>
    <xf borderId="21" fillId="23" fontId="8" numFmtId="0" xfId="0" applyAlignment="1" applyBorder="1" applyFont="1">
      <alignment horizontal="right" vertical="center"/>
    </xf>
    <xf borderId="5" fillId="23" fontId="3" numFmtId="0" xfId="0" applyAlignment="1" applyBorder="1" applyFont="1">
      <alignment horizontal="right" vertical="center"/>
    </xf>
    <xf borderId="0" fillId="0" fontId="3" numFmtId="0" xfId="0" applyAlignment="1" applyFont="1">
      <alignment horizontal="right" readingOrder="0" vertical="center"/>
    </xf>
    <xf borderId="0" fillId="0" fontId="3" numFmtId="14" xfId="0" applyAlignment="1" applyFont="1" applyNumberFormat="1">
      <alignment horizontal="right" vertical="center"/>
    </xf>
    <xf borderId="2" fillId="17" fontId="12" numFmtId="0" xfId="0" applyAlignment="1" applyBorder="1" applyFont="1">
      <alignment horizontal="right" readingOrder="0" vertical="center"/>
    </xf>
    <xf borderId="0" fillId="14" fontId="22" numFmtId="0" xfId="0" applyAlignment="1" applyFont="1">
      <alignment readingOrder="0" vertical="center"/>
    </xf>
    <xf borderId="0" fillId="12" fontId="9" numFmtId="0" xfId="0" applyAlignment="1" applyFont="1">
      <alignment horizontal="right" shrinkToFit="0" vertical="center" wrapText="1"/>
    </xf>
    <xf borderId="6" fillId="3" fontId="5" numFmtId="0" xfId="0" applyAlignment="1" applyBorder="1" applyFont="1">
      <alignment horizontal="right" readingOrder="0" vertical="top"/>
    </xf>
    <xf borderId="6" fillId="6" fontId="5" numFmtId="0" xfId="0" applyAlignment="1" applyBorder="1" applyFont="1">
      <alignment horizontal="right" readingOrder="0" vertical="top"/>
    </xf>
    <xf borderId="6" fillId="7" fontId="5" numFmtId="0" xfId="0" applyAlignment="1" applyBorder="1" applyFont="1">
      <alignment horizontal="right" readingOrder="0" vertical="top"/>
    </xf>
    <xf borderId="6" fillId="8" fontId="5" numFmtId="0" xfId="0" applyAlignment="1" applyBorder="1" applyFont="1">
      <alignment horizontal="right" readingOrder="0" vertical="top"/>
    </xf>
    <xf borderId="9" fillId="9" fontId="5" numFmtId="0" xfId="0" applyAlignment="1" applyBorder="1" applyFont="1">
      <alignment horizontal="right" readingOrder="0" vertical="top"/>
    </xf>
    <xf borderId="9" fillId="10" fontId="5" numFmtId="0" xfId="0" applyAlignment="1" applyBorder="1" applyFont="1">
      <alignment horizontal="right" readingOrder="0" vertical="top"/>
    </xf>
    <xf borderId="20" fillId="10" fontId="5" numFmtId="0" xfId="0" applyAlignment="1" applyBorder="1" applyFont="1">
      <alignment horizontal="right" readingOrder="0" vertical="top"/>
    </xf>
    <xf borderId="5" fillId="24" fontId="40" numFmtId="0" xfId="0" applyAlignment="1" applyBorder="1" applyFill="1" applyFont="1">
      <alignment horizontal="right" readingOrder="0"/>
    </xf>
    <xf borderId="0" fillId="0" fontId="3" numFmtId="14" xfId="0" applyFont="1" applyNumberFormat="1"/>
    <xf borderId="0" fillId="0" fontId="14" numFmtId="0" xfId="0" applyAlignment="1" applyFont="1">
      <alignment readingOrder="0"/>
    </xf>
    <xf borderId="0" fillId="0" fontId="14" numFmtId="0" xfId="0" applyFont="1"/>
    <xf borderId="0" fillId="0" fontId="23" numFmtId="0" xfId="0" applyAlignment="1" applyFont="1">
      <alignment horizontal="center" readingOrder="0"/>
    </xf>
    <xf borderId="6" fillId="3" fontId="4" numFmtId="0" xfId="0" applyAlignment="1" applyBorder="1" applyFont="1">
      <alignment horizontal="right" readingOrder="0"/>
    </xf>
    <xf borderId="5" fillId="9" fontId="4" numFmtId="0" xfId="0" applyAlignment="1" applyBorder="1" applyFont="1">
      <alignment horizontal="right" readingOrder="0" vertical="top"/>
    </xf>
    <xf borderId="1" fillId="3" fontId="7" numFmtId="0" xfId="0" applyAlignment="1" applyBorder="1" applyFont="1">
      <alignment horizontal="right"/>
    </xf>
    <xf borderId="12" fillId="0" fontId="8" numFmtId="14" xfId="0" applyAlignment="1" applyBorder="1" applyFont="1" applyNumberFormat="1">
      <alignment horizontal="right"/>
    </xf>
    <xf borderId="5" fillId="3" fontId="3" numFmtId="0" xfId="0" applyAlignment="1" applyBorder="1" applyFont="1">
      <alignment horizontal="right" readingOrder="0"/>
    </xf>
    <xf borderId="5" fillId="3" fontId="3" numFmtId="0" xfId="0" applyAlignment="1" applyBorder="1" applyFont="1">
      <alignment horizontal="right"/>
    </xf>
    <xf borderId="21" fillId="3" fontId="41" numFmtId="0" xfId="0" applyAlignment="1" applyBorder="1" applyFont="1">
      <alignment horizontal="right"/>
    </xf>
    <xf borderId="12" fillId="0" fontId="8" numFmtId="14" xfId="0" applyAlignment="1" applyBorder="1" applyFont="1" applyNumberFormat="1">
      <alignment horizontal="right"/>
    </xf>
    <xf borderId="1" fillId="12" fontId="8" numFmtId="0" xfId="0" applyAlignment="1" applyBorder="1" applyFont="1">
      <alignment horizontal="right"/>
    </xf>
    <xf borderId="1" fillId="3" fontId="19" numFmtId="0" xfId="0" applyAlignment="1" applyBorder="1" applyFont="1">
      <alignment horizontal="right" readingOrder="0" vertical="top"/>
    </xf>
    <xf borderId="1" fillId="3" fontId="19" numFmtId="0" xfId="0" applyAlignment="1" applyBorder="1" applyFont="1">
      <alignment horizontal="right" vertical="top"/>
    </xf>
    <xf borderId="1" fillId="6" fontId="8" numFmtId="0" xfId="0" applyAlignment="1" applyBorder="1" applyFont="1">
      <alignment horizontal="right" vertical="top"/>
    </xf>
    <xf borderId="1" fillId="7" fontId="8" numFmtId="0" xfId="0" applyAlignment="1" applyBorder="1" applyFont="1">
      <alignment horizontal="right" vertical="top"/>
    </xf>
    <xf borderId="1" fillId="8" fontId="8" numFmtId="0" xfId="0" applyAlignment="1" applyBorder="1" applyFont="1">
      <alignment horizontal="right" vertical="top"/>
    </xf>
    <xf borderId="1" fillId="8" fontId="8" numFmtId="164" xfId="0" applyAlignment="1" applyBorder="1" applyFont="1" applyNumberFormat="1">
      <alignment horizontal="right" vertical="top"/>
    </xf>
    <xf borderId="1" fillId="9" fontId="8" numFmtId="0" xfId="0" applyAlignment="1" applyBorder="1" applyFont="1">
      <alignment horizontal="right"/>
    </xf>
    <xf borderId="1" fillId="9" fontId="8" numFmtId="1" xfId="0" applyAlignment="1" applyBorder="1" applyFont="1" applyNumberFormat="1">
      <alignment horizontal="right"/>
    </xf>
    <xf borderId="1" fillId="10" fontId="8" numFmtId="0" xfId="0" applyAlignment="1" applyBorder="1" applyFont="1">
      <alignment horizontal="right"/>
    </xf>
    <xf borderId="0" fillId="3" fontId="4" numFmtId="0" xfId="0" applyAlignment="1" applyFont="1">
      <alignment horizontal="right"/>
    </xf>
    <xf borderId="0" fillId="3" fontId="4" numFmtId="0" xfId="0" applyAlignment="1" applyFont="1">
      <alignment horizontal="right" vertical="top"/>
    </xf>
    <xf borderId="0" fillId="3" fontId="4" numFmtId="0" xfId="0" applyAlignment="1" applyFont="1">
      <alignment horizontal="right" readingOrder="0" vertical="top"/>
    </xf>
    <xf borderId="0" fillId="6" fontId="4" numFmtId="0" xfId="0" applyAlignment="1" applyFont="1">
      <alignment horizontal="right" readingOrder="0" vertical="top"/>
    </xf>
    <xf borderId="0" fillId="6" fontId="4" numFmtId="0" xfId="0" applyAlignment="1" applyFont="1">
      <alignment horizontal="right" vertical="top"/>
    </xf>
    <xf borderId="0" fillId="7" fontId="4" numFmtId="0" xfId="0" applyAlignment="1" applyFont="1">
      <alignment horizontal="right" readingOrder="0" vertical="top"/>
    </xf>
    <xf borderId="0" fillId="7" fontId="4" numFmtId="0" xfId="0" applyAlignment="1" applyFont="1">
      <alignment horizontal="right" vertical="top"/>
    </xf>
    <xf borderId="0" fillId="8" fontId="4" numFmtId="0" xfId="0" applyAlignment="1" applyFont="1">
      <alignment horizontal="right" vertical="top"/>
    </xf>
    <xf borderId="0" fillId="9" fontId="4" numFmtId="0" xfId="0" applyAlignment="1" applyFont="1">
      <alignment horizontal="right" vertical="top"/>
    </xf>
    <xf borderId="0" fillId="10" fontId="4" numFmtId="0" xfId="0" applyAlignment="1" applyFont="1">
      <alignment horizontal="right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12">
    <tableStyle count="3" pivot="0" name="داخلي-style">
      <tableStyleElement dxfId="1" type="headerRow"/>
      <tableStyleElement dxfId="2" type="firstRowStripe"/>
      <tableStyleElement dxfId="3" type="secondRowStripe"/>
    </tableStyle>
    <tableStyle count="3" pivot="0" name="خالد-style">
      <tableStyleElement dxfId="1" type="headerRow"/>
      <tableStyleElement dxfId="2" type="firstRowStripe"/>
      <tableStyleElement dxfId="3" type="secondRowStripe"/>
    </tableStyle>
    <tableStyle count="2" pivot="0" name="خالد-style 2">
      <tableStyleElement dxfId="3" type="firstRowStripe"/>
      <tableStyleElement dxfId="2" type="secondRowStripe"/>
    </tableStyle>
    <tableStyle count="2" pivot="0" name="خالد-style 3">
      <tableStyleElement dxfId="3" type="firstRowStripe"/>
      <tableStyleElement dxfId="2" type="secondRowStripe"/>
    </tableStyle>
    <tableStyle count="2" pivot="0" name="خالد-style 4">
      <tableStyleElement dxfId="3" type="firstRowStripe"/>
      <tableStyleElement dxfId="2" type="secondRowStripe"/>
    </tableStyle>
    <tableStyle count="2" pivot="0" name="خالد-style 5">
      <tableStyleElement dxfId="3" type="firstRowStripe"/>
      <tableStyleElement dxfId="2" type="secondRowStripe"/>
    </tableStyle>
    <tableStyle count="2" pivot="0" name="خالد-style 6">
      <tableStyleElement dxfId="3" type="firstRowStripe"/>
      <tableStyleElement dxfId="2" type="secondRowStripe"/>
    </tableStyle>
    <tableStyle count="2" pivot="0" name="عمر البربري-style">
      <tableStyleElement dxfId="3" type="firstRowStripe"/>
      <tableStyleElement dxfId="2" type="secondRowStripe"/>
    </tableStyle>
    <tableStyle count="2" pivot="0" name="عمر البربري-style 2">
      <tableStyleElement dxfId="3" type="firstRowStripe"/>
      <tableStyleElement dxfId="2" type="secondRowStripe"/>
    </tableStyle>
    <tableStyle count="2" pivot="0" name="عمر البربري-style 3">
      <tableStyleElement dxfId="3" type="firstRowStripe"/>
      <tableStyleElement dxfId="2" type="secondRowStripe"/>
    </tableStyle>
    <tableStyle count="2" pivot="0" name="عمر البربري-style 4">
      <tableStyleElement dxfId="3" type="firstRowStripe"/>
      <tableStyleElement dxfId="2" type="secondRowStripe"/>
    </tableStyle>
    <tableStyle count="2" pivot="0" name="عمر البربري-style 5">
      <tableStyleElement dxfId="3" type="firstRowStripe"/>
      <tableStyleElement dxfId="2" type="secondRowStripe"/>
    </tableStyle>
    <tableStyle count="2" pivot="0" name="عمر البربري-style 6">
      <tableStyleElement dxfId="2" type="firstRowStripe"/>
      <tableStyleElement dxfId="3" type="secondRowStripe"/>
    </tableStyle>
    <tableStyle count="2" pivot="0" name="عبود-style">
      <tableStyleElement dxfId="2" type="firstRowStripe"/>
      <tableStyleElement dxfId="3" type="secondRowStripe"/>
    </tableStyle>
    <tableStyle count="2" pivot="0" name="عبود-style 2">
      <tableStyleElement dxfId="3" type="firstRowStripe"/>
      <tableStyleElement dxfId="2" type="secondRowStripe"/>
    </tableStyle>
    <tableStyle count="2" pivot="0" name="عبود-style 3">
      <tableStyleElement dxfId="3" type="firstRowStripe"/>
      <tableStyleElement dxfId="2" type="secondRowStripe"/>
    </tableStyle>
    <tableStyle count="2" pivot="0" name="عبود-style 4">
      <tableStyleElement dxfId="3" type="firstRowStripe"/>
      <tableStyleElement dxfId="2" type="secondRowStripe"/>
    </tableStyle>
    <tableStyle count="2" pivot="0" name="عبود-style 5">
      <tableStyleElement dxfId="3" type="firstRowStripe"/>
      <tableStyleElement dxfId="2" type="secondRowStripe"/>
    </tableStyle>
    <tableStyle count="2" pivot="0" name="عبود-style 6">
      <tableStyleElement dxfId="3" type="firstRowStripe"/>
      <tableStyleElement dxfId="2" type="secondRowStripe"/>
    </tableStyle>
    <tableStyle count="2" pivot="0" name="عبود-style 7">
      <tableStyleElement dxfId="3" type="firstRowStripe"/>
      <tableStyleElement dxfId="2" type="secondRowStripe"/>
    </tableStyle>
    <tableStyle count="2" pivot="0" name="عبود-style 8">
      <tableStyleElement dxfId="2" type="firstRowStripe"/>
      <tableStyleElement dxfId="3" type="secondRowStripe"/>
    </tableStyle>
    <tableStyle count="2" pivot="0" name="عبود-style 9">
      <tableStyleElement dxfId="3" type="firstRowStripe"/>
      <tableStyleElement dxfId="2" type="secondRowStripe"/>
    </tableStyle>
    <tableStyle count="2" pivot="0" name="عبود-style 10">
      <tableStyleElement dxfId="3" type="firstRowStripe"/>
      <tableStyleElement dxfId="2" type="secondRowStripe"/>
    </tableStyle>
    <tableStyle count="2" pivot="0" name="عبود-style 11">
      <tableStyleElement dxfId="3" type="firstRowStripe"/>
      <tableStyleElement dxfId="2" type="secondRowStripe"/>
    </tableStyle>
    <tableStyle count="2" pivot="0" name="عبود-style 12">
      <tableStyleElement dxfId="3" type="firstRowStripe"/>
      <tableStyleElement dxfId="2" type="secondRowStripe"/>
    </tableStyle>
    <tableStyle count="2" pivot="0" name="عبود-style 13">
      <tableStyleElement dxfId="2" type="firstRowStripe"/>
      <tableStyleElement dxfId="3" type="secondRowStripe"/>
    </tableStyle>
    <tableStyle count="2" pivot="0" name="عبود-style 14">
      <tableStyleElement dxfId="2" type="firstRowStripe"/>
      <tableStyleElement dxfId="3" type="secondRowStripe"/>
    </tableStyle>
    <tableStyle count="2" pivot="0" name="عبود-style 15">
      <tableStyleElement dxfId="2" type="firstRowStripe"/>
      <tableStyleElement dxfId="3" type="secondRowStripe"/>
    </tableStyle>
    <tableStyle count="2" pivot="0" name="عبود-style 16">
      <tableStyleElement dxfId="2" type="firstRowStripe"/>
      <tableStyleElement dxfId="3" type="secondRowStripe"/>
    </tableStyle>
    <tableStyle count="2" pivot="0" name="ابو عمار-style">
      <tableStyleElement dxfId="3" type="firstRowStripe"/>
      <tableStyleElement dxfId="2" type="secondRowStripe"/>
    </tableStyle>
    <tableStyle count="2" pivot="0" name="ابو عمار-style 2">
      <tableStyleElement dxfId="3" type="firstRowStripe"/>
      <tableStyleElement dxfId="2" type="secondRowStripe"/>
    </tableStyle>
    <tableStyle count="2" pivot="0" name="ابو عمار-style 3">
      <tableStyleElement dxfId="3" type="firstRowStripe"/>
      <tableStyleElement dxfId="2" type="secondRowStripe"/>
    </tableStyle>
    <tableStyle count="2" pivot="0" name="ابو عمار-style 4">
      <tableStyleElement dxfId="3" type="firstRowStripe"/>
      <tableStyleElement dxfId="2" type="secondRowStripe"/>
    </tableStyle>
    <tableStyle count="2" pivot="0" name="ابو عمار-style 5">
      <tableStyleElement dxfId="3" type="firstRowStripe"/>
      <tableStyleElement dxfId="2" type="secondRowStripe"/>
    </tableStyle>
    <tableStyle count="2" pivot="0" name="ابو عمار-style 6">
      <tableStyleElement dxfId="3" type="firstRowStripe"/>
      <tableStyleElement dxfId="2" type="secondRowStripe"/>
    </tableStyle>
    <tableStyle count="2" pivot="0" name="ابو عمار-style 7">
      <tableStyleElement dxfId="3" type="firstRowStripe"/>
      <tableStyleElement dxfId="2" type="secondRowStripe"/>
    </tableStyle>
    <tableStyle count="2" pivot="0" name="ابو عمار-style 8">
      <tableStyleElement dxfId="3" type="firstRowStripe"/>
      <tableStyleElement dxfId="2" type="secondRowStripe"/>
    </tableStyle>
    <tableStyle count="2" pivot="0" name="ابو عمار-style 9">
      <tableStyleElement dxfId="3" type="firstRowStripe"/>
      <tableStyleElement dxfId="2" type="secondRowStripe"/>
    </tableStyle>
    <tableStyle count="2" pivot="0" name="ابو عمار-style 10">
      <tableStyleElement dxfId="3" type="firstRowStripe"/>
      <tableStyleElement dxfId="2" type="secondRowStripe"/>
    </tableStyle>
    <tableStyle count="2" pivot="0" name="ابو عمار-style 11">
      <tableStyleElement dxfId="3" type="firstRowStripe"/>
      <tableStyleElement dxfId="2" type="secondRowStripe"/>
    </tableStyle>
    <tableStyle count="2" pivot="0" name="ابو عمار-style 12">
      <tableStyleElement dxfId="3" type="firstRowStripe"/>
      <tableStyleElement dxfId="2" type="secondRowStripe"/>
    </tableStyle>
    <tableStyle count="2" pivot="0" name="ابو عمار-style 13">
      <tableStyleElement dxfId="3" type="firstRowStripe"/>
      <tableStyleElement dxfId="2" type="secondRowStripe"/>
    </tableStyle>
    <tableStyle count="3" pivot="0" name="محمد الاسكندراني-style">
      <tableStyleElement dxfId="1" type="headerRow"/>
      <tableStyleElement dxfId="2" type="firstRowStripe"/>
      <tableStyleElement dxfId="3" type="secondRowStripe"/>
    </tableStyle>
    <tableStyle count="2" pivot="0" name="محمد الاسكندراني-style 2">
      <tableStyleElement dxfId="2" type="firstRowStripe"/>
      <tableStyleElement dxfId="3" type="secondRowStripe"/>
    </tableStyle>
    <tableStyle count="2" pivot="0" name="محمد الاسكندراني-style 3">
      <tableStyleElement dxfId="2" type="firstRowStripe"/>
      <tableStyleElement dxfId="3" type="secondRowStripe"/>
    </tableStyle>
    <tableStyle count="3" pivot="0" name="السيد-style">
      <tableStyleElement dxfId="1" type="headerRow"/>
      <tableStyleElement dxfId="2" type="firstRowStripe"/>
      <tableStyleElement dxfId="3" type="secondRowStripe"/>
    </tableStyle>
    <tableStyle count="2" pivot="0" name="السيد-style 2">
      <tableStyleElement dxfId="2" type="firstRowStripe"/>
      <tableStyleElement dxfId="3" type="secondRowStripe"/>
    </tableStyle>
    <tableStyle count="2" pivot="0" name="السيد-style 3">
      <tableStyleElement dxfId="2" type="firstRowStripe"/>
      <tableStyleElement dxfId="3" type="secondRowStripe"/>
    </tableStyle>
    <tableStyle count="2" pivot="0" name="السيد-style 4">
      <tableStyleElement dxfId="3" type="firstRowStripe"/>
      <tableStyleElement dxfId="2" type="secondRowStripe"/>
    </tableStyle>
    <tableStyle count="2" pivot="0" name="السيد-style 5">
      <tableStyleElement dxfId="3" type="firstRowStripe"/>
      <tableStyleElement dxfId="2" type="secondRowStripe"/>
    </tableStyle>
    <tableStyle count="2" pivot="0" name="السيد-style 6">
      <tableStyleElement dxfId="3" type="firstRowStripe"/>
      <tableStyleElement dxfId="2" type="secondRowStripe"/>
    </tableStyle>
    <tableStyle count="2" pivot="0" name="السيد-style 7">
      <tableStyleElement dxfId="3" type="firstRowStripe"/>
      <tableStyleElement dxfId="2" type="secondRowStripe"/>
    </tableStyle>
    <tableStyle count="2" pivot="0" name="السيد-style 8">
      <tableStyleElement dxfId="3" type="firstRowStripe"/>
      <tableStyleElement dxfId="2" type="secondRowStripe"/>
    </tableStyle>
    <tableStyle count="2" pivot="0" name="السيد-style 9">
      <tableStyleElement dxfId="3" type="firstRowStripe"/>
      <tableStyleElement dxfId="2" type="secondRowStripe"/>
    </tableStyle>
    <tableStyle count="2" pivot="0" name="السيد-style 10">
      <tableStyleElement dxfId="2" type="firstRowStripe"/>
      <tableStyleElement dxfId="3" type="secondRowStripe"/>
    </tableStyle>
    <tableStyle count="3" pivot="0" name="يوسف العيوطي-style">
      <tableStyleElement dxfId="1" type="headerRow"/>
      <tableStyleElement dxfId="2" type="firstRowStripe"/>
      <tableStyleElement dxfId="3" type="secondRowStripe"/>
    </tableStyle>
    <tableStyle count="2" pivot="0" name="يوسف العيوطي-style 2">
      <tableStyleElement dxfId="2" type="firstRowStripe"/>
      <tableStyleElement dxfId="3" type="secondRowStripe"/>
    </tableStyle>
    <tableStyle count="2" pivot="0" name="يوسف العيوطي-style 3">
      <tableStyleElement dxfId="2" type="firstRowStripe"/>
      <tableStyleElement dxfId="3" type="secondRowStripe"/>
    </tableStyle>
    <tableStyle count="2" pivot="0" name="يوسف العيوطي-style 4">
      <tableStyleElement dxfId="2" type="firstRowStripe"/>
      <tableStyleElement dxfId="3" type="secondRowStripe"/>
    </tableStyle>
    <tableStyle count="2" pivot="0" name="يوسف العيوطي-style 5">
      <tableStyleElement dxfId="3" type="firstRowStripe"/>
      <tableStyleElement dxfId="2" type="secondRowStripe"/>
    </tableStyle>
    <tableStyle count="2" pivot="0" name="يوسف العيوطي-style 6">
      <tableStyleElement dxfId="3" type="firstRowStripe"/>
      <tableStyleElement dxfId="2" type="secondRowStripe"/>
    </tableStyle>
    <tableStyle count="2" pivot="0" name="يوسف العيوطي-style 7">
      <tableStyleElement dxfId="3" type="firstRowStripe"/>
      <tableStyleElement dxfId="2" type="secondRowStripe"/>
    </tableStyle>
    <tableStyle count="2" pivot="0" name="يوسف العيوطي-style 8">
      <tableStyleElement dxfId="3" type="firstRowStripe"/>
      <tableStyleElement dxfId="2" type="secondRowStripe"/>
    </tableStyle>
    <tableStyle count="2" pivot="0" name="يوسف العيوطي-style 9">
      <tableStyleElement dxfId="3" type="firstRowStripe"/>
      <tableStyleElement dxfId="2" type="secondRowStripe"/>
    </tableStyle>
    <tableStyle count="2" pivot="0" name="يوسف العيوطي-style 10">
      <tableStyleElement dxfId="3" type="firstRowStripe"/>
      <tableStyleElement dxfId="2" type="secondRowStripe"/>
    </tableStyle>
    <tableStyle count="2" pivot="0" name="يوسف العيوطي-style 11">
      <tableStyleElement dxfId="3" type="firstRowStripe"/>
      <tableStyleElement dxfId="2" type="secondRowStripe"/>
    </tableStyle>
    <tableStyle count="2" pivot="0" name="يوسف العيوطي-style 12">
      <tableStyleElement dxfId="3" type="firstRowStripe"/>
      <tableStyleElement dxfId="2" type="secondRowStripe"/>
    </tableStyle>
    <tableStyle count="2" pivot="0" name="يوسف العيوطي-style 13">
      <tableStyleElement dxfId="3" type="firstRowStripe"/>
      <tableStyleElement dxfId="2" type="secondRowStripe"/>
    </tableStyle>
    <tableStyle count="2" pivot="0" name="يوسف العيوطي-style 14">
      <tableStyleElement dxfId="3" type="firstRowStripe"/>
      <tableStyleElement dxfId="2" type="secondRowStripe"/>
    </tableStyle>
    <tableStyle count="2" pivot="0" name="ابو مكه -style">
      <tableStyleElement dxfId="2" type="firstRowStripe"/>
      <tableStyleElement dxfId="3" type="secondRowStripe"/>
    </tableStyle>
    <tableStyle count="2" pivot="0" name="ابو مكه -style 2">
      <tableStyleElement dxfId="2" type="firstRowStripe"/>
      <tableStyleElement dxfId="3" type="secondRowStripe"/>
    </tableStyle>
    <tableStyle count="3" pivot="0" name="ابو مكه -style 3">
      <tableStyleElement dxfId="1" type="headerRow"/>
      <tableStyleElement dxfId="2" type="firstRowStripe"/>
      <tableStyleElement dxfId="3" type="secondRowStripe"/>
    </tableStyle>
    <tableStyle count="2" pivot="0" name="ابو مكه -style 4">
      <tableStyleElement dxfId="3" type="firstRowStripe"/>
      <tableStyleElement dxfId="2" type="secondRowStripe"/>
    </tableStyle>
    <tableStyle count="2" pivot="0" name="ابو مكه -style 5">
      <tableStyleElement dxfId="3" type="firstRowStripe"/>
      <tableStyleElement dxfId="2" type="secondRowStripe"/>
    </tableStyle>
    <tableStyle count="2" pivot="0" name="ابو مكه -style 6">
      <tableStyleElement dxfId="3" type="firstRowStripe"/>
      <tableStyleElement dxfId="2" type="secondRowStripe"/>
    </tableStyle>
    <tableStyle count="2" pivot="0" name="ابو مكه -style 7">
      <tableStyleElement dxfId="3" type="firstRowStripe"/>
      <tableStyleElement dxfId="2" type="secondRowStripe"/>
    </tableStyle>
    <tableStyle count="2" pivot="0" name="ابو مكه -style 8">
      <tableStyleElement dxfId="3" type="firstRowStripe"/>
      <tableStyleElement dxfId="2" type="secondRowStripe"/>
    </tableStyle>
    <tableStyle count="2" pivot="0" name="ابو مكه -style 9">
      <tableStyleElement dxfId="3" type="firstRowStripe"/>
      <tableStyleElement dxfId="2" type="secondRowStripe"/>
    </tableStyle>
    <tableStyle count="2" pivot="0" name="ابو مكه -style 10">
      <tableStyleElement dxfId="3" type="firstRowStripe"/>
      <tableStyleElement dxfId="2" type="secondRowStripe"/>
    </tableStyle>
    <tableStyle count="2" pivot="0" name="ابو مكه -style 11">
      <tableStyleElement dxfId="3" type="firstRowStripe"/>
      <tableStyleElement dxfId="2" type="secondRowStripe"/>
    </tableStyle>
    <tableStyle count="2" pivot="0" name="ابو مكه -style 12">
      <tableStyleElement dxfId="3" type="firstRowStripe"/>
      <tableStyleElement dxfId="2" type="secondRowStripe"/>
    </tableStyle>
    <tableStyle count="2" pivot="0" name="ابو مكه -style 13">
      <tableStyleElement dxfId="3" type="firstRowStripe"/>
      <tableStyleElement dxfId="2" type="secondRowStripe"/>
    </tableStyle>
    <tableStyle count="2" pivot="0" name="ابو مكه -style 14">
      <tableStyleElement dxfId="3" type="firstRowStripe"/>
      <tableStyleElement dxfId="2" type="secondRowStripe"/>
    </tableStyle>
    <tableStyle count="2" pivot="0" name="ابو مكه -style 15">
      <tableStyleElement dxfId="3" type="firstRowStripe"/>
      <tableStyleElement dxfId="2" type="secondRowStripe"/>
    </tableStyle>
    <tableStyle count="2" pivot="0" name="ابو مكه -style 16">
      <tableStyleElement dxfId="3" type="firstRowStripe"/>
      <tableStyleElement dxfId="2" type="secondRowStripe"/>
    </tableStyle>
    <tableStyle count="2" pivot="0" name="ابو مكه -style 17">
      <tableStyleElement dxfId="3" type="firstRowStripe"/>
      <tableStyleElement dxfId="2" type="secondRowStripe"/>
    </tableStyle>
    <tableStyle count="2" pivot="0" name="ابو مكه -style 18">
      <tableStyleElement dxfId="2" type="firstRowStripe"/>
      <tableStyleElement dxfId="3" type="secondRowStripe"/>
    </tableStyle>
    <tableStyle count="2" pivot="0" name="ابو مكه -style 19">
      <tableStyleElement dxfId="2" type="firstRowStripe"/>
      <tableStyleElement dxfId="3" type="secondRowStripe"/>
    </tableStyle>
    <tableStyle count="2" pivot="0" name="ابو مكه -style 20">
      <tableStyleElement dxfId="2" type="firstRowStripe"/>
      <tableStyleElement dxfId="3" type="secondRowStripe"/>
    </tableStyle>
    <tableStyle count="2" pivot="0" name="عبدالرحمن جاد -style">
      <tableStyleElement dxfId="3" type="firstRowStripe"/>
      <tableStyleElement dxfId="2" type="secondRowStripe"/>
    </tableStyle>
    <tableStyle count="3" pivot="0" name="نيهال عبدالعزيز-style">
      <tableStyleElement dxfId="1" type="headerRow"/>
      <tableStyleElement dxfId="2" type="firstRowStripe"/>
      <tableStyleElement dxfId="3" type="secondRowStripe"/>
    </tableStyle>
    <tableStyle count="3" pivot="0" name="نيهال عبدالعزيز-style 2">
      <tableStyleElement dxfId="1" type="headerRow"/>
      <tableStyleElement dxfId="2" type="firstRowStripe"/>
      <tableStyleElement dxfId="3" type="secondRowStripe"/>
    </tableStyle>
    <tableStyle count="3" pivot="0" name="نيهال عبدالعزيز-style 3">
      <tableStyleElement dxfId="1" type="headerRow"/>
      <tableStyleElement dxfId="2" type="firstRowStripe"/>
      <tableStyleElement dxfId="3" type="secondRowStripe"/>
    </tableStyle>
    <tableStyle count="3" pivot="0" name="نيهال عبدالعزيز-style 4">
      <tableStyleElement dxfId="1" type="headerRow"/>
      <tableStyleElement dxfId="2" type="firstRowStripe"/>
      <tableStyleElement dxfId="3" type="secondRowStripe"/>
    </tableStyle>
    <tableStyle count="3" pivot="0" name="نيهال عبدالعزيز-style 5">
      <tableStyleElement dxfId="1" type="headerRow"/>
      <tableStyleElement dxfId="2" type="firstRowStripe"/>
      <tableStyleElement dxfId="3" type="secondRowStripe"/>
    </tableStyle>
    <tableStyle count="3" pivot="0" name="نيهال عبدالعزيز-style 6">
      <tableStyleElement dxfId="1" type="headerRow"/>
      <tableStyleElement dxfId="2" type="firstRowStripe"/>
      <tableStyleElement dxfId="3" type="secondRowStripe"/>
    </tableStyle>
    <tableStyle count="3" pivot="0" name="نيهال عبدالعزيز-style 7">
      <tableStyleElement dxfId="1" type="headerRow"/>
      <tableStyleElement dxfId="2" type="firstRowStripe"/>
      <tableStyleElement dxfId="3" type="secondRowStripe"/>
    </tableStyle>
    <tableStyle count="3" pivot="0" name="نيهال عبدالعزيز-style 8">
      <tableStyleElement dxfId="1" type="headerRow"/>
      <tableStyleElement dxfId="2" type="firstRowStripe"/>
      <tableStyleElement dxfId="3" type="secondRowStripe"/>
    </tableStyle>
    <tableStyle count="3" pivot="0" name="نيهال عبدالعزيز-style 9">
      <tableStyleElement dxfId="1" type="headerRow"/>
      <tableStyleElement dxfId="2" type="firstRowStripe"/>
      <tableStyleElement dxfId="3" type="secondRowStripe"/>
    </tableStyle>
    <tableStyle count="3" pivot="0" name="نيهال عبدالعزيز-style 10">
      <tableStyleElement dxfId="1" type="headerRow"/>
      <tableStyleElement dxfId="2" type="firstRowStripe"/>
      <tableStyleElement dxfId="3" type="secondRowStripe"/>
    </tableStyle>
    <tableStyle count="3" pivot="0" name="نيهال عبدالعزيز-style 11">
      <tableStyleElement dxfId="1" type="headerRow"/>
      <tableStyleElement dxfId="2" type="firstRowStripe"/>
      <tableStyleElement dxfId="3" type="secondRowStripe"/>
    </tableStyle>
    <tableStyle count="3" pivot="0" name="نيهال عبدالعزيز-style 12">
      <tableStyleElement dxfId="1" type="headerRow"/>
      <tableStyleElement dxfId="2" type="firstRowStripe"/>
      <tableStyleElement dxfId="3" type="secondRowStripe"/>
    </tableStyle>
    <tableStyle count="2" pivot="0" name="إبراهيم الدوكش-style">
      <tableStyleElement dxfId="3" type="firstRowStripe"/>
      <tableStyleElement dxfId="2" type="secondRowStripe"/>
    </tableStyle>
    <tableStyle count="2" pivot="0" name="إبراهيم الدوكش-style 2">
      <tableStyleElement dxfId="3" type="firstRowStripe"/>
      <tableStyleElement dxfId="2" type="secondRowStripe"/>
    </tableStyle>
    <tableStyle count="2" pivot="0" name="إبراهيم الدوكش-style 3">
      <tableStyleElement dxfId="3" type="firstRowStripe"/>
      <tableStyleElement dxfId="2" type="secondRowStripe"/>
    </tableStyle>
    <tableStyle count="2" pivot="0" name="يوسف الصغير-style">
      <tableStyleElement dxfId="3" type="firstRowStripe"/>
      <tableStyleElement dxfId="2" type="secondRowStripe"/>
    </tableStyle>
    <tableStyle count="2" pivot="0" name="يوسف الصغير-style 2">
      <tableStyleElement dxfId="3" type="firstRowStripe"/>
      <tableStyleElement dxfId="2" type="secondRowStripe"/>
    </tableStyle>
    <tableStyle count="2" pivot="0" name="يوسف الصغير-style 3">
      <tableStyleElement dxfId="3" type="firstRowStripe"/>
      <tableStyleElement dxfId="2" type="secondRowStripe"/>
    </tableStyle>
    <tableStyle count="2" pivot="0" name="يوسف الصغير-style 4">
      <tableStyleElement dxfId="3" type="firstRowStripe"/>
      <tableStyleElement dxfId="2" type="secondRowStripe"/>
    </tableStyle>
    <tableStyle count="2" pivot="0" name="يوسف الصغير-style 5">
      <tableStyleElement dxfId="3" type="firstRowStripe"/>
      <tableStyleElement dxfId="2" type="secondRowStripe"/>
    </tableStyle>
    <tableStyle count="3" pivot="0" name="تجميعه لاكتر من مندوب-style">
      <tableStyleElement dxfId="1" type="headerRow"/>
      <tableStyleElement dxfId="2" type="firstRowStripe"/>
      <tableStyleElement dxfId="3" type="secondRowStripe"/>
    </tableStyle>
    <tableStyle count="3" pivot="0" name="تجميعه لاكتر من مندوب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R59" displayName="Table_1" name="Table_1" id="1">
  <tableColumns count="18">
    <tableColumn name="م" id="1"/>
    <tableColumn name="التاريخ" id="2"/>
    <tableColumn name="اسم المندوب" id="3"/>
    <tableColumn name="اسم الراسل" id="4"/>
    <tableColumn name="تليفون" id="5"/>
    <tableColumn name="عنوان" id="6"/>
    <tableColumn name="اسم المرسل اليه" id="7"/>
    <tableColumn name="التليفون" id="8"/>
    <tableColumn name="العنوان" id="9"/>
    <tableColumn name="ف / كاش" id="10"/>
    <tableColumn name="انستا" id="11"/>
    <tableColumn name="نقدي" id="12"/>
    <tableColumn name="أجل" id="13"/>
    <tableColumn name="تمنه" id="14"/>
    <tableColumn name="تم السداد" id="15"/>
    <tableColumn name="توصيل2" id="16"/>
    <tableColumn name="حساب المندوب" id="17"/>
    <tableColumn name="صافي الشركة" id="18"/>
  </tableColumns>
  <tableStyleInfo name="داخلي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5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54:H174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77:H19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 3" showColumnStripes="0" showFirstColumn="1" showLastColumn="1" showRowStripes="1"/>
</table>
</file>

<file path=xl/tables/table5.xml><?xml version="1.0" encoding="utf-8"?>
<table xmlns="http://schemas.openxmlformats.org/spreadsheetml/2006/main" headerRowCount="0" ref="A199:H22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 4" showColumnStripes="0" showFirstColumn="1" showLastColumn="1" showRowStripes="1"/>
</table>
</file>

<file path=xl/tables/table6.xml><?xml version="1.0" encoding="utf-8"?>
<table xmlns="http://schemas.openxmlformats.org/spreadsheetml/2006/main" headerRowCount="0" ref="A222:H236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 5" showColumnStripes="0" showFirstColumn="1" showLastColumn="1" showRowStripes="1"/>
</table>
</file>

<file path=xl/tables/table7.xml><?xml version="1.0" encoding="utf-8"?>
<table xmlns="http://schemas.openxmlformats.org/spreadsheetml/2006/main" headerRowCount="0" ref="A238:H1680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خالد-style 6" showColumnStripes="0" showFirstColumn="1" showLastColumn="1" showRowStripes="1"/>
</table>
</file>

<file path=xl/tables/table8.xml><?xml version="1.0" encoding="utf-8"?>
<table xmlns="http://schemas.openxmlformats.org/spreadsheetml/2006/main" headerRowCount="0" ref="A57:G59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" showColumnStripes="0" showFirstColumn="1" showLastColumn="1" showRowStripes="1"/>
</table>
</file>

<file path=xl/tables/table9.xml><?xml version="1.0" encoding="utf-8"?>
<table xmlns="http://schemas.openxmlformats.org/spreadsheetml/2006/main" headerRowCount="0" ref="A60:G76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77:G84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85:G238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 4" showColumnStripes="0" showFirstColumn="1" showLastColumn="1" showRowStripes="1"/>
</table>
</file>

<file path=xl/tables/table12.xml><?xml version="1.0" encoding="utf-8"?>
<table xmlns="http://schemas.openxmlformats.org/spreadsheetml/2006/main" headerRowCount="0" ref="A240:G279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 5" showColumnStripes="0" showFirstColumn="1" showLastColumn="1" showRowStripes="1"/>
</table>
</file>

<file path=xl/tables/table13.xml><?xml version="1.0" encoding="utf-8"?>
<table xmlns="http://schemas.openxmlformats.org/spreadsheetml/2006/main" headerRowCount="0" ref="A281:G480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مر البربري-style 6" showColumnStripes="0" showFirstColumn="1" showLastColumn="1" showRowStripes="1"/>
</table>
</file>

<file path=xl/tables/table14.xml><?xml version="1.0" encoding="utf-8"?>
<table xmlns="http://schemas.openxmlformats.org/spreadsheetml/2006/main" headerRowCount="0" ref="A88:G108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" showColumnStripes="0" showFirstColumn="1" showLastColumn="1" showRowStripes="1"/>
</table>
</file>

<file path=xl/tables/table15.xml><?xml version="1.0" encoding="utf-8"?>
<table xmlns="http://schemas.openxmlformats.org/spreadsheetml/2006/main" headerRowCount="0" ref="A132:G152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155:G175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177:G197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4" showColumnStripes="0" showFirstColumn="1" showLastColumn="1" showRowStripes="1"/>
</table>
</file>

<file path=xl/tables/table18.xml><?xml version="1.0" encoding="utf-8"?>
<table xmlns="http://schemas.openxmlformats.org/spreadsheetml/2006/main" headerRowCount="0" ref="A199:G219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5" showColumnStripes="0" showFirstColumn="1" showLastColumn="1" showRowStripes="1"/>
</table>
</file>

<file path=xl/tables/table19.xml><?xml version="1.0" encoding="utf-8"?>
<table xmlns="http://schemas.openxmlformats.org/spreadsheetml/2006/main" headerRowCount="0" ref="A221:G399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6" showColumnStripes="0" showFirstColumn="1" showLastColumn="1" showRowStripes="1"/>
</table>
</file>

<file path=xl/tables/table20.xml><?xml version="1.0" encoding="utf-8"?>
<table xmlns="http://schemas.openxmlformats.org/spreadsheetml/2006/main" headerRowCount="0" ref="A401:G435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7" showColumnStripes="0" showFirstColumn="1" showLastColumn="1" showRowStripes="1"/>
</table>
</file>

<file path=xl/tables/table21.xml><?xml version="1.0" encoding="utf-8"?>
<table xmlns="http://schemas.openxmlformats.org/spreadsheetml/2006/main" headerRowCount="0" ref="A436:G488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8" showColumnStripes="0" showFirstColumn="1" showLastColumn="1" showRowStripes="1"/>
</table>
</file>

<file path=xl/tables/table22.xml><?xml version="1.0" encoding="utf-8"?>
<table xmlns="http://schemas.openxmlformats.org/spreadsheetml/2006/main" headerRowCount="0" ref="A490:G504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9" showColumnStripes="0" showFirstColumn="1" showLastColumn="1" showRowStripes="1"/>
</table>
</file>

<file path=xl/tables/table23.xml><?xml version="1.0" encoding="utf-8"?>
<table xmlns="http://schemas.openxmlformats.org/spreadsheetml/2006/main" headerRowCount="0" ref="A507:G521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0" showColumnStripes="0" showFirstColumn="1" showLastColumn="1" showRowStripes="1"/>
</table>
</file>

<file path=xl/tables/table24.xml><?xml version="1.0" encoding="utf-8"?>
<table xmlns="http://schemas.openxmlformats.org/spreadsheetml/2006/main" headerRowCount="0" ref="A523:G537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1" showColumnStripes="0" showFirstColumn="1" showLastColumn="1" showRowStripes="1"/>
</table>
</file>

<file path=xl/tables/table25.xml><?xml version="1.0" encoding="utf-8"?>
<table xmlns="http://schemas.openxmlformats.org/spreadsheetml/2006/main" headerRowCount="0" ref="A539:G555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2" showColumnStripes="0" showFirstColumn="1" showLastColumn="1" showRowStripes="1"/>
</table>
</file>

<file path=xl/tables/table26.xml><?xml version="1.0" encoding="utf-8"?>
<table xmlns="http://schemas.openxmlformats.org/spreadsheetml/2006/main" headerRowCount="0" ref="A557:G591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3" showColumnStripes="0" showFirstColumn="1" showLastColumn="1" showRowStripes="1"/>
</table>
</file>

<file path=xl/tables/table27.xml><?xml version="1.0" encoding="utf-8"?>
<table xmlns="http://schemas.openxmlformats.org/spreadsheetml/2006/main" headerRowCount="0" ref="A593:G613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4" showColumnStripes="0" showFirstColumn="1" showLastColumn="1" showRowStripes="1"/>
</table>
</file>

<file path=xl/tables/table28.xml><?xml version="1.0" encoding="utf-8"?>
<table xmlns="http://schemas.openxmlformats.org/spreadsheetml/2006/main" headerRowCount="0" ref="A615:G635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5" showColumnStripes="0" showFirstColumn="1" showLastColumn="1" showRowStripes="1"/>
</table>
</file>

<file path=xl/tables/table29.xml><?xml version="1.0" encoding="utf-8"?>
<table xmlns="http://schemas.openxmlformats.org/spreadsheetml/2006/main" headerRowCount="0" ref="A637:G781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ود-style 16" showColumnStripes="0" showFirstColumn="1" showLastColumn="1" showRowStripes="1"/>
</table>
</file>

<file path=xl/tables/table30.xml><?xml version="1.0" encoding="utf-8"?>
<table xmlns="http://schemas.openxmlformats.org/spreadsheetml/2006/main" headerRowCount="0" ref="A131:G151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" showColumnStripes="0" showFirstColumn="1" showLastColumn="1" showRowStripes="1"/>
</table>
</file>

<file path=xl/tables/table31.xml><?xml version="1.0" encoding="utf-8"?>
<table xmlns="http://schemas.openxmlformats.org/spreadsheetml/2006/main" headerRowCount="0" ref="A153:G173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2" showColumnStripes="0" showFirstColumn="1" showLastColumn="1" showRowStripes="1"/>
</table>
</file>

<file path=xl/tables/table32.xml><?xml version="1.0" encoding="utf-8"?>
<table xmlns="http://schemas.openxmlformats.org/spreadsheetml/2006/main" headerRowCount="0" ref="A175:G195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3" showColumnStripes="0" showFirstColumn="1" showLastColumn="1" showRowStripes="1"/>
</table>
</file>

<file path=xl/tables/table33.xml><?xml version="1.0" encoding="utf-8"?>
<table xmlns="http://schemas.openxmlformats.org/spreadsheetml/2006/main" headerRowCount="0" ref="A197:G218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4" showColumnStripes="0" showFirstColumn="1" showLastColumn="1" showRowStripes="1"/>
</table>
</file>

<file path=xl/tables/table34.xml><?xml version="1.0" encoding="utf-8"?>
<table xmlns="http://schemas.openxmlformats.org/spreadsheetml/2006/main" headerRowCount="0" ref="A219:G239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5" showColumnStripes="0" showFirstColumn="1" showLastColumn="1" showRowStripes="1"/>
</table>
</file>

<file path=xl/tables/table35.xml><?xml version="1.0" encoding="utf-8"?>
<table xmlns="http://schemas.openxmlformats.org/spreadsheetml/2006/main" headerRowCount="0" ref="A241:G256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257:G277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279:G307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308:G328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9" showColumnStripes="0" showFirstColumn="1" showLastColumn="1" showRowStripes="1"/>
</table>
</file>

<file path=xl/tables/table39.xml><?xml version="1.0" encoding="utf-8"?>
<table xmlns="http://schemas.openxmlformats.org/spreadsheetml/2006/main" headerRowCount="0" ref="A330:G338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A340:G355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A357:G378" displayName="Table_41" name="Table_41" id="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A379:G664" displayName="Table_42" name="Table_42" id="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عمار-style 13" showColumnStripes="0" showFirstColumn="1" showLastColumn="1" showRowStripes="1"/>
</table>
</file>

<file path=xl/tables/table43.xml><?xml version="1.0" encoding="utf-8"?>
<table xmlns="http://schemas.openxmlformats.org/spreadsheetml/2006/main" ref="A1:G123" displayName="Table_43" name="Table_43" id="43">
  <tableColumns count="7">
    <tableColumn name="م" id="1"/>
    <tableColumn name="التاريخ" id="2"/>
    <tableColumn name="اليوم" id="3"/>
    <tableColumn name="اسم المندوب" id="4"/>
    <tableColumn name="اسم الراسل" id="5"/>
    <tableColumn name="حساب الاوردر" id="6"/>
    <tableColumn name="ملاحظات" id="7"/>
  </tableColumns>
  <tableStyleInfo name="محمد الاسكندراني-style" showColumnStripes="0" showFirstColumn="1" showLastColumn="1" showRowStripes="1"/>
</table>
</file>

<file path=xl/tables/table44.xml><?xml version="1.0" encoding="utf-8"?>
<table xmlns="http://schemas.openxmlformats.org/spreadsheetml/2006/main" headerRowCount="0" ref="A125:G145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محمد الاسكندراني-style 2" showColumnStripes="0" showFirstColumn="1" showLastColumn="1" showRowStripes="1"/>
</table>
</file>

<file path=xl/tables/table45.xml><?xml version="1.0" encoding="utf-8"?>
<table xmlns="http://schemas.openxmlformats.org/spreadsheetml/2006/main" headerRowCount="0" ref="A147:G284" displayName="Table_45" name="Table_45" id="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محمد الاسكندراني-style 3" showColumnStripes="0" showFirstColumn="1" showLastColumn="1" showRowStripes="1"/>
</table>
</file>

<file path=xl/tables/table46.xml><?xml version="1.0" encoding="utf-8"?>
<table xmlns="http://schemas.openxmlformats.org/spreadsheetml/2006/main" ref="A1:G86" displayName="Table_46" name="Table_46" id="46">
  <tableColumns count="7">
    <tableColumn name="م" id="1"/>
    <tableColumn name="التاريخ" id="2"/>
    <tableColumn name="اليوم" id="3"/>
    <tableColumn name="اسم المندوب" id="4"/>
    <tableColumn name="اسم الراسل" id="5"/>
    <tableColumn name="حساب الاوردر" id="6"/>
    <tableColumn name="ملاحظات" id="7"/>
  </tableColumns>
  <tableStyleInfo name="السيد-style" showColumnStripes="0" showFirstColumn="1" showLastColumn="1" showRowStripes="1"/>
</table>
</file>

<file path=xl/tables/table47.xml><?xml version="1.0" encoding="utf-8"?>
<table xmlns="http://schemas.openxmlformats.org/spreadsheetml/2006/main" headerRowCount="0" ref="A88:G108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2" showColumnStripes="0" showFirstColumn="1" showLastColumn="1" showRowStripes="1"/>
</table>
</file>

<file path=xl/tables/table48.xml><?xml version="1.0" encoding="utf-8"?>
<table xmlns="http://schemas.openxmlformats.org/spreadsheetml/2006/main" headerRowCount="0" ref="A109:G124" displayName="Table_48" name="Table_48" id="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3" showColumnStripes="0" showFirstColumn="1" showLastColumn="1" showRowStripes="1"/>
</table>
</file>

<file path=xl/tables/table49.xml><?xml version="1.0" encoding="utf-8"?>
<table xmlns="http://schemas.openxmlformats.org/spreadsheetml/2006/main" headerRowCount="0" ref="A170:G183" displayName="Table_49" name="Table_49" id="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4" showColumnStripes="0" showFirstColumn="1" showLastColumn="1" showRowStripes="1"/>
</table>
</file>

<file path=xl/tables/table50.xml><?xml version="1.0" encoding="utf-8"?>
<table xmlns="http://schemas.openxmlformats.org/spreadsheetml/2006/main" headerRowCount="0" ref="A184:G201" displayName="Table_50" name="Table_50" id="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5" showColumnStripes="0" showFirstColumn="1" showLastColumn="1" showRowStripes="1"/>
</table>
</file>

<file path=xl/tables/table51.xml><?xml version="1.0" encoding="utf-8"?>
<table xmlns="http://schemas.openxmlformats.org/spreadsheetml/2006/main" headerRowCount="0" ref="A202:G222" displayName="Table_51" name="Table_51" id="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6" showColumnStripes="0" showFirstColumn="1" showLastColumn="1" showRowStripes="1"/>
</table>
</file>

<file path=xl/tables/table52.xml><?xml version="1.0" encoding="utf-8"?>
<table xmlns="http://schemas.openxmlformats.org/spreadsheetml/2006/main" headerRowCount="0" ref="A224:J413" displayName="Table_52" name="Table_52" id="5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السيد-style 7" showColumnStripes="0" showFirstColumn="1" showLastColumn="1" showRowStripes="1"/>
</table>
</file>

<file path=xl/tables/table53.xml><?xml version="1.0" encoding="utf-8"?>
<table xmlns="http://schemas.openxmlformats.org/spreadsheetml/2006/main" headerRowCount="0" ref="A415:G510" displayName="Table_53" name="Table_53" id="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8" showColumnStripes="0" showFirstColumn="1" showLastColumn="1" showRowStripes="1"/>
</table>
</file>

<file path=xl/tables/table54.xml><?xml version="1.0" encoding="utf-8"?>
<table xmlns="http://schemas.openxmlformats.org/spreadsheetml/2006/main" headerRowCount="0" ref="A512:G555" displayName="Table_54" name="Table_54" id="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9" showColumnStripes="0" showFirstColumn="1" showLastColumn="1" showRowStripes="1"/>
</table>
</file>

<file path=xl/tables/table55.xml><?xml version="1.0" encoding="utf-8"?>
<table xmlns="http://schemas.openxmlformats.org/spreadsheetml/2006/main" headerRowCount="0" ref="A557:G577" displayName="Table_55" name="Table_55" id="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لسيد-style 10" showColumnStripes="0" showFirstColumn="1" showLastColumn="1" showRowStripes="1"/>
</table>
</file>

<file path=xl/tables/table56.xml><?xml version="1.0" encoding="utf-8"?>
<table xmlns="http://schemas.openxmlformats.org/spreadsheetml/2006/main" headerRowCount="0" ref="A1:G55" displayName="Table_56" name="Table_56" id="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A56:G76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2" showColumnStripes="0" showFirstColumn="1" showLastColumn="1" showRowStripes="1"/>
</table>
</file>

<file path=xl/tables/table58.xml><?xml version="1.0" encoding="utf-8"?>
<table xmlns="http://schemas.openxmlformats.org/spreadsheetml/2006/main" headerRowCount="0" ref="A78:G98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3" showColumnStripes="0" showFirstColumn="1" showLastColumn="1" showRowStripes="1"/>
</table>
</file>

<file path=xl/tables/table59.xml><?xml version="1.0" encoding="utf-8"?>
<table xmlns="http://schemas.openxmlformats.org/spreadsheetml/2006/main" headerRowCount="0" ref="A100:G120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4" showColumnStripes="0" showFirstColumn="1" showLastColumn="1" showRowStripes="1"/>
</table>
</file>

<file path=xl/tables/table60.xml><?xml version="1.0" encoding="utf-8"?>
<table xmlns="http://schemas.openxmlformats.org/spreadsheetml/2006/main" headerRowCount="0" ref="A145:H165" displayName="Table_60" name="Table_60" id="6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يوسف العيوطي-style 5" showColumnStripes="0" showFirstColumn="1" showLastColumn="1" showRowStripes="1"/>
</table>
</file>

<file path=xl/tables/table61.xml><?xml version="1.0" encoding="utf-8"?>
<table xmlns="http://schemas.openxmlformats.org/spreadsheetml/2006/main" headerRowCount="0" ref="A167:G187" displayName="Table_61" name="Table_61" id="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6" showColumnStripes="0" showFirstColumn="1" showLastColumn="1" showRowStripes="1"/>
</table>
</file>

<file path=xl/tables/table62.xml><?xml version="1.0" encoding="utf-8"?>
<table xmlns="http://schemas.openxmlformats.org/spreadsheetml/2006/main" headerRowCount="0" ref="A189:G209" displayName="Table_62" name="Table_62" id="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7" showColumnStripes="0" showFirstColumn="1" showLastColumn="1" showRowStripes="1"/>
</table>
</file>

<file path=xl/tables/table63.xml><?xml version="1.0" encoding="utf-8"?>
<table xmlns="http://schemas.openxmlformats.org/spreadsheetml/2006/main" headerRowCount="0" ref="A211:G231" displayName="Table_63" name="Table_63" id="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8" showColumnStripes="0" showFirstColumn="1" showLastColumn="1" showRowStripes="1"/>
</table>
</file>

<file path=xl/tables/table64.xml><?xml version="1.0" encoding="utf-8"?>
<table xmlns="http://schemas.openxmlformats.org/spreadsheetml/2006/main" headerRowCount="0" ref="A233:G253" displayName="Table_64" name="Table_64" id="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9" showColumnStripes="0" showFirstColumn="1" showLastColumn="1" showRowStripes="1"/>
</table>
</file>

<file path=xl/tables/table65.xml><?xml version="1.0" encoding="utf-8"?>
<table xmlns="http://schemas.openxmlformats.org/spreadsheetml/2006/main" headerRowCount="0" ref="A255:G275" displayName="Table_65" name="Table_65" id="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10" showColumnStripes="0" showFirstColumn="1" showLastColumn="1" showRowStripes="1"/>
</table>
</file>

<file path=xl/tables/table66.xml><?xml version="1.0" encoding="utf-8"?>
<table xmlns="http://schemas.openxmlformats.org/spreadsheetml/2006/main" headerRowCount="0" ref="A277:G297" displayName="Table_66" name="Table_66" id="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11" showColumnStripes="0" showFirstColumn="1" showLastColumn="1" showRowStripes="1"/>
</table>
</file>

<file path=xl/tables/table67.xml><?xml version="1.0" encoding="utf-8"?>
<table xmlns="http://schemas.openxmlformats.org/spreadsheetml/2006/main" headerRowCount="0" ref="A299:G319" displayName="Table_67" name="Table_67" id="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12" showColumnStripes="0" showFirstColumn="1" showLastColumn="1" showRowStripes="1"/>
</table>
</file>

<file path=xl/tables/table68.xml><?xml version="1.0" encoding="utf-8"?>
<table xmlns="http://schemas.openxmlformats.org/spreadsheetml/2006/main" headerRowCount="0" ref="A321:G341" displayName="Table_68" name="Table_68" id="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عيوطي-style 13" showColumnStripes="0" showFirstColumn="1" showLastColumn="1" showRowStripes="1"/>
</table>
</file>

<file path=xl/tables/table69.xml><?xml version="1.0" encoding="utf-8"?>
<table xmlns="http://schemas.openxmlformats.org/spreadsheetml/2006/main" headerRowCount="0" ref="A343:H1358" displayName="Table_69" name="Table_69" id="6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يوسف العيوطي-style 14" showColumnStripes="0" showFirstColumn="1" showLastColumn="1" showRowStripes="1"/>
</table>
</file>

<file path=xl/tables/table70.xml><?xml version="1.0" encoding="utf-8"?>
<table xmlns="http://schemas.openxmlformats.org/spreadsheetml/2006/main" headerRowCount="0" ref="A24:G44" displayName="Table_70" name="Table_70" id="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" showColumnStripes="0" showFirstColumn="1" showLastColumn="1" showRowStripes="1"/>
</table>
</file>

<file path=xl/tables/table71.xml><?xml version="1.0" encoding="utf-8"?>
<table xmlns="http://schemas.openxmlformats.org/spreadsheetml/2006/main" headerRowCount="0" ref="A46:G62" displayName="Table_71" name="Table_71" id="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2" showColumnStripes="0" showFirstColumn="1" showLastColumn="1" showRowStripes="1"/>
</table>
</file>

<file path=xl/tables/table72.xml><?xml version="1.0" encoding="utf-8"?>
<table xmlns="http://schemas.openxmlformats.org/spreadsheetml/2006/main" headerRowCount="0" ref="A64:G66" displayName="Table_72" name="Table_72" id="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A91:G111" displayName="Table_73" name="Table_73" id="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4" showColumnStripes="0" showFirstColumn="1" showLastColumn="1" showRowStripes="1"/>
</table>
</file>

<file path=xl/tables/table74.xml><?xml version="1.0" encoding="utf-8"?>
<table xmlns="http://schemas.openxmlformats.org/spreadsheetml/2006/main" headerRowCount="0" ref="A113:G133" displayName="Table_74" name="Table_74" id="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5" showColumnStripes="0" showFirstColumn="1" showLastColumn="1" showRowStripes="1"/>
</table>
</file>

<file path=xl/tables/table75.xml><?xml version="1.0" encoding="utf-8"?>
<table xmlns="http://schemas.openxmlformats.org/spreadsheetml/2006/main" headerRowCount="0" ref="A135:G155" displayName="Table_75" name="Table_75" id="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6" showColumnStripes="0" showFirstColumn="1" showLastColumn="1" showRowStripes="1"/>
</table>
</file>

<file path=xl/tables/table76.xml><?xml version="1.0" encoding="utf-8"?>
<table xmlns="http://schemas.openxmlformats.org/spreadsheetml/2006/main" headerRowCount="0" ref="A157:G168" displayName="Table_76" name="Table_76" id="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7" showColumnStripes="0" showFirstColumn="1" showLastColumn="1" showRowStripes="1"/>
</table>
</file>

<file path=xl/tables/table77.xml><?xml version="1.0" encoding="utf-8"?>
<table xmlns="http://schemas.openxmlformats.org/spreadsheetml/2006/main" headerRowCount="0" ref="A170:G190" displayName="Table_77" name="Table_77" id="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8" showColumnStripes="0" showFirstColumn="1" showLastColumn="1" showRowStripes="1"/>
</table>
</file>

<file path=xl/tables/table78.xml><?xml version="1.0" encoding="utf-8"?>
<table xmlns="http://schemas.openxmlformats.org/spreadsheetml/2006/main" headerRowCount="0" ref="A192:G212" displayName="Table_78" name="Table_78" id="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9" showColumnStripes="0" showFirstColumn="1" showLastColumn="1" showRowStripes="1"/>
</table>
</file>

<file path=xl/tables/table79.xml><?xml version="1.0" encoding="utf-8"?>
<table xmlns="http://schemas.openxmlformats.org/spreadsheetml/2006/main" headerRowCount="0" ref="A214:G234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0" showColumnStripes="0" showFirstColumn="1" showLastColumn="1" showRowStripes="1"/>
</table>
</file>

<file path=xl/tables/table80.xml><?xml version="1.0" encoding="utf-8"?>
<table xmlns="http://schemas.openxmlformats.org/spreadsheetml/2006/main" headerRowCount="0" ref="A236:G256" displayName="Table_80" name="Table_80" id="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1" showColumnStripes="0" showFirstColumn="1" showLastColumn="1" showRowStripes="1"/>
</table>
</file>

<file path=xl/tables/table81.xml><?xml version="1.0" encoding="utf-8"?>
<table xmlns="http://schemas.openxmlformats.org/spreadsheetml/2006/main" headerRowCount="0" ref="A258:G278" displayName="Table_81" name="Table_81" id="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2" showColumnStripes="0" showFirstColumn="1" showLastColumn="1" showRowStripes="1"/>
</table>
</file>

<file path=xl/tables/table82.xml><?xml version="1.0" encoding="utf-8"?>
<table xmlns="http://schemas.openxmlformats.org/spreadsheetml/2006/main" headerRowCount="0" ref="A280:G300" displayName="Table_82" name="Table_82" id="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3" showColumnStripes="0" showFirstColumn="1" showLastColumn="1" showRowStripes="1"/>
</table>
</file>

<file path=xl/tables/table83.xml><?xml version="1.0" encoding="utf-8"?>
<table xmlns="http://schemas.openxmlformats.org/spreadsheetml/2006/main" headerRowCount="0" ref="A302:G322" displayName="Table_83" name="Table_83" id="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4" showColumnStripes="0" showFirstColumn="1" showLastColumn="1" showRowStripes="1"/>
</table>
</file>

<file path=xl/tables/table84.xml><?xml version="1.0" encoding="utf-8"?>
<table xmlns="http://schemas.openxmlformats.org/spreadsheetml/2006/main" headerRowCount="0" ref="A324:G344" displayName="Table_84" name="Table_84" id="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5" showColumnStripes="0" showFirstColumn="1" showLastColumn="1" showRowStripes="1"/>
</table>
</file>

<file path=xl/tables/table85.xml><?xml version="1.0" encoding="utf-8"?>
<table xmlns="http://schemas.openxmlformats.org/spreadsheetml/2006/main" headerRowCount="0" ref="A346:G388" displayName="Table_85" name="Table_85" id="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6" showColumnStripes="0" showFirstColumn="1" showLastColumn="1" showRowStripes="1"/>
</table>
</file>

<file path=xl/tables/table86.xml><?xml version="1.0" encoding="utf-8"?>
<table xmlns="http://schemas.openxmlformats.org/spreadsheetml/2006/main" headerRowCount="0" ref="A390:G410" displayName="Table_86" name="Table_86" id="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7" showColumnStripes="0" showFirstColumn="1" showLastColumn="1" showRowStripes="1"/>
</table>
</file>

<file path=xl/tables/table87.xml><?xml version="1.0" encoding="utf-8"?>
<table xmlns="http://schemas.openxmlformats.org/spreadsheetml/2006/main" headerRowCount="0" ref="A412:G433" displayName="Table_87" name="Table_87" id="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8" showColumnStripes="0" showFirstColumn="1" showLastColumn="1" showRowStripes="1"/>
</table>
</file>

<file path=xl/tables/table88.xml><?xml version="1.0" encoding="utf-8"?>
<table xmlns="http://schemas.openxmlformats.org/spreadsheetml/2006/main" headerRowCount="0" ref="A434:G454" displayName="Table_88" name="Table_88" id="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19" showColumnStripes="0" showFirstColumn="1" showLastColumn="1" showRowStripes="1"/>
</table>
</file>

<file path=xl/tables/table89.xml><?xml version="1.0" encoding="utf-8"?>
<table xmlns="http://schemas.openxmlformats.org/spreadsheetml/2006/main" headerRowCount="0" ref="A456:G467" displayName="Table_89" name="Table_89" id="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ابو مكه -style 20" showColumnStripes="0" showFirstColumn="1" showLastColumn="1" showRowStripes="1"/>
</table>
</file>

<file path=xl/tables/table90.xml><?xml version="1.0" encoding="utf-8"?>
<table xmlns="http://schemas.openxmlformats.org/spreadsheetml/2006/main" headerRowCount="0" ref="A2:G212" displayName="Table_90" name="Table_90" id="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عبدالرحمن جاد -style" showColumnStripes="0" showFirstColumn="1" showLastColumn="1" showRowStripes="1"/>
</table>
</file>

<file path=xl/tables/table91.xml><?xml version="1.0" encoding="utf-8"?>
<table xmlns="http://schemas.openxmlformats.org/spreadsheetml/2006/main" ref="A2:S8" displayName="Table_91" name="Table_91" id="91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" showColumnStripes="0" showFirstColumn="1" showLastColumn="1" showRowStripes="1"/>
</table>
</file>

<file path=xl/tables/table92.xml><?xml version="1.0" encoding="utf-8"?>
<table xmlns="http://schemas.openxmlformats.org/spreadsheetml/2006/main" ref="A10:S17" displayName="Table_92" name="Table_92" id="92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2" showColumnStripes="0" showFirstColumn="1" showLastColumn="1" showRowStripes="1"/>
</table>
</file>

<file path=xl/tables/table93.xml><?xml version="1.0" encoding="utf-8"?>
<table xmlns="http://schemas.openxmlformats.org/spreadsheetml/2006/main" ref="A19:S26" displayName="Table_93" name="Table_93" id="93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3" showColumnStripes="0" showFirstColumn="1" showLastColumn="1" showRowStripes="1"/>
</table>
</file>

<file path=xl/tables/table94.xml><?xml version="1.0" encoding="utf-8"?>
<table xmlns="http://schemas.openxmlformats.org/spreadsheetml/2006/main" ref="A29:S37" displayName="Table_94" name="Table_94" id="94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4" showColumnStripes="0" showFirstColumn="1" showLastColumn="1" showRowStripes="1"/>
</table>
</file>

<file path=xl/tables/table95.xml><?xml version="1.0" encoding="utf-8"?>
<table xmlns="http://schemas.openxmlformats.org/spreadsheetml/2006/main" ref="A39:S47" displayName="Table_95" name="Table_95" id="95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5" showColumnStripes="0" showFirstColumn="1" showLastColumn="1" showRowStripes="1"/>
</table>
</file>

<file path=xl/tables/table96.xml><?xml version="1.0" encoding="utf-8"?>
<table xmlns="http://schemas.openxmlformats.org/spreadsheetml/2006/main" ref="A49:S57" displayName="Table_96" name="Table_96" id="96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6" showColumnStripes="0" showFirstColumn="1" showLastColumn="1" showRowStripes="1"/>
</table>
</file>

<file path=xl/tables/table97.xml><?xml version="1.0" encoding="utf-8"?>
<table xmlns="http://schemas.openxmlformats.org/spreadsheetml/2006/main" ref="A59:S67" displayName="Table_97" name="Table_97" id="97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7" showColumnStripes="0" showFirstColumn="1" showLastColumn="1" showRowStripes="1"/>
</table>
</file>

<file path=xl/tables/table98.xml><?xml version="1.0" encoding="utf-8"?>
<table xmlns="http://schemas.openxmlformats.org/spreadsheetml/2006/main" ref="A69:S77" displayName="Table_98" name="Table_98" id="98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8" showColumnStripes="0" showFirstColumn="1" showLastColumn="1" showRowStripes="1"/>
</table>
</file>

<file path=xl/tables/table99.xml><?xml version="1.0" encoding="utf-8"?>
<table xmlns="http://schemas.openxmlformats.org/spreadsheetml/2006/main" ref="A79:S87" displayName="Table_99" name="Table_99" id="99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9" showColumnStripes="0" showFirstColumn="1" showLastColumn="1" showRowStripes="1"/>
</table>
</file>

<file path=xl/tables/table100.xml><?xml version="1.0" encoding="utf-8"?>
<table xmlns="http://schemas.openxmlformats.org/spreadsheetml/2006/main" ref="A89:S105" displayName="Table_100" name="Table_100" id="100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10" showColumnStripes="0" showFirstColumn="1" showLastColumn="1" showRowStripes="1"/>
</table>
</file>

<file path=xl/tables/table101.xml><?xml version="1.0" encoding="utf-8"?>
<table xmlns="http://schemas.openxmlformats.org/spreadsheetml/2006/main" ref="A110:S118" displayName="Table_101" name="Table_101" id="101">
  <tableColumns count="19">
    <tableColumn name="عمود1" id="1"/>
    <tableColumn name="عمود2" id="2"/>
    <tableColumn name="عمود3" id="3"/>
    <tableColumn name="عمود4" id="4"/>
    <tableColumn name="عمود5" id="5"/>
    <tableColumn name="عمود6" id="6"/>
    <tableColumn name="عمود7" id="7"/>
    <tableColumn name="عمود8" id="8"/>
    <tableColumn name="عمود9" id="9"/>
    <tableColumn name="عمود10" id="10"/>
    <tableColumn name="عمود11" id="11"/>
    <tableColumn name="عمود12" id="12"/>
    <tableColumn name="عمود13" id="13"/>
    <tableColumn name="عمود14" id="14"/>
    <tableColumn name="عمود15" id="15"/>
    <tableColumn name="عمود16" id="16"/>
    <tableColumn name="عمود17" id="17"/>
    <tableColumn name="عمود18" id="18"/>
    <tableColumn name="عمود19" id="19"/>
  </tableColumns>
  <tableStyleInfo name="نيهال عبدالعزيز-style 11" showColumnStripes="0" showFirstColumn="1" showLastColumn="1" showRowStripes="1"/>
</table>
</file>

<file path=xl/tables/table102.xml><?xml version="1.0" encoding="utf-8"?>
<table xmlns="http://schemas.openxmlformats.org/spreadsheetml/2006/main" ref="A119:S127" displayName="Table_102" name="Table_102" id="102">
  <tableColumns count="19">
    <tableColumn name="م" id="1"/>
    <tableColumn name="التاريخ" id="2"/>
    <tableColumn name="اسم المندوب" id="3"/>
    <tableColumn name="اسم الراسل" id="4"/>
    <tableColumn name="بيان الاوردر" id="5"/>
    <tableColumn name="تليفون" id="6"/>
    <tableColumn name="عنوان" id="7"/>
    <tableColumn name="اسم المرسل اليه" id="8"/>
    <tableColumn name="التليفون" id="9"/>
    <tableColumn name="العنوان" id="10"/>
    <tableColumn name="ف / كاش" id="11"/>
    <tableColumn name="انستا" id="12"/>
    <tableColumn name="نقدي" id="13"/>
    <tableColumn name="أجل" id="14"/>
    <tableColumn name="تمنه" id="15"/>
    <tableColumn name="تم السداد" id="16"/>
    <tableColumn name="توصيل2" id="17"/>
    <tableColumn name="حساب المندوب" id="18"/>
    <tableColumn name="صافي الشركة" id="19"/>
  </tableColumns>
  <tableStyleInfo name="نيهال عبدالعزيز-style 12" showColumnStripes="0" showFirstColumn="1" showLastColumn="1" showRowStripes="1"/>
</table>
</file>

<file path=xl/tables/table103.xml><?xml version="1.0" encoding="utf-8"?>
<table xmlns="http://schemas.openxmlformats.org/spreadsheetml/2006/main" headerRowCount="0" ref="A25:G45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إبراهيم الدوكش-style" showColumnStripes="0" showFirstColumn="1" showLastColumn="1" showRowStripes="1"/>
</table>
</file>

<file path=xl/tables/table104.xml><?xml version="1.0" encoding="utf-8"?>
<table xmlns="http://schemas.openxmlformats.org/spreadsheetml/2006/main" headerRowCount="0" ref="A47:G68" displayName="Table_104" name="Table_104" id="1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إبراهيم الدوكش-style 2" showColumnStripes="0" showFirstColumn="1" showLastColumn="1" showRowStripes="1"/>
</table>
</file>

<file path=xl/tables/table105.xml><?xml version="1.0" encoding="utf-8"?>
<table xmlns="http://schemas.openxmlformats.org/spreadsheetml/2006/main" headerRowCount="0" ref="A69:G79" displayName="Table_105" name="Table_105" id="1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إبراهيم الدوكش-style 3" showColumnStripes="0" showFirstColumn="1" showLastColumn="1" showRowStripes="1"/>
</table>
</file>

<file path=xl/tables/table106.xml><?xml version="1.0" encoding="utf-8"?>
<table xmlns="http://schemas.openxmlformats.org/spreadsheetml/2006/main" headerRowCount="0" ref="A25:G45" displayName="Table_106" name="Table_106" id="1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صغير-style" showColumnStripes="0" showFirstColumn="1" showLastColumn="1" showRowStripes="1"/>
</table>
</file>

<file path=xl/tables/table107.xml><?xml version="1.0" encoding="utf-8"?>
<table xmlns="http://schemas.openxmlformats.org/spreadsheetml/2006/main" headerRowCount="0" ref="A47:G67" displayName="Table_107" name="Table_107" id="1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صغير-style 2" showColumnStripes="0" showFirstColumn="1" showLastColumn="1" showRowStripes="1"/>
</table>
</file>

<file path=xl/tables/table108.xml><?xml version="1.0" encoding="utf-8"?>
<table xmlns="http://schemas.openxmlformats.org/spreadsheetml/2006/main" headerRowCount="0" ref="A69:G89" displayName="Table_108" name="Table_108" id="1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صغير-style 3" showColumnStripes="0" showFirstColumn="1" showLastColumn="1" showRowStripes="1"/>
</table>
</file>

<file path=xl/tables/table109.xml><?xml version="1.0" encoding="utf-8"?>
<table xmlns="http://schemas.openxmlformats.org/spreadsheetml/2006/main" headerRowCount="0" ref="A91:G287" displayName="Table_109" name="Table_109" id="1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صغير-style 4" showColumnStripes="0" showFirstColumn="1" showLastColumn="1" showRowStripes="1"/>
</table>
</file>

<file path=xl/tables/table110.xml><?xml version="1.0" encoding="utf-8"?>
<table xmlns="http://schemas.openxmlformats.org/spreadsheetml/2006/main" headerRowCount="0" ref="A289:G331" displayName="Table_110" name="Table_110" id="1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يوسف الصغير-style 5" showColumnStripes="0" showFirstColumn="1" showLastColumn="1" showRowStripes="1"/>
</table>
</file>

<file path=xl/tables/table111.xml><?xml version="1.0" encoding="utf-8"?>
<table xmlns="http://schemas.openxmlformats.org/spreadsheetml/2006/main" ref="A25:T35" displayName="Table_111" name="Table_111" id="111">
  <tableColumns count="20">
    <tableColumn name="م" id="1"/>
    <tableColumn name="التاريخ" id="2"/>
    <tableColumn name="اسم المندوب" id="3"/>
    <tableColumn name="اسم الراسل" id="4"/>
    <tableColumn name="تليفون" id="5"/>
    <tableColumn name="عنوان" id="6"/>
    <tableColumn name="اسم المرسل اليه" id="7"/>
    <tableColumn name="التليفون" id="8"/>
    <tableColumn name="العنوان" id="9"/>
    <tableColumn name="ف / كاش" id="10"/>
    <tableColumn name="انستا" id="11"/>
    <tableColumn name="نقدي" id="12"/>
    <tableColumn name="أجل" id="13"/>
    <tableColumn name="تمنه" id="14"/>
    <tableColumn name="تم السداد" id="15"/>
    <tableColumn name="توصيل2" id="16"/>
    <tableColumn name="حساب المندوب" id="17"/>
    <tableColumn name="صافي الشركة" id="18"/>
    <tableColumn name="عجوزات / خصومات" id="19"/>
    <tableColumn name="له" id="20"/>
  </tableColumns>
  <tableStyleInfo name="تجميعه لاكتر من مندوب-style" showColumnStripes="0" showFirstColumn="1" showLastColumn="1" showRowStripes="1"/>
</table>
</file>

<file path=xl/tables/table112.xml><?xml version="1.0" encoding="utf-8"?>
<table xmlns="http://schemas.openxmlformats.org/spreadsheetml/2006/main" ref="A40:T42" displayName="Table_112" name="Table_112" id="112">
  <tableColumns count="20">
    <tableColumn name="م" id="1"/>
    <tableColumn name="التاريخ" id="2"/>
    <tableColumn name="اسم المندوب" id="3"/>
    <tableColumn name="اسم الراسل" id="4"/>
    <tableColumn name="تليفون" id="5"/>
    <tableColumn name="عنوان" id="6"/>
    <tableColumn name="اسم المرسل اليه" id="7"/>
    <tableColumn name="التليفون" id="8"/>
    <tableColumn name="العنوان" id="9"/>
    <tableColumn name="ف / كاش" id="10"/>
    <tableColumn name="انستا" id="11"/>
    <tableColumn name="نقدي" id="12"/>
    <tableColumn name="أجل" id="13"/>
    <tableColumn name="تمنه" id="14"/>
    <tableColumn name="تم السداد" id="15"/>
    <tableColumn name="توصيل2" id="16"/>
    <tableColumn name="حساب المندوب" id="17"/>
    <tableColumn name="صافي الشركة" id="18"/>
    <tableColumn name="عجوزات / خصومات" id="19"/>
    <tableColumn name="له" id="20"/>
  </tableColumns>
  <tableStyleInfo name="تجميعه لاكتر من مندوب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9" Type="http://schemas.openxmlformats.org/officeDocument/2006/relationships/table" Target="../tables/table9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6.xml"/><Relationship Id="rId31" Type="http://schemas.openxmlformats.org/officeDocument/2006/relationships/table" Target="../tables/table27.xml"/><Relationship Id="rId30" Type="http://schemas.openxmlformats.org/officeDocument/2006/relationships/table" Target="../tables/table26.xml"/><Relationship Id="rId22" Type="http://schemas.openxmlformats.org/officeDocument/2006/relationships/table" Target="../tables/table18.xml"/><Relationship Id="rId33" Type="http://schemas.openxmlformats.org/officeDocument/2006/relationships/table" Target="../tables/table29.xml"/><Relationship Id="rId21" Type="http://schemas.openxmlformats.org/officeDocument/2006/relationships/table" Target="../tables/table17.xml"/><Relationship Id="rId32" Type="http://schemas.openxmlformats.org/officeDocument/2006/relationships/table" Target="../tables/table28.xml"/><Relationship Id="rId24" Type="http://schemas.openxmlformats.org/officeDocument/2006/relationships/table" Target="../tables/table20.xml"/><Relationship Id="rId23" Type="http://schemas.openxmlformats.org/officeDocument/2006/relationships/table" Target="../tables/table19.xml"/><Relationship Id="rId1" Type="http://schemas.openxmlformats.org/officeDocument/2006/relationships/drawing" Target="../drawings/drawing4.xml"/><Relationship Id="rId26" Type="http://schemas.openxmlformats.org/officeDocument/2006/relationships/table" Target="../tables/table22.xml"/><Relationship Id="rId25" Type="http://schemas.openxmlformats.org/officeDocument/2006/relationships/table" Target="../tables/table21.xml"/><Relationship Id="rId28" Type="http://schemas.openxmlformats.org/officeDocument/2006/relationships/table" Target="../tables/table24.xml"/><Relationship Id="rId27" Type="http://schemas.openxmlformats.org/officeDocument/2006/relationships/table" Target="../tables/table23.xml"/><Relationship Id="rId19" Type="http://schemas.openxmlformats.org/officeDocument/2006/relationships/table" Target="../tables/table15.xml"/><Relationship Id="rId18" Type="http://schemas.openxmlformats.org/officeDocument/2006/relationships/table" Target="../tables/table14.xml"/><Relationship Id="rId29" Type="http://schemas.openxmlformats.org/officeDocument/2006/relationships/table" Target="../tables/table25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5.xml"/><Relationship Id="rId22" Type="http://schemas.openxmlformats.org/officeDocument/2006/relationships/table" Target="../tables/table37.xml"/><Relationship Id="rId21" Type="http://schemas.openxmlformats.org/officeDocument/2006/relationships/table" Target="../tables/table36.xml"/><Relationship Id="rId24" Type="http://schemas.openxmlformats.org/officeDocument/2006/relationships/table" Target="../tables/table39.xml"/><Relationship Id="rId23" Type="http://schemas.openxmlformats.org/officeDocument/2006/relationships/table" Target="../tables/table38.xml"/><Relationship Id="rId1" Type="http://schemas.openxmlformats.org/officeDocument/2006/relationships/drawing" Target="../drawings/drawing5.xml"/><Relationship Id="rId15" Type="http://schemas.openxmlformats.org/officeDocument/2006/relationships/table" Target="../tables/table30.xml"/><Relationship Id="rId26" Type="http://schemas.openxmlformats.org/officeDocument/2006/relationships/table" Target="../tables/table41.xml"/><Relationship Id="rId25" Type="http://schemas.openxmlformats.org/officeDocument/2006/relationships/table" Target="../tables/table40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Relationship Id="rId27" Type="http://schemas.openxmlformats.org/officeDocument/2006/relationships/table" Target="../tables/table42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43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4.xml"/><Relationship Id="rId21" Type="http://schemas.openxmlformats.org/officeDocument/2006/relationships/table" Target="../tables/table55.xml"/><Relationship Id="rId13" Type="http://schemas.openxmlformats.org/officeDocument/2006/relationships/table" Target="../tables/table47.xml"/><Relationship Id="rId12" Type="http://schemas.openxmlformats.org/officeDocument/2006/relationships/table" Target="../tables/table46.xml"/><Relationship Id="rId1" Type="http://schemas.openxmlformats.org/officeDocument/2006/relationships/drawing" Target="../drawings/drawing7.xml"/><Relationship Id="rId15" Type="http://schemas.openxmlformats.org/officeDocument/2006/relationships/table" Target="../tables/table49.xml"/><Relationship Id="rId14" Type="http://schemas.openxmlformats.org/officeDocument/2006/relationships/table" Target="../tables/table48.xml"/><Relationship Id="rId17" Type="http://schemas.openxmlformats.org/officeDocument/2006/relationships/table" Target="../tables/table51.xml"/><Relationship Id="rId16" Type="http://schemas.openxmlformats.org/officeDocument/2006/relationships/table" Target="../tables/table50.xml"/><Relationship Id="rId19" Type="http://schemas.openxmlformats.org/officeDocument/2006/relationships/table" Target="../tables/table53.xml"/><Relationship Id="rId18" Type="http://schemas.openxmlformats.org/officeDocument/2006/relationships/table" Target="../tables/table52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0.xml"/><Relationship Id="rId22" Type="http://schemas.openxmlformats.org/officeDocument/2006/relationships/table" Target="../tables/table62.xml"/><Relationship Id="rId21" Type="http://schemas.openxmlformats.org/officeDocument/2006/relationships/table" Target="../tables/table61.xml"/><Relationship Id="rId24" Type="http://schemas.openxmlformats.org/officeDocument/2006/relationships/table" Target="../tables/table64.xml"/><Relationship Id="rId23" Type="http://schemas.openxmlformats.org/officeDocument/2006/relationships/table" Target="../tables/table63.xml"/><Relationship Id="rId1" Type="http://schemas.openxmlformats.org/officeDocument/2006/relationships/drawing" Target="../drawings/drawing8.xml"/><Relationship Id="rId26" Type="http://schemas.openxmlformats.org/officeDocument/2006/relationships/table" Target="../tables/table66.xml"/><Relationship Id="rId25" Type="http://schemas.openxmlformats.org/officeDocument/2006/relationships/table" Target="../tables/table65.xml"/><Relationship Id="rId17" Type="http://schemas.openxmlformats.org/officeDocument/2006/relationships/table" Target="../tables/table57.xml"/><Relationship Id="rId28" Type="http://schemas.openxmlformats.org/officeDocument/2006/relationships/table" Target="../tables/table68.xml"/><Relationship Id="rId16" Type="http://schemas.openxmlformats.org/officeDocument/2006/relationships/table" Target="../tables/table56.xml"/><Relationship Id="rId27" Type="http://schemas.openxmlformats.org/officeDocument/2006/relationships/table" Target="../tables/table67.xml"/><Relationship Id="rId19" Type="http://schemas.openxmlformats.org/officeDocument/2006/relationships/table" Target="../tables/table59.xml"/><Relationship Id="rId18" Type="http://schemas.openxmlformats.org/officeDocument/2006/relationships/table" Target="../tables/table58.xml"/><Relationship Id="rId29" Type="http://schemas.openxmlformats.org/officeDocument/2006/relationships/table" Target="../tables/table69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8.xml"/><Relationship Id="rId31" Type="http://schemas.openxmlformats.org/officeDocument/2006/relationships/table" Target="../tables/table79.xml"/><Relationship Id="rId30" Type="http://schemas.openxmlformats.org/officeDocument/2006/relationships/table" Target="../tables/table78.xml"/><Relationship Id="rId41" Type="http://schemas.openxmlformats.org/officeDocument/2006/relationships/table" Target="../tables/table89.xml"/><Relationship Id="rId22" Type="http://schemas.openxmlformats.org/officeDocument/2006/relationships/table" Target="../tables/table70.xml"/><Relationship Id="rId33" Type="http://schemas.openxmlformats.org/officeDocument/2006/relationships/table" Target="../tables/table81.xml"/><Relationship Id="rId32" Type="http://schemas.openxmlformats.org/officeDocument/2006/relationships/table" Target="../tables/table80.xml"/><Relationship Id="rId24" Type="http://schemas.openxmlformats.org/officeDocument/2006/relationships/table" Target="../tables/table72.xml"/><Relationship Id="rId35" Type="http://schemas.openxmlformats.org/officeDocument/2006/relationships/table" Target="../tables/table83.xml"/><Relationship Id="rId23" Type="http://schemas.openxmlformats.org/officeDocument/2006/relationships/table" Target="../tables/table71.xml"/><Relationship Id="rId34" Type="http://schemas.openxmlformats.org/officeDocument/2006/relationships/table" Target="../tables/table82.xml"/><Relationship Id="rId1" Type="http://schemas.openxmlformats.org/officeDocument/2006/relationships/drawing" Target="../drawings/drawing9.xml"/><Relationship Id="rId26" Type="http://schemas.openxmlformats.org/officeDocument/2006/relationships/table" Target="../tables/table74.xml"/><Relationship Id="rId37" Type="http://schemas.openxmlformats.org/officeDocument/2006/relationships/table" Target="../tables/table85.xml"/><Relationship Id="rId25" Type="http://schemas.openxmlformats.org/officeDocument/2006/relationships/table" Target="../tables/table73.xml"/><Relationship Id="rId36" Type="http://schemas.openxmlformats.org/officeDocument/2006/relationships/table" Target="../tables/table84.xml"/><Relationship Id="rId28" Type="http://schemas.openxmlformats.org/officeDocument/2006/relationships/table" Target="../tables/table76.xml"/><Relationship Id="rId39" Type="http://schemas.openxmlformats.org/officeDocument/2006/relationships/table" Target="../tables/table87.xml"/><Relationship Id="rId27" Type="http://schemas.openxmlformats.org/officeDocument/2006/relationships/table" Target="../tables/table75.xml"/><Relationship Id="rId38" Type="http://schemas.openxmlformats.org/officeDocument/2006/relationships/table" Target="../tables/table86.xml"/><Relationship Id="rId29" Type="http://schemas.openxmlformats.org/officeDocument/2006/relationships/table" Target="../tables/table7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7.xml"/><Relationship Id="rId22" Type="http://schemas.openxmlformats.org/officeDocument/2006/relationships/table" Target="../tables/table99.xml"/><Relationship Id="rId21" Type="http://schemas.openxmlformats.org/officeDocument/2006/relationships/table" Target="../tables/table98.xml"/><Relationship Id="rId24" Type="http://schemas.openxmlformats.org/officeDocument/2006/relationships/table" Target="../tables/table101.xml"/><Relationship Id="rId23" Type="http://schemas.openxmlformats.org/officeDocument/2006/relationships/table" Target="../tables/table100.xml"/><Relationship Id="rId1" Type="http://schemas.openxmlformats.org/officeDocument/2006/relationships/drawing" Target="../drawings/drawing11.xml"/><Relationship Id="rId15" Type="http://schemas.openxmlformats.org/officeDocument/2006/relationships/table" Target="../tables/table92.xml"/><Relationship Id="rId14" Type="http://schemas.openxmlformats.org/officeDocument/2006/relationships/table" Target="../tables/table91.xml"/><Relationship Id="rId25" Type="http://schemas.openxmlformats.org/officeDocument/2006/relationships/table" Target="../tables/table102.xml"/><Relationship Id="rId17" Type="http://schemas.openxmlformats.org/officeDocument/2006/relationships/table" Target="../tables/table94.xml"/><Relationship Id="rId16" Type="http://schemas.openxmlformats.org/officeDocument/2006/relationships/table" Target="../tables/table93.xml"/><Relationship Id="rId19" Type="http://schemas.openxmlformats.org/officeDocument/2006/relationships/table" Target="../tables/table96.xml"/><Relationship Id="rId18" Type="http://schemas.openxmlformats.org/officeDocument/2006/relationships/table" Target="../tables/table9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103.xml"/><Relationship Id="rId6" Type="http://schemas.openxmlformats.org/officeDocument/2006/relationships/table" Target="../tables/table104.xml"/><Relationship Id="rId7" Type="http://schemas.openxmlformats.org/officeDocument/2006/relationships/table" Target="../tables/table105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10.xml"/><Relationship Id="rId10" Type="http://schemas.openxmlformats.org/officeDocument/2006/relationships/table" Target="../tables/table109.xml"/><Relationship Id="rId1" Type="http://schemas.openxmlformats.org/officeDocument/2006/relationships/drawing" Target="../drawings/drawing13.xml"/><Relationship Id="rId9" Type="http://schemas.openxmlformats.org/officeDocument/2006/relationships/table" Target="../tables/table108.xml"/><Relationship Id="rId7" Type="http://schemas.openxmlformats.org/officeDocument/2006/relationships/table" Target="../tables/table106.xml"/><Relationship Id="rId8" Type="http://schemas.openxmlformats.org/officeDocument/2006/relationships/table" Target="../tables/table10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11.xml"/><Relationship Id="rId5" Type="http://schemas.openxmlformats.org/officeDocument/2006/relationships/table" Target="../tables/table1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9.29"/>
    <col customWidth="1" min="2" max="2" width="11.0"/>
    <col customWidth="1" min="3" max="3" width="10.57"/>
    <col customWidth="1" min="4" max="4" width="16.14"/>
    <col customWidth="1" min="5" max="6" width="12.14"/>
    <col customWidth="1" min="7" max="7" width="14.29"/>
    <col customWidth="1" min="8" max="8" width="8.43"/>
    <col customWidth="1" min="9" max="9" width="12.57"/>
    <col customWidth="1" min="10" max="10" width="10.14"/>
    <col customWidth="1" min="11" max="11" width="9.14"/>
    <col customWidth="1" min="12" max="12" width="6.43"/>
    <col customWidth="1" min="13" max="13" width="11.14"/>
    <col customWidth="1" min="14" max="14" width="7.14"/>
    <col customWidth="1" min="15" max="16" width="9.29"/>
    <col customWidth="1" min="17" max="17" width="11.86"/>
    <col customWidth="1" min="18" max="18" width="12.71"/>
    <col customWidth="1" min="19" max="19" width="16.86"/>
    <col customWidth="1" min="20" max="20" width="8.86"/>
    <col customWidth="1" min="21" max="21" width="12.0"/>
    <col customWidth="1" min="22" max="22" width="13.14"/>
    <col customWidth="1" min="23" max="24" width="8.86"/>
    <col customWidth="1" min="25" max="25" width="10.86"/>
    <col customWidth="1" min="26" max="26" width="8.71"/>
  </cols>
  <sheetData>
    <row r="1" ht="23.25" customHeight="1">
      <c r="A1" s="1"/>
      <c r="B1" s="1"/>
      <c r="C1" s="1"/>
      <c r="D1" s="2" t="s">
        <v>0</v>
      </c>
      <c r="E1" s="3"/>
      <c r="F1" s="3"/>
      <c r="G1" s="3"/>
      <c r="H1" s="3"/>
      <c r="I1" s="4"/>
      <c r="J1" s="2" t="s">
        <v>1</v>
      </c>
      <c r="K1" s="3"/>
      <c r="L1" s="3"/>
      <c r="M1" s="4"/>
      <c r="N1" s="2" t="s">
        <v>2</v>
      </c>
      <c r="O1" s="3"/>
      <c r="P1" s="4"/>
      <c r="Q1" s="5"/>
      <c r="R1" s="5"/>
      <c r="S1" s="5"/>
      <c r="T1" s="6"/>
      <c r="U1" s="7"/>
      <c r="V1" s="5"/>
      <c r="W1" s="5"/>
      <c r="X1" s="5"/>
      <c r="Y1" s="5"/>
      <c r="Z1" s="5"/>
    </row>
    <row r="2" ht="23.25" customHeight="1">
      <c r="A2" s="8"/>
      <c r="B2" s="9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>
        <f>SUBTOTAL(9,Q4:Q8)</f>
        <v>0</v>
      </c>
      <c r="R2" s="5">
        <f>SUBTOTAL(9,'داخلي'!$R$4:$R$59)</f>
        <v>275</v>
      </c>
      <c r="S2" s="5"/>
      <c r="T2" s="6"/>
      <c r="U2" s="7"/>
      <c r="V2" s="5"/>
      <c r="W2" s="5"/>
      <c r="X2" s="5"/>
      <c r="Y2" s="5"/>
      <c r="Z2" s="5"/>
    </row>
    <row r="3" ht="27.0" customHeight="1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3" t="s">
        <v>9</v>
      </c>
      <c r="G3" s="14" t="s">
        <v>10</v>
      </c>
      <c r="H3" s="14" t="s">
        <v>11</v>
      </c>
      <c r="I3" s="14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6" t="s">
        <v>17</v>
      </c>
      <c r="O3" s="16" t="s">
        <v>18</v>
      </c>
      <c r="P3" s="16" t="s">
        <v>19</v>
      </c>
      <c r="Q3" s="17" t="s">
        <v>20</v>
      </c>
      <c r="R3" s="17" t="s">
        <v>21</v>
      </c>
      <c r="S3" s="18" t="s">
        <v>22</v>
      </c>
      <c r="T3" s="19" t="s">
        <v>23</v>
      </c>
      <c r="U3" s="20" t="s">
        <v>24</v>
      </c>
      <c r="V3" s="21" t="s">
        <v>25</v>
      </c>
      <c r="W3" s="22"/>
      <c r="X3" s="22"/>
      <c r="Y3" s="22"/>
      <c r="Z3" s="22"/>
    </row>
    <row r="4" ht="13.5" customHeight="1">
      <c r="A4" s="23">
        <v>1.0</v>
      </c>
      <c r="B4" s="24">
        <v>46054.0</v>
      </c>
      <c r="C4" s="25" t="s">
        <v>26</v>
      </c>
      <c r="D4" s="26" t="s">
        <v>27</v>
      </c>
      <c r="E4" s="27"/>
      <c r="F4" s="26" t="s">
        <v>28</v>
      </c>
      <c r="G4" s="28" t="s">
        <v>29</v>
      </c>
      <c r="H4" s="29">
        <v>0.0</v>
      </c>
      <c r="I4" s="29">
        <v>0.0</v>
      </c>
      <c r="J4" s="30"/>
      <c r="K4" s="30"/>
      <c r="L4" s="31"/>
      <c r="M4" s="30">
        <v>35.0</v>
      </c>
      <c r="N4" s="32">
        <v>0.0</v>
      </c>
      <c r="O4" s="33" t="s">
        <v>30</v>
      </c>
      <c r="P4" s="34">
        <v>35.0</v>
      </c>
      <c r="Q4" s="35" t="str">
        <f t="shared" ref="Q4:Q37" si="1">V9244</f>
        <v/>
      </c>
      <c r="R4" s="35">
        <f>'داخلي'!$P4*25%</f>
        <v>8.75</v>
      </c>
      <c r="S4" s="36" t="s">
        <v>31</v>
      </c>
      <c r="T4" s="37"/>
      <c r="U4" s="38"/>
      <c r="V4" s="39"/>
      <c r="W4" s="39"/>
      <c r="X4" s="39"/>
      <c r="Y4" s="40"/>
      <c r="Z4" s="39"/>
    </row>
    <row r="5" ht="13.5" customHeight="1">
      <c r="A5" s="23">
        <v>2.0</v>
      </c>
      <c r="B5" s="24">
        <v>46055.0</v>
      </c>
      <c r="C5" s="25" t="s">
        <v>26</v>
      </c>
      <c r="D5" s="26" t="s">
        <v>32</v>
      </c>
      <c r="E5" s="27"/>
      <c r="F5" s="26" t="s">
        <v>33</v>
      </c>
      <c r="G5" s="29"/>
      <c r="H5" s="29"/>
      <c r="I5" s="28" t="s">
        <v>34</v>
      </c>
      <c r="J5" s="30"/>
      <c r="K5" s="30"/>
      <c r="L5" s="31">
        <v>45.0</v>
      </c>
      <c r="M5" s="30"/>
      <c r="N5" s="32"/>
      <c r="O5" s="32"/>
      <c r="P5" s="34"/>
      <c r="Q5" s="35" t="str">
        <f t="shared" si="1"/>
        <v/>
      </c>
      <c r="R5" s="35">
        <f>'داخلي'!$P5*25%</f>
        <v>0</v>
      </c>
      <c r="S5" s="41" t="s">
        <v>35</v>
      </c>
      <c r="T5" s="37"/>
      <c r="U5" s="38"/>
      <c r="V5" s="39"/>
      <c r="W5" s="39"/>
      <c r="X5" s="39"/>
      <c r="Y5" s="39"/>
      <c r="Z5" s="39"/>
    </row>
    <row r="6" ht="13.5" customHeight="1">
      <c r="A6" s="23">
        <v>3.0</v>
      </c>
      <c r="B6" s="24">
        <v>46056.0</v>
      </c>
      <c r="C6" s="25" t="s">
        <v>26</v>
      </c>
      <c r="D6" s="26" t="s">
        <v>36</v>
      </c>
      <c r="E6" s="26" t="s">
        <v>37</v>
      </c>
      <c r="F6" s="26" t="s">
        <v>38</v>
      </c>
      <c r="G6" s="28" t="s">
        <v>39</v>
      </c>
      <c r="H6" s="29">
        <v>0.0</v>
      </c>
      <c r="I6" s="28" t="s">
        <v>40</v>
      </c>
      <c r="J6" s="30"/>
      <c r="K6" s="30"/>
      <c r="L6" s="31"/>
      <c r="M6" s="42" t="s">
        <v>41</v>
      </c>
      <c r="N6" s="32"/>
      <c r="O6" s="33" t="s">
        <v>30</v>
      </c>
      <c r="P6" s="34"/>
      <c r="Q6" s="35" t="str">
        <f t="shared" si="1"/>
        <v/>
      </c>
      <c r="R6" s="35">
        <f>'داخلي'!$P6*25%</f>
        <v>0</v>
      </c>
      <c r="S6" s="43"/>
      <c r="T6" s="37"/>
      <c r="U6" s="38"/>
      <c r="V6" s="39"/>
      <c r="W6" s="39"/>
      <c r="X6" s="39"/>
      <c r="Y6" s="39"/>
      <c r="Z6" s="39"/>
    </row>
    <row r="7" ht="13.5" customHeight="1">
      <c r="A7" s="23">
        <v>4.0</v>
      </c>
      <c r="B7" s="24">
        <v>46057.0</v>
      </c>
      <c r="C7" s="25" t="s">
        <v>26</v>
      </c>
      <c r="D7" s="26" t="s">
        <v>42</v>
      </c>
      <c r="E7" s="27"/>
      <c r="F7" s="26" t="s">
        <v>43</v>
      </c>
      <c r="G7" s="29"/>
      <c r="H7" s="29"/>
      <c r="I7" s="28" t="s">
        <v>44</v>
      </c>
      <c r="J7" s="30"/>
      <c r="K7" s="30"/>
      <c r="L7" s="31">
        <v>35.0</v>
      </c>
      <c r="M7" s="30"/>
      <c r="N7" s="32"/>
      <c r="O7" s="32"/>
      <c r="P7" s="34"/>
      <c r="Q7" s="35" t="str">
        <f t="shared" si="1"/>
        <v/>
      </c>
      <c r="R7" s="35">
        <f>'داخلي'!$P7*25%</f>
        <v>0</v>
      </c>
      <c r="S7" s="44"/>
      <c r="T7" s="37"/>
      <c r="U7" s="38"/>
      <c r="V7" s="39"/>
      <c r="W7" s="39"/>
      <c r="X7" s="39"/>
      <c r="Y7" s="39"/>
      <c r="Z7" s="39"/>
    </row>
    <row r="8" ht="13.5" customHeight="1">
      <c r="A8" s="23">
        <v>5.0</v>
      </c>
      <c r="B8" s="24">
        <v>46058.0</v>
      </c>
      <c r="C8" s="25" t="s">
        <v>26</v>
      </c>
      <c r="D8" s="26" t="s">
        <v>45</v>
      </c>
      <c r="E8" s="27"/>
      <c r="F8" s="26" t="s">
        <v>46</v>
      </c>
      <c r="G8" s="28" t="s">
        <v>47</v>
      </c>
      <c r="H8" s="29"/>
      <c r="I8" s="29"/>
      <c r="J8" s="30"/>
      <c r="K8" s="30"/>
      <c r="L8" s="31">
        <v>40.0</v>
      </c>
      <c r="M8" s="30"/>
      <c r="N8" s="32"/>
      <c r="O8" s="32"/>
      <c r="P8" s="34"/>
      <c r="Q8" s="35" t="str">
        <f t="shared" si="1"/>
        <v/>
      </c>
      <c r="R8" s="35">
        <f>'داخلي'!$P8*25%</f>
        <v>0</v>
      </c>
      <c r="S8" s="43"/>
      <c r="T8" s="37"/>
      <c r="U8" s="38"/>
      <c r="V8" s="39"/>
      <c r="W8" s="39"/>
      <c r="X8" s="39"/>
      <c r="Y8" s="39"/>
      <c r="Z8" s="39"/>
    </row>
    <row r="9" ht="13.5" customHeight="1">
      <c r="A9" s="23">
        <v>6.0</v>
      </c>
      <c r="B9" s="24">
        <v>46059.0</v>
      </c>
      <c r="C9" s="25" t="s">
        <v>48</v>
      </c>
      <c r="D9" s="26" t="s">
        <v>49</v>
      </c>
      <c r="E9" s="27"/>
      <c r="F9" s="26" t="s">
        <v>40</v>
      </c>
      <c r="G9" s="29"/>
      <c r="H9" s="29"/>
      <c r="I9" s="28" t="s">
        <v>50</v>
      </c>
      <c r="J9" s="30"/>
      <c r="K9" s="42" t="s">
        <v>51</v>
      </c>
      <c r="L9" s="31"/>
      <c r="M9" s="30"/>
      <c r="N9" s="32">
        <v>35.0</v>
      </c>
      <c r="O9" s="32"/>
      <c r="P9" s="34"/>
      <c r="Q9" s="35" t="str">
        <f t="shared" si="1"/>
        <v/>
      </c>
      <c r="R9" s="35">
        <f>'داخلي'!$P9*25%</f>
        <v>0</v>
      </c>
      <c r="S9" s="45" t="s">
        <v>52</v>
      </c>
      <c r="T9" s="46" t="s">
        <v>53</v>
      </c>
      <c r="U9" s="47" t="s">
        <v>54</v>
      </c>
      <c r="V9" s="48" t="s">
        <v>55</v>
      </c>
      <c r="W9" s="5"/>
      <c r="X9" s="5"/>
      <c r="Y9" s="5"/>
      <c r="Z9" s="5"/>
    </row>
    <row r="10" ht="13.5" customHeight="1">
      <c r="A10" s="23">
        <v>7.0</v>
      </c>
      <c r="B10" s="24">
        <v>46060.0</v>
      </c>
      <c r="C10" s="25" t="s">
        <v>48</v>
      </c>
      <c r="D10" s="26" t="s">
        <v>56</v>
      </c>
      <c r="E10" s="27"/>
      <c r="F10" s="27"/>
      <c r="G10" s="29"/>
      <c r="H10" s="29"/>
      <c r="I10" s="29"/>
      <c r="J10" s="30"/>
      <c r="K10" s="30"/>
      <c r="L10" s="31">
        <v>35.0</v>
      </c>
      <c r="M10" s="30"/>
      <c r="N10" s="32"/>
      <c r="O10" s="32"/>
      <c r="P10" s="34"/>
      <c r="Q10" s="35" t="str">
        <f t="shared" si="1"/>
        <v/>
      </c>
      <c r="R10" s="35">
        <f>'داخلي'!$P10*25%</f>
        <v>0</v>
      </c>
      <c r="S10" s="49" t="s">
        <v>57</v>
      </c>
      <c r="T10" s="6"/>
      <c r="U10" s="7"/>
      <c r="V10" s="48" t="s">
        <v>58</v>
      </c>
      <c r="W10" s="5"/>
      <c r="X10" s="5"/>
      <c r="Y10" s="5"/>
      <c r="Z10" s="5"/>
    </row>
    <row r="11" ht="13.5" customHeight="1">
      <c r="A11" s="23">
        <v>8.0</v>
      </c>
      <c r="B11" s="24">
        <v>46061.0</v>
      </c>
      <c r="C11" s="25" t="s">
        <v>48</v>
      </c>
      <c r="D11" s="26" t="s">
        <v>49</v>
      </c>
      <c r="E11" s="27"/>
      <c r="F11" s="26" t="s">
        <v>40</v>
      </c>
      <c r="G11" s="29"/>
      <c r="H11" s="29"/>
      <c r="I11" s="28" t="s">
        <v>50</v>
      </c>
      <c r="J11" s="30"/>
      <c r="K11" s="42" t="s">
        <v>51</v>
      </c>
      <c r="L11" s="31"/>
      <c r="M11" s="30"/>
      <c r="N11" s="32">
        <v>35.0</v>
      </c>
      <c r="O11" s="32"/>
      <c r="P11" s="34"/>
      <c r="Q11" s="35" t="str">
        <f t="shared" si="1"/>
        <v/>
      </c>
      <c r="R11" s="35">
        <f>'داخلي'!$P11*25%</f>
        <v>0</v>
      </c>
      <c r="S11" s="50"/>
      <c r="T11" s="6"/>
      <c r="U11" s="7"/>
      <c r="V11" s="5"/>
      <c r="W11" s="5"/>
      <c r="X11" s="5"/>
      <c r="Y11" s="5"/>
      <c r="Z11" s="5"/>
    </row>
    <row r="12" ht="13.5" customHeight="1">
      <c r="A12" s="23">
        <v>9.0</v>
      </c>
      <c r="B12" s="24">
        <v>46062.0</v>
      </c>
      <c r="C12" s="25" t="s">
        <v>48</v>
      </c>
      <c r="D12" s="26" t="s">
        <v>59</v>
      </c>
      <c r="E12" s="27"/>
      <c r="F12" s="27"/>
      <c r="G12" s="29"/>
      <c r="H12" s="29"/>
      <c r="I12" s="29"/>
      <c r="J12" s="30"/>
      <c r="K12" s="30"/>
      <c r="L12" s="31"/>
      <c r="M12" s="30"/>
      <c r="N12" s="32"/>
      <c r="O12" s="32"/>
      <c r="P12" s="34"/>
      <c r="Q12" s="35" t="str">
        <f t="shared" si="1"/>
        <v/>
      </c>
      <c r="R12" s="35">
        <f>'داخلي'!$P12*25%</f>
        <v>0</v>
      </c>
      <c r="S12" s="51"/>
      <c r="T12" s="6"/>
      <c r="U12" s="7"/>
      <c r="V12" s="5"/>
      <c r="W12" s="5"/>
      <c r="X12" s="5"/>
      <c r="Y12" s="5"/>
      <c r="Z12" s="5"/>
    </row>
    <row r="13" ht="13.5" customHeight="1">
      <c r="A13" s="23">
        <v>10.0</v>
      </c>
      <c r="B13" s="24">
        <v>46063.0</v>
      </c>
      <c r="C13" s="25" t="s">
        <v>48</v>
      </c>
      <c r="D13" s="26" t="s">
        <v>60</v>
      </c>
      <c r="E13" s="27"/>
      <c r="F13" s="27"/>
      <c r="G13" s="29"/>
      <c r="H13" s="29"/>
      <c r="I13" s="29"/>
      <c r="J13" s="30"/>
      <c r="K13" s="30"/>
      <c r="L13" s="31"/>
      <c r="M13" s="30"/>
      <c r="N13" s="32"/>
      <c r="O13" s="33" t="s">
        <v>30</v>
      </c>
      <c r="P13" s="34"/>
      <c r="Q13" s="35" t="str">
        <f t="shared" si="1"/>
        <v/>
      </c>
      <c r="R13" s="35">
        <f>'داخلي'!$P13*25%</f>
        <v>0</v>
      </c>
      <c r="S13" s="50"/>
      <c r="T13" s="6"/>
      <c r="U13" s="7"/>
      <c r="V13" s="5"/>
      <c r="W13" s="5"/>
      <c r="X13" s="5"/>
      <c r="Y13" s="5"/>
      <c r="Z13" s="5"/>
    </row>
    <row r="14" ht="13.5" customHeight="1">
      <c r="A14" s="23">
        <v>11.0</v>
      </c>
      <c r="B14" s="24">
        <v>46064.0</v>
      </c>
      <c r="C14" s="25" t="s">
        <v>48</v>
      </c>
      <c r="D14" s="27" t="s">
        <v>61</v>
      </c>
      <c r="E14" s="27"/>
      <c r="F14" s="27"/>
      <c r="G14" s="29"/>
      <c r="H14" s="29"/>
      <c r="I14" s="29"/>
      <c r="J14" s="30"/>
      <c r="K14" s="30"/>
      <c r="L14" s="31"/>
      <c r="M14" s="30"/>
      <c r="N14" s="32"/>
      <c r="O14" s="32"/>
      <c r="P14" s="34"/>
      <c r="Q14" s="35" t="str">
        <f t="shared" si="1"/>
        <v/>
      </c>
      <c r="R14" s="35">
        <f>'داخلي'!$P14*25%</f>
        <v>0</v>
      </c>
      <c r="S14" s="51"/>
      <c r="T14" s="6"/>
      <c r="U14" s="7"/>
      <c r="V14" s="5"/>
      <c r="W14" s="5"/>
      <c r="X14" s="5"/>
      <c r="Y14" s="5"/>
      <c r="Z14" s="5"/>
    </row>
    <row r="15" ht="13.5" customHeight="1">
      <c r="A15" s="23">
        <v>12.0</v>
      </c>
      <c r="B15" s="24">
        <v>46065.0</v>
      </c>
      <c r="C15" s="25" t="s">
        <v>48</v>
      </c>
      <c r="D15" s="26" t="s">
        <v>62</v>
      </c>
      <c r="E15" s="27"/>
      <c r="F15" s="26" t="s">
        <v>62</v>
      </c>
      <c r="G15" s="29"/>
      <c r="H15" s="29"/>
      <c r="I15" s="28" t="s">
        <v>63</v>
      </c>
      <c r="J15" s="30"/>
      <c r="K15" s="30"/>
      <c r="L15" s="31">
        <v>50.0</v>
      </c>
      <c r="M15" s="30"/>
      <c r="N15" s="32"/>
      <c r="O15" s="33" t="s">
        <v>30</v>
      </c>
      <c r="P15" s="34"/>
      <c r="Q15" s="35" t="str">
        <f t="shared" si="1"/>
        <v/>
      </c>
      <c r="R15" s="35">
        <f>'داخلي'!$P15*25%</f>
        <v>0</v>
      </c>
      <c r="S15" s="50"/>
      <c r="T15" s="6"/>
      <c r="U15" s="7"/>
      <c r="V15" s="5"/>
      <c r="W15" s="5"/>
      <c r="X15" s="5"/>
      <c r="Y15" s="5"/>
      <c r="Z15" s="5"/>
    </row>
    <row r="16" ht="13.5" customHeight="1">
      <c r="A16" s="23">
        <v>13.0</v>
      </c>
      <c r="B16" s="24">
        <v>46066.0</v>
      </c>
      <c r="C16" s="25" t="s">
        <v>48</v>
      </c>
      <c r="D16" s="26" t="s">
        <v>64</v>
      </c>
      <c r="E16" s="27"/>
      <c r="F16" s="27"/>
      <c r="G16" s="29"/>
      <c r="H16" s="29"/>
      <c r="I16" s="29"/>
      <c r="J16" s="30"/>
      <c r="K16" s="30"/>
      <c r="L16" s="31"/>
      <c r="M16" s="30"/>
      <c r="N16" s="32"/>
      <c r="O16" s="33" t="s">
        <v>30</v>
      </c>
      <c r="P16" s="34"/>
      <c r="Q16" s="35" t="str">
        <f t="shared" si="1"/>
        <v/>
      </c>
      <c r="R16" s="35">
        <f>'داخلي'!$P16*25%</f>
        <v>0</v>
      </c>
      <c r="S16" s="51"/>
      <c r="T16" s="6"/>
      <c r="U16" s="7"/>
      <c r="V16" s="5"/>
      <c r="W16" s="5"/>
      <c r="X16" s="5"/>
      <c r="Y16" s="5"/>
      <c r="Z16" s="5"/>
    </row>
    <row r="17" ht="15.0" customHeight="1">
      <c r="A17" s="23">
        <v>14.0</v>
      </c>
      <c r="B17" s="24">
        <v>46067.0</v>
      </c>
      <c r="C17" s="25" t="s">
        <v>65</v>
      </c>
      <c r="D17" s="26" t="s">
        <v>66</v>
      </c>
      <c r="E17" s="27"/>
      <c r="F17" s="27"/>
      <c r="G17" s="28" t="s">
        <v>67</v>
      </c>
      <c r="H17" s="29"/>
      <c r="I17" s="29"/>
      <c r="J17" s="30"/>
      <c r="K17" s="30"/>
      <c r="L17" s="31"/>
      <c r="M17" s="30"/>
      <c r="N17" s="32"/>
      <c r="O17" s="32"/>
      <c r="P17" s="34">
        <v>35.0</v>
      </c>
      <c r="Q17" s="35" t="str">
        <f t="shared" si="1"/>
        <v/>
      </c>
      <c r="R17" s="35">
        <f>'داخلي'!$P17*25%</f>
        <v>8.75</v>
      </c>
      <c r="S17" s="50"/>
      <c r="T17" s="6"/>
      <c r="U17" s="7"/>
      <c r="V17" s="5"/>
      <c r="W17" s="5"/>
      <c r="X17" s="5"/>
      <c r="Y17" s="5"/>
      <c r="Z17" s="5"/>
    </row>
    <row r="18" ht="13.5" customHeight="1">
      <c r="A18" s="23">
        <v>15.0</v>
      </c>
      <c r="B18" s="24">
        <v>46068.0</v>
      </c>
      <c r="C18" s="25" t="s">
        <v>48</v>
      </c>
      <c r="D18" s="26" t="s">
        <v>68</v>
      </c>
      <c r="E18" s="27"/>
      <c r="F18" s="27"/>
      <c r="G18" s="29"/>
      <c r="H18" s="29"/>
      <c r="I18" s="29"/>
      <c r="J18" s="30"/>
      <c r="K18" s="30"/>
      <c r="L18" s="31"/>
      <c r="M18" s="30"/>
      <c r="N18" s="32"/>
      <c r="O18" s="32"/>
      <c r="P18" s="34"/>
      <c r="Q18" s="35" t="str">
        <f t="shared" si="1"/>
        <v/>
      </c>
      <c r="R18" s="35">
        <f>'داخلي'!$P18*25%</f>
        <v>0</v>
      </c>
      <c r="S18" s="50"/>
      <c r="T18" s="6"/>
      <c r="U18" s="7"/>
      <c r="V18" s="5"/>
      <c r="W18" s="5"/>
      <c r="X18" s="5"/>
      <c r="Y18" s="5"/>
      <c r="Z18" s="5"/>
    </row>
    <row r="19" ht="13.5" customHeight="1">
      <c r="A19" s="23">
        <v>16.0</v>
      </c>
      <c r="B19" s="24">
        <v>46069.0</v>
      </c>
      <c r="C19" s="25" t="s">
        <v>48</v>
      </c>
      <c r="D19" s="26" t="s">
        <v>69</v>
      </c>
      <c r="E19" s="27"/>
      <c r="F19" s="27"/>
      <c r="G19" s="29"/>
      <c r="H19" s="29"/>
      <c r="I19" s="29"/>
      <c r="J19" s="30"/>
      <c r="K19" s="30"/>
      <c r="L19" s="31"/>
      <c r="M19" s="30"/>
      <c r="N19" s="32">
        <v>50.0</v>
      </c>
      <c r="O19" s="33" t="s">
        <v>30</v>
      </c>
      <c r="P19" s="34"/>
      <c r="Q19" s="35" t="str">
        <f t="shared" si="1"/>
        <v/>
      </c>
      <c r="R19" s="35">
        <f>'داخلي'!$P19*25%</f>
        <v>0</v>
      </c>
      <c r="S19" s="51"/>
      <c r="T19" s="6"/>
      <c r="U19" s="7"/>
      <c r="V19" s="5"/>
      <c r="W19" s="5"/>
      <c r="X19" s="5"/>
      <c r="Y19" s="5"/>
      <c r="Z19" s="5"/>
    </row>
    <row r="20" ht="13.5" customHeight="1">
      <c r="A20" s="23">
        <v>17.0</v>
      </c>
      <c r="B20" s="24">
        <v>46070.0</v>
      </c>
      <c r="C20" s="25" t="s">
        <v>48</v>
      </c>
      <c r="D20" s="27"/>
      <c r="E20" s="27"/>
      <c r="F20" s="27"/>
      <c r="G20" s="29"/>
      <c r="H20" s="29"/>
      <c r="I20" s="29"/>
      <c r="J20" s="30"/>
      <c r="K20" s="30"/>
      <c r="L20" s="31"/>
      <c r="M20" s="30"/>
      <c r="N20" s="32"/>
      <c r="O20" s="33" t="s">
        <v>30</v>
      </c>
      <c r="P20" s="34"/>
      <c r="Q20" s="35" t="str">
        <f t="shared" si="1"/>
        <v/>
      </c>
      <c r="R20" s="35">
        <f>'داخلي'!$P20*25%</f>
        <v>0</v>
      </c>
      <c r="S20" s="50"/>
      <c r="T20" s="6"/>
      <c r="U20" s="7"/>
      <c r="V20" s="5"/>
      <c r="W20" s="5"/>
      <c r="X20" s="5"/>
      <c r="Y20" s="5"/>
      <c r="Z20" s="5"/>
    </row>
    <row r="21" ht="13.5" customHeight="1">
      <c r="A21" s="23">
        <v>18.0</v>
      </c>
      <c r="B21" s="24">
        <v>46071.0</v>
      </c>
      <c r="C21" s="25" t="s">
        <v>48</v>
      </c>
      <c r="D21" s="26" t="s">
        <v>70</v>
      </c>
      <c r="E21" s="27"/>
      <c r="F21" s="27"/>
      <c r="G21" s="29"/>
      <c r="H21" s="29"/>
      <c r="I21" s="29"/>
      <c r="J21" s="30"/>
      <c r="K21" s="30"/>
      <c r="L21" s="31">
        <v>35.0</v>
      </c>
      <c r="M21" s="30"/>
      <c r="N21" s="32"/>
      <c r="O21" s="33" t="s">
        <v>30</v>
      </c>
      <c r="P21" s="34"/>
      <c r="Q21" s="35" t="str">
        <f t="shared" si="1"/>
        <v/>
      </c>
      <c r="R21" s="35">
        <f>'داخلي'!$P21*25%</f>
        <v>0</v>
      </c>
      <c r="S21" s="51"/>
      <c r="T21" s="6"/>
      <c r="U21" s="7"/>
      <c r="V21" s="5"/>
      <c r="W21" s="5"/>
      <c r="X21" s="5"/>
      <c r="Y21" s="5"/>
      <c r="Z21" s="5"/>
    </row>
    <row r="22" ht="13.5" customHeight="1">
      <c r="A22" s="23">
        <v>19.0</v>
      </c>
      <c r="B22" s="24">
        <v>46072.0</v>
      </c>
      <c r="C22" s="25" t="s">
        <v>65</v>
      </c>
      <c r="D22" s="26" t="s">
        <v>71</v>
      </c>
      <c r="E22" s="27"/>
      <c r="F22" s="27"/>
      <c r="G22" s="28" t="s">
        <v>72</v>
      </c>
      <c r="H22" s="29"/>
      <c r="I22" s="29"/>
      <c r="J22" s="30"/>
      <c r="K22" s="30"/>
      <c r="L22" s="31"/>
      <c r="M22" s="30"/>
      <c r="N22" s="32"/>
      <c r="O22" s="32"/>
      <c r="P22" s="34">
        <v>30.0</v>
      </c>
      <c r="Q22" s="35" t="str">
        <f t="shared" si="1"/>
        <v/>
      </c>
      <c r="R22" s="35">
        <f>'داخلي'!$P22*25%</f>
        <v>7.5</v>
      </c>
      <c r="S22" s="5"/>
      <c r="T22" s="52" t="s">
        <v>73</v>
      </c>
      <c r="U22" s="7"/>
      <c r="V22" s="48" t="s">
        <v>74</v>
      </c>
      <c r="W22" s="5"/>
      <c r="X22" s="5"/>
      <c r="Y22" s="5"/>
      <c r="Z22" s="5"/>
    </row>
    <row r="23" ht="13.5" customHeight="1">
      <c r="A23" s="23">
        <v>20.0</v>
      </c>
      <c r="B23" s="24">
        <v>46073.0</v>
      </c>
      <c r="C23" s="25" t="s">
        <v>65</v>
      </c>
      <c r="D23" s="26" t="s">
        <v>69</v>
      </c>
      <c r="E23" s="27"/>
      <c r="F23" s="26" t="s">
        <v>75</v>
      </c>
      <c r="G23" s="29"/>
      <c r="H23" s="29"/>
      <c r="I23" s="29"/>
      <c r="J23" s="30"/>
      <c r="K23" s="30"/>
      <c r="L23" s="31"/>
      <c r="M23" s="30"/>
      <c r="N23" s="32"/>
      <c r="O23" s="32"/>
      <c r="P23" s="34">
        <v>40.0</v>
      </c>
      <c r="Q23" s="35" t="str">
        <f t="shared" si="1"/>
        <v/>
      </c>
      <c r="R23" s="35">
        <f>'داخلي'!$P23*25%</f>
        <v>10</v>
      </c>
      <c r="S23" s="5"/>
      <c r="T23" s="6"/>
      <c r="U23" s="7"/>
      <c r="V23" s="48" t="s">
        <v>76</v>
      </c>
      <c r="W23" s="5"/>
      <c r="X23" s="5"/>
      <c r="Y23" s="5"/>
      <c r="Z23" s="5"/>
    </row>
    <row r="24" ht="13.5" customHeight="1">
      <c r="A24" s="23">
        <v>21.0</v>
      </c>
      <c r="B24" s="24">
        <v>46074.0</v>
      </c>
      <c r="C24" s="25" t="s">
        <v>65</v>
      </c>
      <c r="D24" s="26" t="s">
        <v>77</v>
      </c>
      <c r="E24" s="27"/>
      <c r="F24" s="27"/>
      <c r="G24" s="29"/>
      <c r="H24" s="29"/>
      <c r="I24" s="29"/>
      <c r="J24" s="30"/>
      <c r="K24" s="30"/>
      <c r="L24" s="31"/>
      <c r="M24" s="30"/>
      <c r="N24" s="32"/>
      <c r="O24" s="32"/>
      <c r="P24" s="34">
        <v>35.0</v>
      </c>
      <c r="Q24" s="35" t="str">
        <f t="shared" si="1"/>
        <v/>
      </c>
      <c r="R24" s="35">
        <f>'داخلي'!$P24*25%</f>
        <v>8.75</v>
      </c>
      <c r="S24" s="5"/>
      <c r="T24" s="6"/>
      <c r="U24" s="7"/>
      <c r="V24" s="5"/>
      <c r="W24" s="5"/>
      <c r="X24" s="5"/>
      <c r="Y24" s="5"/>
      <c r="Z24" s="5"/>
    </row>
    <row r="25" ht="13.5" customHeight="1">
      <c r="A25" s="23">
        <v>22.0</v>
      </c>
      <c r="B25" s="24">
        <v>46075.0</v>
      </c>
      <c r="C25" s="25" t="s">
        <v>65</v>
      </c>
      <c r="D25" s="27"/>
      <c r="E25" s="27"/>
      <c r="F25" s="27"/>
      <c r="G25" s="29"/>
      <c r="H25" s="29"/>
      <c r="I25" s="29"/>
      <c r="J25" s="30"/>
      <c r="K25" s="30"/>
      <c r="L25" s="31"/>
      <c r="M25" s="30"/>
      <c r="N25" s="32"/>
      <c r="O25" s="32"/>
      <c r="P25" s="34"/>
      <c r="Q25" s="35" t="str">
        <f t="shared" si="1"/>
        <v/>
      </c>
      <c r="R25" s="35">
        <f>'داخلي'!$P25*25%</f>
        <v>0</v>
      </c>
      <c r="S25" s="5"/>
      <c r="T25" s="6"/>
      <c r="U25" s="7"/>
      <c r="V25" s="5"/>
      <c r="W25" s="5"/>
      <c r="X25" s="5"/>
      <c r="Y25" s="5"/>
      <c r="Z25" s="5"/>
    </row>
    <row r="26" ht="13.5" customHeight="1">
      <c r="A26" s="23">
        <v>23.0</v>
      </c>
      <c r="B26" s="24"/>
      <c r="C26" s="25" t="s">
        <v>48</v>
      </c>
      <c r="D26" s="26" t="s">
        <v>78</v>
      </c>
      <c r="E26" s="27"/>
      <c r="F26" s="27"/>
      <c r="G26" s="29"/>
      <c r="H26" s="29"/>
      <c r="I26" s="29"/>
      <c r="J26" s="30"/>
      <c r="K26" s="30"/>
      <c r="L26" s="31"/>
      <c r="M26" s="30">
        <v>270.0</v>
      </c>
      <c r="N26" s="32">
        <v>35.0</v>
      </c>
      <c r="O26" s="32"/>
      <c r="P26" s="34"/>
      <c r="Q26" s="35" t="str">
        <f t="shared" si="1"/>
        <v/>
      </c>
      <c r="R26" s="35">
        <f>'داخلي'!$P26*25%</f>
        <v>0</v>
      </c>
      <c r="S26" s="5"/>
      <c r="T26" s="6"/>
      <c r="U26" s="7"/>
      <c r="V26" s="5"/>
      <c r="W26" s="5"/>
      <c r="X26" s="5"/>
      <c r="Y26" s="5"/>
      <c r="Z26" s="5"/>
    </row>
    <row r="27" ht="13.5" customHeight="1">
      <c r="A27" s="23">
        <v>24.0</v>
      </c>
      <c r="B27" s="24"/>
      <c r="C27" s="53"/>
      <c r="D27" s="26" t="s">
        <v>78</v>
      </c>
      <c r="E27" s="27"/>
      <c r="F27" s="27"/>
      <c r="G27" s="29"/>
      <c r="H27" s="29"/>
      <c r="I27" s="29"/>
      <c r="J27" s="30"/>
      <c r="K27" s="30"/>
      <c r="L27" s="31"/>
      <c r="M27" s="30"/>
      <c r="N27" s="32"/>
      <c r="O27" s="32"/>
      <c r="P27" s="34"/>
      <c r="Q27" s="35" t="str">
        <f t="shared" si="1"/>
        <v/>
      </c>
      <c r="R27" s="35">
        <f>'داخلي'!$P27*25%</f>
        <v>0</v>
      </c>
      <c r="S27" s="5"/>
      <c r="T27" s="6"/>
      <c r="U27" s="7"/>
      <c r="V27" s="5"/>
      <c r="W27" s="5"/>
      <c r="X27" s="5"/>
      <c r="Y27" s="5"/>
      <c r="Z27" s="5"/>
    </row>
    <row r="28" ht="13.5" customHeight="1">
      <c r="A28" s="23">
        <v>25.0</v>
      </c>
      <c r="B28" s="24"/>
      <c r="C28" s="25" t="s">
        <v>48</v>
      </c>
      <c r="D28" s="26" t="s">
        <v>79</v>
      </c>
      <c r="E28" s="27"/>
      <c r="F28" s="27"/>
      <c r="G28" s="29"/>
      <c r="H28" s="29"/>
      <c r="I28" s="29"/>
      <c r="J28" s="30"/>
      <c r="K28" s="30"/>
      <c r="L28" s="31"/>
      <c r="M28" s="42" t="s">
        <v>80</v>
      </c>
      <c r="N28" s="32"/>
      <c r="O28" s="32"/>
      <c r="P28" s="34"/>
      <c r="Q28" s="35" t="str">
        <f t="shared" si="1"/>
        <v/>
      </c>
      <c r="R28" s="35">
        <f>'داخلي'!$P28*25%</f>
        <v>0</v>
      </c>
      <c r="S28" s="5"/>
      <c r="T28" s="6"/>
      <c r="U28" s="7"/>
      <c r="V28" s="5"/>
      <c r="W28" s="5"/>
      <c r="X28" s="5"/>
      <c r="Y28" s="5"/>
      <c r="Z28" s="5"/>
    </row>
    <row r="29" ht="13.5" customHeight="1">
      <c r="A29" s="23">
        <v>26.0</v>
      </c>
      <c r="B29" s="24">
        <v>46054.0</v>
      </c>
      <c r="C29" s="25" t="s">
        <v>81</v>
      </c>
      <c r="D29" s="26" t="s">
        <v>82</v>
      </c>
      <c r="E29" s="26" t="s">
        <v>83</v>
      </c>
      <c r="F29" s="26" t="s">
        <v>84</v>
      </c>
      <c r="G29" s="28" t="s">
        <v>85</v>
      </c>
      <c r="H29" s="29"/>
      <c r="I29" s="29"/>
      <c r="J29" s="30"/>
      <c r="K29" s="30"/>
      <c r="L29" s="31"/>
      <c r="M29" s="30">
        <v>0.0</v>
      </c>
      <c r="N29" s="32"/>
      <c r="O29" s="32"/>
      <c r="P29" s="34"/>
      <c r="Q29" s="35" t="str">
        <f t="shared" si="1"/>
        <v/>
      </c>
      <c r="R29" s="35">
        <f>'داخلي'!$P29*25%</f>
        <v>0</v>
      </c>
      <c r="S29" s="5"/>
      <c r="T29" s="6"/>
      <c r="U29" s="7"/>
      <c r="V29" s="5"/>
      <c r="W29" s="5"/>
      <c r="X29" s="5"/>
      <c r="Y29" s="5"/>
      <c r="Z29" s="5"/>
    </row>
    <row r="30" ht="13.5" customHeight="1">
      <c r="A30" s="23">
        <v>27.0</v>
      </c>
      <c r="B30" s="24">
        <v>46054.0</v>
      </c>
      <c r="C30" s="53"/>
      <c r="D30" s="27"/>
      <c r="E30" s="26" t="s">
        <v>86</v>
      </c>
      <c r="F30" s="27"/>
      <c r="G30" s="29"/>
      <c r="H30" s="29"/>
      <c r="I30" s="29"/>
      <c r="J30" s="30"/>
      <c r="K30" s="30"/>
      <c r="L30" s="31"/>
      <c r="M30" s="30"/>
      <c r="N30" s="32"/>
      <c r="O30" s="32"/>
      <c r="P30" s="34"/>
      <c r="Q30" s="35" t="str">
        <f t="shared" si="1"/>
        <v/>
      </c>
      <c r="R30" s="35">
        <f>'داخلي'!$P30*25%</f>
        <v>0</v>
      </c>
      <c r="S30" s="5"/>
      <c r="T30" s="6"/>
      <c r="U30" s="7"/>
      <c r="V30" s="5"/>
      <c r="W30" s="5"/>
      <c r="X30" s="5"/>
      <c r="Y30" s="5"/>
      <c r="Z30" s="5"/>
    </row>
    <row r="31" ht="13.5" customHeight="1">
      <c r="A31" s="23">
        <v>28.0</v>
      </c>
      <c r="B31" s="24">
        <v>46054.0</v>
      </c>
      <c r="C31" s="25" t="s">
        <v>26</v>
      </c>
      <c r="D31" s="26" t="s">
        <v>87</v>
      </c>
      <c r="E31" s="27"/>
      <c r="F31" s="26" t="s">
        <v>88</v>
      </c>
      <c r="G31" s="28" t="s">
        <v>89</v>
      </c>
      <c r="H31" s="29"/>
      <c r="I31" s="29"/>
      <c r="J31" s="30"/>
      <c r="K31" s="30"/>
      <c r="L31" s="31"/>
      <c r="M31" s="30">
        <v>40.0</v>
      </c>
      <c r="N31" s="32"/>
      <c r="O31" s="33" t="s">
        <v>30</v>
      </c>
      <c r="P31" s="34"/>
      <c r="Q31" s="35" t="str">
        <f t="shared" si="1"/>
        <v/>
      </c>
      <c r="R31" s="35">
        <f>'داخلي'!$P31*25%</f>
        <v>0</v>
      </c>
      <c r="S31" s="5"/>
      <c r="T31" s="6"/>
      <c r="U31" s="7"/>
      <c r="V31" s="5"/>
      <c r="W31" s="5"/>
      <c r="X31" s="5"/>
      <c r="Y31" s="5"/>
      <c r="Z31" s="5"/>
    </row>
    <row r="32" ht="13.5" customHeight="1">
      <c r="A32" s="23">
        <v>29.0</v>
      </c>
      <c r="B32" s="24">
        <v>46054.0</v>
      </c>
      <c r="C32" s="25" t="s">
        <v>26</v>
      </c>
      <c r="D32" s="26" t="s">
        <v>90</v>
      </c>
      <c r="E32" s="27"/>
      <c r="F32" s="26" t="s">
        <v>91</v>
      </c>
      <c r="G32" s="29"/>
      <c r="H32" s="29"/>
      <c r="I32" s="28" t="s">
        <v>92</v>
      </c>
      <c r="J32" s="30"/>
      <c r="K32" s="30"/>
      <c r="L32" s="31">
        <v>30.0</v>
      </c>
      <c r="M32" s="30"/>
      <c r="N32" s="32"/>
      <c r="O32" s="32"/>
      <c r="P32" s="34"/>
      <c r="Q32" s="35" t="str">
        <f t="shared" si="1"/>
        <v/>
      </c>
      <c r="R32" s="35">
        <f>'داخلي'!$P32*25%</f>
        <v>0</v>
      </c>
      <c r="S32" s="5"/>
      <c r="T32" s="6"/>
      <c r="U32" s="7"/>
      <c r="V32" s="5"/>
      <c r="W32" s="5"/>
      <c r="X32" s="5"/>
      <c r="Y32" s="5"/>
      <c r="Z32" s="5"/>
    </row>
    <row r="33" ht="13.5" customHeight="1">
      <c r="A33" s="23">
        <v>30.0</v>
      </c>
      <c r="B33" s="24">
        <v>46054.0</v>
      </c>
      <c r="C33" s="25" t="s">
        <v>26</v>
      </c>
      <c r="D33" s="26" t="s">
        <v>93</v>
      </c>
      <c r="E33" s="27"/>
      <c r="F33" s="27"/>
      <c r="G33" s="29"/>
      <c r="H33" s="29"/>
      <c r="I33" s="29"/>
      <c r="J33" s="30"/>
      <c r="K33" s="30"/>
      <c r="L33" s="31">
        <v>35.0</v>
      </c>
      <c r="M33" s="30"/>
      <c r="N33" s="32"/>
      <c r="O33" s="32"/>
      <c r="P33" s="34"/>
      <c r="Q33" s="35" t="str">
        <f t="shared" si="1"/>
        <v/>
      </c>
      <c r="R33" s="35">
        <f>'داخلي'!$P33*25%</f>
        <v>0</v>
      </c>
      <c r="S33" s="5"/>
      <c r="T33" s="6"/>
      <c r="U33" s="7"/>
      <c r="V33" s="5"/>
      <c r="W33" s="5"/>
      <c r="X33" s="5"/>
      <c r="Y33" s="5"/>
      <c r="Z33" s="5"/>
    </row>
    <row r="34" ht="13.5" customHeight="1">
      <c r="A34" s="23">
        <v>31.0</v>
      </c>
      <c r="B34" s="24"/>
      <c r="C34" s="25" t="s">
        <v>26</v>
      </c>
      <c r="D34" s="26" t="s">
        <v>94</v>
      </c>
      <c r="E34" s="27"/>
      <c r="F34" s="27"/>
      <c r="G34" s="29"/>
      <c r="H34" s="29"/>
      <c r="I34" s="29"/>
      <c r="J34" s="30"/>
      <c r="K34" s="30">
        <v>40.0</v>
      </c>
      <c r="L34" s="31"/>
      <c r="M34" s="30"/>
      <c r="N34" s="32"/>
      <c r="O34" s="33" t="s">
        <v>95</v>
      </c>
      <c r="P34" s="34"/>
      <c r="Q34" s="35" t="str">
        <f t="shared" si="1"/>
        <v/>
      </c>
      <c r="R34" s="35">
        <f>'داخلي'!$P34*25%</f>
        <v>0</v>
      </c>
      <c r="S34" s="5"/>
      <c r="T34" s="6"/>
      <c r="U34" s="7"/>
      <c r="V34" s="5"/>
      <c r="W34" s="5"/>
      <c r="X34" s="5"/>
      <c r="Y34" s="5"/>
      <c r="Z34" s="5"/>
    </row>
    <row r="35" ht="13.5" customHeight="1">
      <c r="A35" s="23">
        <v>32.0</v>
      </c>
      <c r="B35" s="24">
        <v>46054.0</v>
      </c>
      <c r="C35" s="25" t="s">
        <v>26</v>
      </c>
      <c r="D35" s="26" t="s">
        <v>96</v>
      </c>
      <c r="E35" s="27"/>
      <c r="F35" s="27"/>
      <c r="G35" s="29"/>
      <c r="H35" s="29"/>
      <c r="I35" s="29"/>
      <c r="J35" s="30"/>
      <c r="K35" s="30"/>
      <c r="L35" s="31"/>
      <c r="M35" s="30">
        <v>50.0</v>
      </c>
      <c r="N35" s="32"/>
      <c r="O35" s="33" t="s">
        <v>30</v>
      </c>
      <c r="P35" s="34"/>
      <c r="Q35" s="35" t="str">
        <f t="shared" si="1"/>
        <v/>
      </c>
      <c r="R35" s="35">
        <f>'داخلي'!$P35*25%</f>
        <v>0</v>
      </c>
      <c r="S35" s="5"/>
      <c r="T35" s="6"/>
      <c r="U35" s="7"/>
      <c r="V35" s="5"/>
      <c r="W35" s="5"/>
      <c r="X35" s="5"/>
      <c r="Y35" s="5"/>
      <c r="Z35" s="5"/>
    </row>
    <row r="36" ht="13.5" customHeight="1">
      <c r="A36" s="23">
        <v>33.0</v>
      </c>
      <c r="B36" s="24">
        <v>46054.0</v>
      </c>
      <c r="C36" s="25" t="s">
        <v>26</v>
      </c>
      <c r="D36" s="26" t="s">
        <v>97</v>
      </c>
      <c r="E36" s="27"/>
      <c r="F36" s="27"/>
      <c r="G36" s="29"/>
      <c r="H36" s="29"/>
      <c r="I36" s="28" t="s">
        <v>98</v>
      </c>
      <c r="J36" s="30"/>
      <c r="K36" s="30"/>
      <c r="L36" s="31">
        <v>40.0</v>
      </c>
      <c r="M36" s="30"/>
      <c r="N36" s="32"/>
      <c r="O36" s="32"/>
      <c r="P36" s="34"/>
      <c r="Q36" s="35" t="str">
        <f t="shared" si="1"/>
        <v/>
      </c>
      <c r="R36" s="35">
        <f>'داخلي'!$P36*25%</f>
        <v>0</v>
      </c>
      <c r="S36" s="5"/>
      <c r="T36" s="6"/>
      <c r="U36" s="7"/>
      <c r="V36" s="5"/>
      <c r="W36" s="5"/>
      <c r="X36" s="5"/>
      <c r="Y36" s="5"/>
      <c r="Z36" s="5"/>
    </row>
    <row r="37" ht="13.5" customHeight="1">
      <c r="A37" s="23">
        <v>34.0</v>
      </c>
      <c r="B37" s="24">
        <v>46054.0</v>
      </c>
      <c r="C37" s="25" t="s">
        <v>26</v>
      </c>
      <c r="D37" s="27"/>
      <c r="E37" s="27"/>
      <c r="F37" s="27"/>
      <c r="G37" s="29"/>
      <c r="H37" s="29"/>
      <c r="I37" s="29"/>
      <c r="J37" s="30"/>
      <c r="K37" s="30"/>
      <c r="L37" s="31"/>
      <c r="M37" s="30"/>
      <c r="N37" s="32"/>
      <c r="O37" s="32"/>
      <c r="P37" s="34"/>
      <c r="Q37" s="35" t="str">
        <f t="shared" si="1"/>
        <v/>
      </c>
      <c r="R37" s="35">
        <f>'داخلي'!$P37*25%</f>
        <v>0</v>
      </c>
      <c r="S37" s="5"/>
      <c r="T37" s="6"/>
      <c r="U37" s="7"/>
      <c r="V37" s="5"/>
      <c r="W37" s="5"/>
      <c r="X37" s="5"/>
      <c r="Y37" s="5"/>
      <c r="Z37" s="5"/>
    </row>
    <row r="38" ht="13.5" customHeight="1">
      <c r="A38" s="23">
        <v>35.0</v>
      </c>
      <c r="B38" s="24"/>
      <c r="C38" s="25" t="s">
        <v>26</v>
      </c>
      <c r="D38" s="27"/>
      <c r="E38" s="26" t="s">
        <v>99</v>
      </c>
      <c r="F38" s="26" t="s">
        <v>100</v>
      </c>
      <c r="G38" s="29"/>
      <c r="H38" s="29"/>
      <c r="I38" s="29"/>
      <c r="J38" s="30"/>
      <c r="K38" s="30"/>
      <c r="L38" s="31"/>
      <c r="M38" s="30"/>
      <c r="N38" s="32"/>
      <c r="O38" s="32"/>
      <c r="P38" s="34"/>
      <c r="Q38" s="35">
        <v>320.0</v>
      </c>
      <c r="R38" s="35"/>
      <c r="S38" s="5"/>
      <c r="T38" s="6"/>
      <c r="U38" s="7"/>
      <c r="V38" s="5"/>
      <c r="W38" s="5"/>
      <c r="X38" s="5"/>
      <c r="Y38" s="5"/>
      <c r="Z38" s="5"/>
    </row>
    <row r="39" ht="13.5" customHeight="1">
      <c r="A39" s="23">
        <v>36.0</v>
      </c>
      <c r="B39" s="24">
        <v>46054.0</v>
      </c>
      <c r="C39" s="53"/>
      <c r="D39" s="27"/>
      <c r="E39" s="27"/>
      <c r="F39" s="27"/>
      <c r="G39" s="29"/>
      <c r="H39" s="29"/>
      <c r="I39" s="29"/>
      <c r="J39" s="30"/>
      <c r="K39" s="30"/>
      <c r="L39" s="31"/>
      <c r="M39" s="30"/>
      <c r="N39" s="32"/>
      <c r="O39" s="32"/>
      <c r="P39" s="34"/>
      <c r="Q39" s="35" t="str">
        <f t="shared" ref="Q39:Q57" si="2">V9279</f>
        <v/>
      </c>
      <c r="R39" s="35">
        <v>105.0</v>
      </c>
      <c r="S39" s="5"/>
      <c r="T39" s="6"/>
      <c r="U39" s="7"/>
      <c r="V39" s="5"/>
      <c r="W39" s="5"/>
      <c r="X39" s="5"/>
      <c r="Y39" s="5"/>
      <c r="Z39" s="5"/>
    </row>
    <row r="40" ht="13.5" customHeight="1">
      <c r="A40" s="23">
        <v>37.0</v>
      </c>
      <c r="B40" s="24">
        <v>46054.0</v>
      </c>
      <c r="C40" s="53"/>
      <c r="D40" s="27"/>
      <c r="E40" s="27"/>
      <c r="F40" s="27"/>
      <c r="G40" s="29"/>
      <c r="H40" s="29"/>
      <c r="I40" s="29"/>
      <c r="J40" s="30"/>
      <c r="K40" s="30"/>
      <c r="L40" s="31"/>
      <c r="M40" s="30"/>
      <c r="N40" s="32"/>
      <c r="O40" s="32"/>
      <c r="P40" s="34"/>
      <c r="Q40" s="35" t="str">
        <f t="shared" si="2"/>
        <v/>
      </c>
      <c r="R40" s="35">
        <f>'داخلي'!$P40*25%</f>
        <v>0</v>
      </c>
      <c r="S40" s="5"/>
      <c r="T40" s="6"/>
      <c r="U40" s="7"/>
      <c r="V40" s="5"/>
      <c r="W40" s="5"/>
      <c r="X40" s="5"/>
      <c r="Y40" s="5"/>
      <c r="Z40" s="5"/>
    </row>
    <row r="41" ht="13.5" customHeight="1">
      <c r="A41" s="23"/>
      <c r="B41" s="24">
        <v>46054.0</v>
      </c>
      <c r="C41" s="53"/>
      <c r="D41" s="27"/>
      <c r="E41" s="27"/>
      <c r="F41" s="27"/>
      <c r="G41" s="29"/>
      <c r="H41" s="29"/>
      <c r="I41" s="29"/>
      <c r="J41" s="30"/>
      <c r="K41" s="30"/>
      <c r="L41" s="31"/>
      <c r="M41" s="30"/>
      <c r="N41" s="32"/>
      <c r="O41" s="32"/>
      <c r="P41" s="34"/>
      <c r="Q41" s="35" t="str">
        <f t="shared" si="2"/>
        <v/>
      </c>
      <c r="R41" s="35">
        <f>'داخلي'!$P41*25%</f>
        <v>0</v>
      </c>
      <c r="S41" s="5"/>
      <c r="T41" s="6"/>
      <c r="U41" s="7"/>
      <c r="V41" s="5"/>
      <c r="W41" s="5"/>
      <c r="X41" s="5"/>
      <c r="Y41" s="5"/>
      <c r="Z41" s="5"/>
    </row>
    <row r="42" ht="13.5" customHeight="1">
      <c r="A42" s="23"/>
      <c r="B42" s="24">
        <v>46054.0</v>
      </c>
      <c r="C42" s="53"/>
      <c r="D42" s="27"/>
      <c r="E42" s="27"/>
      <c r="F42" s="27"/>
      <c r="G42" s="29"/>
      <c r="H42" s="29"/>
      <c r="I42" s="29"/>
      <c r="J42" s="30"/>
      <c r="K42" s="30"/>
      <c r="L42" s="31"/>
      <c r="M42" s="30"/>
      <c r="N42" s="32"/>
      <c r="O42" s="32"/>
      <c r="P42" s="34"/>
      <c r="Q42" s="35" t="str">
        <f t="shared" si="2"/>
        <v/>
      </c>
      <c r="R42" s="35">
        <f>'داخلي'!$P42*25%</f>
        <v>0</v>
      </c>
      <c r="S42" s="5"/>
      <c r="T42" s="6"/>
      <c r="U42" s="7"/>
      <c r="V42" s="5"/>
      <c r="W42" s="5"/>
      <c r="X42" s="5"/>
      <c r="Y42" s="5"/>
      <c r="Z42" s="5"/>
    </row>
    <row r="43" ht="13.5" customHeight="1">
      <c r="A43" s="23"/>
      <c r="B43" s="24">
        <v>46054.0</v>
      </c>
      <c r="C43" s="53"/>
      <c r="D43" s="27"/>
      <c r="E43" s="27"/>
      <c r="F43" s="27"/>
      <c r="G43" s="29"/>
      <c r="H43" s="29"/>
      <c r="I43" s="29"/>
      <c r="J43" s="30"/>
      <c r="K43" s="30"/>
      <c r="L43" s="31"/>
      <c r="M43" s="30"/>
      <c r="N43" s="32"/>
      <c r="O43" s="32"/>
      <c r="P43" s="34"/>
      <c r="Q43" s="35" t="str">
        <f t="shared" si="2"/>
        <v/>
      </c>
      <c r="R43" s="35"/>
      <c r="S43" s="5"/>
      <c r="T43" s="6"/>
      <c r="U43" s="7"/>
      <c r="V43" s="5"/>
      <c r="W43" s="5"/>
      <c r="X43" s="5"/>
      <c r="Y43" s="5"/>
      <c r="Z43" s="5"/>
    </row>
    <row r="44" ht="13.5" customHeight="1">
      <c r="A44" s="23"/>
      <c r="B44" s="24">
        <v>46055.0</v>
      </c>
      <c r="C44" s="25" t="s">
        <v>26</v>
      </c>
      <c r="D44" s="26" t="s">
        <v>101</v>
      </c>
      <c r="E44" s="27"/>
      <c r="F44" s="27"/>
      <c r="G44" s="29"/>
      <c r="H44" s="29"/>
      <c r="I44" s="29"/>
      <c r="J44" s="30"/>
      <c r="K44" s="30"/>
      <c r="L44" s="31">
        <v>35.0</v>
      </c>
      <c r="M44" s="30"/>
      <c r="N44" s="32"/>
      <c r="O44" s="32"/>
      <c r="P44" s="34"/>
      <c r="Q44" s="35" t="str">
        <f t="shared" si="2"/>
        <v/>
      </c>
      <c r="R44" s="35">
        <f>'داخلي'!$P44*25%</f>
        <v>0</v>
      </c>
      <c r="S44" s="5"/>
      <c r="T44" s="6"/>
      <c r="U44" s="7"/>
      <c r="V44" s="5"/>
      <c r="W44" s="5"/>
      <c r="X44" s="5"/>
      <c r="Y44" s="5"/>
      <c r="Z44" s="5"/>
    </row>
    <row r="45" ht="13.5" customHeight="1">
      <c r="A45" s="23"/>
      <c r="B45" s="24">
        <v>46054.0</v>
      </c>
      <c r="C45" s="53"/>
      <c r="D45" s="27"/>
      <c r="E45" s="27"/>
      <c r="F45" s="27"/>
      <c r="G45" s="29"/>
      <c r="H45" s="29"/>
      <c r="I45" s="29"/>
      <c r="J45" s="30"/>
      <c r="K45" s="30"/>
      <c r="L45" s="31"/>
      <c r="M45" s="30"/>
      <c r="N45" s="32"/>
      <c r="O45" s="32"/>
      <c r="P45" s="34"/>
      <c r="Q45" s="35" t="str">
        <f t="shared" si="2"/>
        <v/>
      </c>
      <c r="R45" s="35">
        <f>'داخلي'!$P45*25%</f>
        <v>0</v>
      </c>
      <c r="S45" s="5"/>
      <c r="T45" s="6"/>
      <c r="U45" s="7"/>
      <c r="V45" s="5"/>
      <c r="W45" s="5"/>
      <c r="X45" s="5"/>
      <c r="Y45" s="5"/>
      <c r="Z45" s="5"/>
    </row>
    <row r="46" ht="13.5" customHeight="1">
      <c r="A46" s="23"/>
      <c r="B46" s="24">
        <v>46054.0</v>
      </c>
      <c r="C46" s="53"/>
      <c r="D46" s="27"/>
      <c r="E46" s="27"/>
      <c r="F46" s="27"/>
      <c r="G46" s="29"/>
      <c r="H46" s="29"/>
      <c r="I46" s="29"/>
      <c r="J46" s="30"/>
      <c r="K46" s="30"/>
      <c r="L46" s="31"/>
      <c r="M46" s="30"/>
      <c r="N46" s="32"/>
      <c r="O46" s="32"/>
      <c r="P46" s="34"/>
      <c r="Q46" s="35" t="str">
        <f t="shared" si="2"/>
        <v/>
      </c>
      <c r="R46" s="35">
        <f>'داخلي'!$P46*25%</f>
        <v>0</v>
      </c>
      <c r="S46" s="5"/>
      <c r="T46" s="6"/>
      <c r="U46" s="7"/>
      <c r="V46" s="5"/>
      <c r="W46" s="5"/>
      <c r="X46" s="5"/>
      <c r="Y46" s="5"/>
      <c r="Z46" s="5"/>
    </row>
    <row r="47" ht="13.5" customHeight="1">
      <c r="A47" s="23"/>
      <c r="B47" s="24">
        <v>46054.0</v>
      </c>
      <c r="C47" s="53"/>
      <c r="D47" s="27"/>
      <c r="E47" s="27"/>
      <c r="F47" s="27"/>
      <c r="G47" s="29"/>
      <c r="H47" s="29"/>
      <c r="I47" s="29"/>
      <c r="J47" s="30"/>
      <c r="K47" s="30"/>
      <c r="L47" s="31"/>
      <c r="M47" s="30"/>
      <c r="N47" s="32"/>
      <c r="O47" s="32"/>
      <c r="P47" s="34"/>
      <c r="Q47" s="35" t="str">
        <f t="shared" si="2"/>
        <v/>
      </c>
      <c r="R47" s="35">
        <f>'داخلي'!$P47*25%</f>
        <v>0</v>
      </c>
      <c r="S47" s="5"/>
      <c r="T47" s="6"/>
      <c r="U47" s="7"/>
      <c r="V47" s="5"/>
      <c r="W47" s="5"/>
      <c r="X47" s="5"/>
      <c r="Y47" s="5"/>
      <c r="Z47" s="5"/>
    </row>
    <row r="48" ht="13.5" customHeight="1">
      <c r="A48" s="23"/>
      <c r="B48" s="24">
        <v>46054.0</v>
      </c>
      <c r="C48" s="53"/>
      <c r="D48" s="27"/>
      <c r="E48" s="27"/>
      <c r="F48" s="27"/>
      <c r="G48" s="29"/>
      <c r="H48" s="29"/>
      <c r="I48" s="29"/>
      <c r="J48" s="30"/>
      <c r="K48" s="30"/>
      <c r="L48" s="31"/>
      <c r="M48" s="30"/>
      <c r="N48" s="32"/>
      <c r="O48" s="32"/>
      <c r="P48" s="34"/>
      <c r="Q48" s="35" t="str">
        <f t="shared" si="2"/>
        <v/>
      </c>
      <c r="R48" s="35">
        <f>'داخلي'!$P48*25%</f>
        <v>0</v>
      </c>
      <c r="S48" s="5"/>
      <c r="T48" s="6"/>
      <c r="U48" s="7"/>
      <c r="V48" s="5"/>
      <c r="W48" s="5"/>
      <c r="X48" s="5"/>
      <c r="Y48" s="5"/>
      <c r="Z48" s="5"/>
    </row>
    <row r="49" ht="13.5" customHeight="1">
      <c r="A49" s="23"/>
      <c r="B49" s="24">
        <v>46054.0</v>
      </c>
      <c r="C49" s="53"/>
      <c r="D49" s="27"/>
      <c r="E49" s="27"/>
      <c r="F49" s="27"/>
      <c r="G49" s="29"/>
      <c r="H49" s="29"/>
      <c r="I49" s="29"/>
      <c r="J49" s="30"/>
      <c r="K49" s="30"/>
      <c r="L49" s="31"/>
      <c r="M49" s="30"/>
      <c r="N49" s="32"/>
      <c r="O49" s="32"/>
      <c r="P49" s="34"/>
      <c r="Q49" s="35" t="str">
        <f t="shared" si="2"/>
        <v/>
      </c>
      <c r="R49" s="35">
        <f>'داخلي'!$P49*25%</f>
        <v>0</v>
      </c>
      <c r="S49" s="5"/>
      <c r="T49" s="6"/>
      <c r="U49" s="7"/>
      <c r="V49" s="5"/>
      <c r="W49" s="5"/>
      <c r="X49" s="5"/>
      <c r="Y49" s="5"/>
      <c r="Z49" s="5"/>
    </row>
    <row r="50" ht="13.5" customHeight="1">
      <c r="A50" s="23"/>
      <c r="B50" s="24"/>
      <c r="C50" s="53"/>
      <c r="D50" s="27"/>
      <c r="E50" s="27"/>
      <c r="F50" s="27"/>
      <c r="G50" s="29"/>
      <c r="H50" s="29"/>
      <c r="I50" s="29"/>
      <c r="J50" s="30"/>
      <c r="K50" s="30"/>
      <c r="L50" s="31"/>
      <c r="M50" s="30"/>
      <c r="N50" s="32"/>
      <c r="O50" s="32"/>
      <c r="P50" s="34"/>
      <c r="Q50" s="35" t="str">
        <f t="shared" si="2"/>
        <v/>
      </c>
      <c r="R50" s="35">
        <f>'داخلي'!$P50*25%</f>
        <v>0</v>
      </c>
      <c r="S50" s="5"/>
      <c r="T50" s="6"/>
      <c r="U50" s="7"/>
      <c r="V50" s="5"/>
      <c r="W50" s="5"/>
      <c r="X50" s="5"/>
      <c r="Y50" s="5"/>
      <c r="Z50" s="5"/>
    </row>
    <row r="51" ht="13.5" customHeight="1">
      <c r="A51" s="23">
        <v>23.0</v>
      </c>
      <c r="B51" s="24"/>
      <c r="C51" s="25" t="s">
        <v>65</v>
      </c>
      <c r="D51" s="26" t="s">
        <v>102</v>
      </c>
      <c r="E51" s="27"/>
      <c r="F51" s="27"/>
      <c r="G51" s="29"/>
      <c r="H51" s="29"/>
      <c r="I51" s="29"/>
      <c r="J51" s="30"/>
      <c r="K51" s="30"/>
      <c r="L51" s="31"/>
      <c r="M51" s="30"/>
      <c r="N51" s="32"/>
      <c r="O51" s="32"/>
      <c r="P51" s="34">
        <v>35.0</v>
      </c>
      <c r="Q51" s="35" t="str">
        <f t="shared" si="2"/>
        <v/>
      </c>
      <c r="R51" s="35">
        <f>'داخلي'!$P51*25%</f>
        <v>8.75</v>
      </c>
      <c r="S51" s="5"/>
      <c r="T51" s="6"/>
      <c r="U51" s="7"/>
      <c r="V51" s="5"/>
      <c r="W51" s="5"/>
      <c r="X51" s="5"/>
      <c r="Y51" s="5"/>
      <c r="Z51" s="5"/>
    </row>
    <row r="52" ht="13.5" customHeight="1">
      <c r="A52" s="23">
        <v>24.0</v>
      </c>
      <c r="B52" s="24"/>
      <c r="C52" s="25" t="s">
        <v>65</v>
      </c>
      <c r="D52" s="26" t="s">
        <v>103</v>
      </c>
      <c r="E52" s="27"/>
      <c r="F52" s="27"/>
      <c r="G52" s="29"/>
      <c r="H52" s="29"/>
      <c r="I52" s="29"/>
      <c r="J52" s="30"/>
      <c r="K52" s="30">
        <v>35.0</v>
      </c>
      <c r="L52" s="31"/>
      <c r="M52" s="30"/>
      <c r="N52" s="32"/>
      <c r="O52" s="32"/>
      <c r="P52" s="34"/>
      <c r="Q52" s="35" t="str">
        <f t="shared" si="2"/>
        <v/>
      </c>
      <c r="R52" s="35">
        <f>'داخلي'!$P52*25%</f>
        <v>0</v>
      </c>
      <c r="S52" s="5"/>
      <c r="T52" s="6"/>
      <c r="U52" s="7"/>
      <c r="V52" s="5"/>
      <c r="W52" s="5"/>
      <c r="X52" s="5"/>
      <c r="Y52" s="5"/>
      <c r="Z52" s="5"/>
    </row>
    <row r="53" ht="13.5" customHeight="1">
      <c r="A53" s="23">
        <v>25.0</v>
      </c>
      <c r="B53" s="24"/>
      <c r="C53" s="25" t="s">
        <v>65</v>
      </c>
      <c r="D53" s="26" t="s">
        <v>104</v>
      </c>
      <c r="E53" s="27"/>
      <c r="F53" s="27"/>
      <c r="G53" s="29"/>
      <c r="H53" s="29"/>
      <c r="I53" s="29"/>
      <c r="J53" s="30"/>
      <c r="K53" s="30">
        <v>35.0</v>
      </c>
      <c r="L53" s="31"/>
      <c r="M53" s="30"/>
      <c r="N53" s="32"/>
      <c r="O53" s="32"/>
      <c r="P53" s="34"/>
      <c r="Q53" s="35" t="str">
        <f t="shared" si="2"/>
        <v/>
      </c>
      <c r="R53" s="35">
        <f>'داخلي'!$P53*25%</f>
        <v>0</v>
      </c>
      <c r="S53" s="5"/>
      <c r="T53" s="6"/>
      <c r="U53" s="7"/>
      <c r="V53" s="5"/>
      <c r="W53" s="5"/>
      <c r="X53" s="5"/>
      <c r="Y53" s="5"/>
      <c r="Z53" s="5"/>
    </row>
    <row r="54" ht="13.5" customHeight="1">
      <c r="A54" s="23">
        <v>26.0</v>
      </c>
      <c r="B54" s="24"/>
      <c r="C54" s="25" t="s">
        <v>65</v>
      </c>
      <c r="D54" s="26" t="s">
        <v>56</v>
      </c>
      <c r="E54" s="27"/>
      <c r="F54" s="27"/>
      <c r="G54" s="29"/>
      <c r="H54" s="29"/>
      <c r="I54" s="29"/>
      <c r="J54" s="30"/>
      <c r="K54" s="30"/>
      <c r="L54" s="31"/>
      <c r="M54" s="30"/>
      <c r="N54" s="32"/>
      <c r="O54" s="32"/>
      <c r="P54" s="34">
        <v>35.0</v>
      </c>
      <c r="Q54" s="35" t="str">
        <f t="shared" si="2"/>
        <v/>
      </c>
      <c r="R54" s="35">
        <f>'داخلي'!$P54*25%</f>
        <v>8.75</v>
      </c>
      <c r="S54" s="5"/>
      <c r="T54" s="6"/>
      <c r="U54" s="7"/>
      <c r="V54" s="5"/>
      <c r="W54" s="5"/>
      <c r="X54" s="5"/>
      <c r="Y54" s="5"/>
      <c r="Z54" s="5"/>
    </row>
    <row r="55" ht="13.5" customHeight="1">
      <c r="A55" s="23">
        <v>27.0</v>
      </c>
      <c r="B55" s="24"/>
      <c r="C55" s="53"/>
      <c r="D55" s="26" t="s">
        <v>105</v>
      </c>
      <c r="E55" s="27"/>
      <c r="F55" s="27"/>
      <c r="G55" s="29"/>
      <c r="H55" s="29"/>
      <c r="I55" s="29"/>
      <c r="J55" s="30"/>
      <c r="K55" s="30"/>
      <c r="L55" s="31"/>
      <c r="M55" s="30"/>
      <c r="N55" s="32">
        <v>500.0</v>
      </c>
      <c r="O55" s="33" t="s">
        <v>30</v>
      </c>
      <c r="P55" s="34">
        <v>35.0</v>
      </c>
      <c r="Q55" s="35" t="str">
        <f t="shared" si="2"/>
        <v/>
      </c>
      <c r="R55" s="35">
        <f>'داخلي'!$P55*25%</f>
        <v>8.75</v>
      </c>
      <c r="S55" s="5"/>
      <c r="T55" s="6"/>
      <c r="U55" s="7"/>
      <c r="V55" s="5"/>
      <c r="W55" s="5"/>
      <c r="X55" s="5"/>
      <c r="Y55" s="5"/>
      <c r="Z55" s="5"/>
    </row>
    <row r="56" ht="13.5" customHeight="1">
      <c r="A56" s="23">
        <v>28.0</v>
      </c>
      <c r="B56" s="24"/>
      <c r="C56" s="53"/>
      <c r="D56" s="26" t="s">
        <v>106</v>
      </c>
      <c r="E56" s="27"/>
      <c r="F56" s="26" t="s">
        <v>107</v>
      </c>
      <c r="G56" s="29"/>
      <c r="H56" s="29"/>
      <c r="I56" s="28" t="s">
        <v>108</v>
      </c>
      <c r="J56" s="30"/>
      <c r="K56" s="30"/>
      <c r="L56" s="31"/>
      <c r="M56" s="30"/>
      <c r="N56" s="32"/>
      <c r="O56" s="32"/>
      <c r="P56" s="34">
        <v>40.0</v>
      </c>
      <c r="Q56" s="35" t="str">
        <f t="shared" si="2"/>
        <v/>
      </c>
      <c r="R56" s="35">
        <f>'داخلي'!$P56*25%</f>
        <v>10</v>
      </c>
      <c r="S56" s="5"/>
      <c r="T56" s="6"/>
      <c r="U56" s="7"/>
      <c r="V56" s="5"/>
      <c r="W56" s="5"/>
      <c r="X56" s="5"/>
      <c r="Y56" s="5"/>
      <c r="Z56" s="5"/>
    </row>
    <row r="57" ht="13.5" customHeight="1">
      <c r="A57" s="23"/>
      <c r="B57" s="24"/>
      <c r="C57" s="53"/>
      <c r="D57" s="27"/>
      <c r="E57" s="27"/>
      <c r="F57" s="27"/>
      <c r="G57" s="29"/>
      <c r="H57" s="28" t="s">
        <v>109</v>
      </c>
      <c r="I57" s="28" t="s">
        <v>110</v>
      </c>
      <c r="J57" s="30"/>
      <c r="K57" s="30"/>
      <c r="L57" s="31"/>
      <c r="M57" s="30"/>
      <c r="N57" s="32"/>
      <c r="O57" s="32"/>
      <c r="P57" s="34"/>
      <c r="Q57" s="35" t="str">
        <f t="shared" si="2"/>
        <v/>
      </c>
      <c r="R57" s="35">
        <f>'داخلي'!$P57*25%</f>
        <v>0</v>
      </c>
      <c r="S57" s="5"/>
      <c r="T57" s="6"/>
      <c r="U57" s="7"/>
      <c r="V57" s="5"/>
      <c r="W57" s="5"/>
      <c r="X57" s="5"/>
      <c r="Y57" s="5"/>
      <c r="Z57" s="5"/>
    </row>
    <row r="58" ht="13.5" customHeight="1">
      <c r="A58" s="23"/>
      <c r="B58" s="24"/>
      <c r="C58" s="53"/>
      <c r="D58" s="27"/>
      <c r="E58" s="27"/>
      <c r="F58" s="27"/>
      <c r="G58" s="29"/>
      <c r="H58" s="29"/>
      <c r="I58" s="28" t="s">
        <v>111</v>
      </c>
      <c r="J58" s="30"/>
      <c r="K58" s="30"/>
      <c r="L58" s="31"/>
      <c r="M58" s="30"/>
      <c r="N58" s="32"/>
      <c r="O58" s="32"/>
      <c r="P58" s="34"/>
      <c r="Q58" s="35">
        <v>265.0</v>
      </c>
      <c r="R58" s="35">
        <v>90.0</v>
      </c>
      <c r="S58" s="5"/>
      <c r="T58" s="6"/>
      <c r="U58" s="7"/>
      <c r="V58" s="5"/>
      <c r="W58" s="5"/>
      <c r="X58" s="5"/>
      <c r="Y58" s="5"/>
      <c r="Z58" s="5"/>
    </row>
    <row r="59" ht="13.5" customHeight="1">
      <c r="A59" s="23"/>
      <c r="B59" s="24"/>
      <c r="C59" s="25" t="s">
        <v>48</v>
      </c>
      <c r="D59" s="27"/>
      <c r="E59" s="27"/>
      <c r="F59" s="27"/>
      <c r="G59" s="29"/>
      <c r="H59" s="29"/>
      <c r="I59" s="29"/>
      <c r="J59" s="30"/>
      <c r="K59" s="30"/>
      <c r="L59" s="31"/>
      <c r="M59" s="30"/>
      <c r="N59" s="32"/>
      <c r="O59" s="32"/>
      <c r="P59" s="34"/>
      <c r="Q59" s="35" t="str">
        <f>V9299</f>
        <v/>
      </c>
      <c r="R59" s="35">
        <f>'داخلي'!$P59*25%</f>
        <v>0</v>
      </c>
      <c r="S59" s="5"/>
      <c r="T59" s="6"/>
      <c r="U59" s="7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7"/>
      <c r="V60" s="5"/>
      <c r="W60" s="5"/>
      <c r="X60" s="5"/>
      <c r="Y60" s="5"/>
      <c r="Z60" s="5"/>
    </row>
    <row r="61" ht="13.5" customHeight="1">
      <c r="A61" s="5"/>
      <c r="B61" s="54" t="s">
        <v>112</v>
      </c>
      <c r="C61" s="54" t="s">
        <v>113</v>
      </c>
      <c r="D61" s="55">
        <v>1.099436915E9</v>
      </c>
      <c r="E61" s="55"/>
      <c r="F61" s="54" t="s">
        <v>114</v>
      </c>
      <c r="G61" s="54" t="s">
        <v>115</v>
      </c>
      <c r="H61" s="55">
        <v>380.0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7"/>
      <c r="V61" s="5"/>
      <c r="W61" s="5"/>
      <c r="X61" s="5"/>
      <c r="Y61" s="5"/>
      <c r="Z61" s="5"/>
    </row>
    <row r="62" ht="13.5" customHeight="1">
      <c r="A62" s="5"/>
      <c r="B62" s="54" t="s">
        <v>116</v>
      </c>
      <c r="C62" s="54" t="s">
        <v>117</v>
      </c>
      <c r="D62" s="55">
        <v>1.274451258E9</v>
      </c>
      <c r="E62" s="55"/>
      <c r="F62" s="54" t="s">
        <v>115</v>
      </c>
      <c r="G62" s="54" t="s">
        <v>115</v>
      </c>
      <c r="H62" s="55">
        <v>355.0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7"/>
      <c r="V62" s="5"/>
      <c r="W62" s="5"/>
      <c r="X62" s="5"/>
      <c r="Y62" s="5"/>
      <c r="Z62" s="5"/>
    </row>
    <row r="63" ht="13.5" customHeight="1">
      <c r="A63" s="5"/>
      <c r="B63" s="54" t="s">
        <v>118</v>
      </c>
      <c r="C63" s="54" t="s">
        <v>119</v>
      </c>
      <c r="D63" s="55">
        <v>1.023101929E9</v>
      </c>
      <c r="E63" s="55"/>
      <c r="F63" s="54" t="s">
        <v>120</v>
      </c>
      <c r="G63" s="54" t="s">
        <v>115</v>
      </c>
      <c r="H63" s="55">
        <v>90.0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7"/>
      <c r="V63" s="5"/>
      <c r="W63" s="5"/>
      <c r="X63" s="5"/>
      <c r="Y63" s="5"/>
      <c r="Z63" s="5"/>
    </row>
    <row r="64" ht="13.5" customHeight="1">
      <c r="A64" s="5"/>
      <c r="B64" s="54" t="s">
        <v>121</v>
      </c>
      <c r="C64" s="54" t="s">
        <v>122</v>
      </c>
      <c r="D64" s="55">
        <v>1.067140601E9</v>
      </c>
      <c r="E64" s="55"/>
      <c r="F64" s="54" t="s">
        <v>114</v>
      </c>
      <c r="G64" s="54" t="s">
        <v>115</v>
      </c>
      <c r="H64" s="55">
        <v>600.0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7"/>
      <c r="V64" s="5"/>
      <c r="W64" s="5"/>
      <c r="X64" s="5"/>
      <c r="Y64" s="5"/>
      <c r="Z64" s="5"/>
    </row>
    <row r="65" ht="13.5" customHeight="1">
      <c r="A65" s="5"/>
      <c r="B65" s="54" t="s">
        <v>123</v>
      </c>
      <c r="C65" s="54" t="s">
        <v>124</v>
      </c>
      <c r="D65" s="55">
        <v>1.030670935E9</v>
      </c>
      <c r="E65" s="55"/>
      <c r="F65" s="54" t="s">
        <v>125</v>
      </c>
      <c r="G65" s="54" t="s">
        <v>115</v>
      </c>
      <c r="H65" s="55">
        <v>505.0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7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7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7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7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7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7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7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7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7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7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7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7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7"/>
      <c r="V77" s="5"/>
      <c r="W77" s="5"/>
      <c r="X77" s="5"/>
      <c r="Y77" s="5"/>
      <c r="Z77" s="5"/>
    </row>
    <row r="78" ht="13.5" customHeight="1">
      <c r="A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7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7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7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7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7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7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7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7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7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7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7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7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7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7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7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7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7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7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7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7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7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7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7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7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7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7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7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7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7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7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7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7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7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7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7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7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7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7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7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7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7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7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7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7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7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7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7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7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7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7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7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7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7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7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7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7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7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7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7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7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7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7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7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7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7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7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7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7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7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7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7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7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7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7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7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7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7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7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7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7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7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7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7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7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7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7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7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7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7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7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7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7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7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7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7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7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7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7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7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7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7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7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7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7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7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7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7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7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7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7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7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7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7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7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7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7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7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7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7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7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7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7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7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7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7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7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7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7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7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7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7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7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7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7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7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7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7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7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7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7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7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7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7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7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7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7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7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7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7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7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7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7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7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7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7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7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7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7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7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7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7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7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7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7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7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7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7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7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7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7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7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7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7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7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7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7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7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7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7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7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7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7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7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7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7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7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7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7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7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7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7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7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7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7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7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7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7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7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7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7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7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7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7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7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7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7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7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7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7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7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7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7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7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7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7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7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7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7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7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7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7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7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7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7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7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7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7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7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7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7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7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7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7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7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7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7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7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7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7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7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7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7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7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7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7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7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7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7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7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7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7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7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7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7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7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7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7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7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7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7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7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7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7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7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7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7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7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7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7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7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7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7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7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7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7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7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7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7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7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7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7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7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7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7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7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7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7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7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7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7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7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7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7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7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7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7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7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7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7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7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7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7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7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7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7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7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7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7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7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7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7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7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7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7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7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7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7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7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7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7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7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7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7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7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7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7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7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7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7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7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7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7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7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7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7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7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7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7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7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7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7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7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7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7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7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7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7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7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7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7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7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7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7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7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7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7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7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7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7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7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7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7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7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7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7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7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7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7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7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7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7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7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7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7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7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7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7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7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7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7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7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7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7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7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7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7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7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7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7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7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7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7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7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7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7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7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7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7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7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7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7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7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7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7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7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7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7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7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7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7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7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7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7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7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7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7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7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7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7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7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7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7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7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7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7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7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7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7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7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7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7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7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7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7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7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7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7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7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7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7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7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7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7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7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7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7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7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7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7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7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7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7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7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7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7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7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7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7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7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7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7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7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7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7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7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7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7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7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7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7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7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7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7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7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7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7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7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7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7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7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7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7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7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7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7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7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7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7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7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7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7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7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7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7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7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7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7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7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7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7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7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7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7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7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7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7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7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7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7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7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7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7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7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7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7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7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7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7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7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7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7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7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7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7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7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7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7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7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7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7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7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7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7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7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7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7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7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7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7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7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7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7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7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7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7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7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7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7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7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7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7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7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7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7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7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7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7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7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7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7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7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7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7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7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7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7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7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7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7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7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7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7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7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7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7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7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7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7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7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7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7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7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7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7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7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7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7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7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7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7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7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7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7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7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7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7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7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7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7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7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7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7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7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7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7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7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7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7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7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7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7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7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7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7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7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7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7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7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7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7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7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7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7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7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7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7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7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7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7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7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7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7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7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7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7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7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7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7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7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7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7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7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7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7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7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7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7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7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7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7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7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7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7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7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7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7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7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7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7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7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7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7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7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7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7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7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7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7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7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7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7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7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7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7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7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7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7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7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7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7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7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7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7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7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7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7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7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7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7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7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7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7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7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7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7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7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7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7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7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7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7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7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7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7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7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7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7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7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7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7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7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7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7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7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7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7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7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7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7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7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7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7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7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7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7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7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7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7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7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7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7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7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7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7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7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7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7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7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7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7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7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7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7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7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7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7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7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7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7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7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7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7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7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7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7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7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7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7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7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7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7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7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7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7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7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7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7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7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7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7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7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7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7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7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7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7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7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7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7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7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7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7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7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7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7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7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7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7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7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7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7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7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7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7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7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7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7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7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7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7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7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7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7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7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7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7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7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7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7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7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7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7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7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7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7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7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7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7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7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7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7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7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7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7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7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7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7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7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7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7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7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7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7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7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7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7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7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7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7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7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7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7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7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7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7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7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7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7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7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7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7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7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7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7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7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7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7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7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7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7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7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7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7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7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7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7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7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7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7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7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7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7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7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7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7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7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7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7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7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7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7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7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7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7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7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7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7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7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7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7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7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7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7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7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7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7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7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7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7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7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7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7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7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7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7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7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7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7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7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7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7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7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7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7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7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7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7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7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7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7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7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7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7"/>
      <c r="V1000" s="5"/>
      <c r="W1000" s="5"/>
      <c r="X1000" s="5"/>
      <c r="Y1000" s="5"/>
      <c r="Z1000" s="5"/>
    </row>
  </sheetData>
  <mergeCells count="4">
    <mergeCell ref="D1:I1"/>
    <mergeCell ref="J1:M1"/>
    <mergeCell ref="N1:P1"/>
    <mergeCell ref="B2:P2"/>
  </mergeCells>
  <conditionalFormatting sqref="S1:X20">
    <cfRule type="containsText" dxfId="4" priority="1" operator="containsText" text="نيهال عبدالعزيز">
      <formula>NOT(ISERROR(SEARCH(("نيهال عبدالعزيز"),(S1))))</formula>
    </cfRule>
  </conditionalFormatting>
  <printOptions/>
  <pageMargins bottom="0.75" footer="0.0" header="0.0" left="0.7" right="0.7" top="0.75"/>
  <pageSetup orientation="portrait"/>
  <headerFooter>
    <oddHeader>&amp;L&amp;T&amp;Cشركة البربري   &amp;D</oddHead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9.29"/>
    <col customWidth="1" min="2" max="2" width="16.86"/>
    <col customWidth="1" min="3" max="3" width="19.86"/>
    <col customWidth="1" min="4" max="4" width="17.29"/>
    <col customWidth="1" min="5" max="5" width="51.71"/>
    <col customWidth="1" min="6" max="6" width="39.29"/>
    <col customWidth="1" min="7" max="7" width="77.86"/>
    <col customWidth="1" min="8" max="8" width="17.14"/>
    <col customWidth="1" min="9" max="9" width="12.57"/>
    <col customWidth="1" min="10" max="10" width="10.14"/>
    <col customWidth="1" min="11" max="11" width="6.14"/>
    <col customWidth="1" min="12" max="12" width="12.86"/>
    <col customWidth="1" min="13" max="13" width="11.14"/>
    <col customWidth="1" min="14" max="14" width="7.14"/>
    <col customWidth="1" min="15" max="15" width="10.86"/>
    <col customWidth="1" min="16" max="16" width="8.86"/>
    <col customWidth="1" min="17" max="17" width="13.71"/>
    <col customWidth="1" min="18" max="19" width="13.14"/>
    <col customWidth="1" min="20" max="26" width="8.71"/>
  </cols>
  <sheetData>
    <row r="1" ht="27.75" customHeight="1">
      <c r="A1" s="56" t="s">
        <v>4</v>
      </c>
      <c r="B1" s="56" t="s">
        <v>5</v>
      </c>
      <c r="C1" s="56" t="s">
        <v>126</v>
      </c>
      <c r="D1" s="56" t="s">
        <v>6</v>
      </c>
      <c r="E1" s="56" t="s">
        <v>7</v>
      </c>
      <c r="F1" s="56" t="s">
        <v>127</v>
      </c>
      <c r="G1" s="57" t="s">
        <v>128</v>
      </c>
      <c r="H1" s="58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7.75" customHeight="1">
      <c r="A2" s="60">
        <v>1.0</v>
      </c>
      <c r="B2" s="61">
        <v>46082.0</v>
      </c>
      <c r="C2" s="62" t="s">
        <v>129</v>
      </c>
      <c r="D2" s="63" t="s">
        <v>81</v>
      </c>
      <c r="E2" s="64" t="s">
        <v>130</v>
      </c>
      <c r="F2" s="65" t="s">
        <v>131</v>
      </c>
      <c r="G2" s="65" t="s">
        <v>132</v>
      </c>
      <c r="H2" s="58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7.75" customHeight="1">
      <c r="A3" s="60">
        <v>2.0</v>
      </c>
      <c r="B3" s="66"/>
      <c r="C3" s="67"/>
      <c r="D3" s="63"/>
      <c r="E3" s="64" t="s">
        <v>133</v>
      </c>
      <c r="F3" s="68" t="s">
        <v>134</v>
      </c>
      <c r="G3" s="69"/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27.75" customHeight="1">
      <c r="A4" s="60">
        <v>3.0</v>
      </c>
      <c r="B4" s="66"/>
      <c r="C4" s="67"/>
      <c r="D4" s="63"/>
      <c r="E4" s="64" t="s">
        <v>135</v>
      </c>
      <c r="F4" s="68" t="s">
        <v>136</v>
      </c>
      <c r="G4" s="69"/>
      <c r="H4" s="5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27.75" customHeight="1">
      <c r="A5" s="60">
        <v>4.0</v>
      </c>
      <c r="B5" s="66"/>
      <c r="C5" s="67"/>
      <c r="D5" s="63"/>
      <c r="E5" s="64" t="s">
        <v>137</v>
      </c>
      <c r="F5" s="69"/>
      <c r="G5" s="69"/>
      <c r="H5" s="58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27.75" customHeight="1">
      <c r="A6" s="60">
        <v>5.0</v>
      </c>
      <c r="B6" s="66"/>
      <c r="C6" s="67"/>
      <c r="D6" s="63"/>
      <c r="E6" s="64" t="s">
        <v>138</v>
      </c>
      <c r="F6" s="68" t="s">
        <v>139</v>
      </c>
      <c r="G6" s="68" t="s">
        <v>140</v>
      </c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27.75" customHeight="1">
      <c r="A7" s="60">
        <v>6.0</v>
      </c>
      <c r="B7" s="66"/>
      <c r="C7" s="67"/>
      <c r="D7" s="63"/>
      <c r="E7" s="64" t="s">
        <v>141</v>
      </c>
      <c r="F7" s="69"/>
      <c r="G7" s="69"/>
      <c r="H7" s="58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27.75" customHeight="1">
      <c r="A8" s="60">
        <v>7.0</v>
      </c>
      <c r="B8" s="66"/>
      <c r="C8" s="67"/>
      <c r="D8" s="63"/>
      <c r="E8" s="64" t="s">
        <v>142</v>
      </c>
      <c r="F8" s="69"/>
      <c r="G8" s="69"/>
      <c r="H8" s="58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27.75" customHeight="1">
      <c r="A9" s="60">
        <v>8.0</v>
      </c>
      <c r="B9" s="66"/>
      <c r="C9" s="67"/>
      <c r="D9" s="63"/>
      <c r="E9" s="64" t="s">
        <v>143</v>
      </c>
      <c r="F9" s="69"/>
      <c r="G9" s="69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27.75" customHeight="1">
      <c r="A10" s="60">
        <v>9.0</v>
      </c>
      <c r="B10" s="66"/>
      <c r="C10" s="67"/>
      <c r="D10" s="63"/>
      <c r="E10" s="63"/>
      <c r="F10" s="69"/>
      <c r="G10" s="69"/>
      <c r="H10" s="58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27.75" customHeight="1">
      <c r="A11" s="60">
        <v>10.0</v>
      </c>
      <c r="B11" s="66"/>
      <c r="C11" s="67"/>
      <c r="D11" s="63"/>
      <c r="E11" s="63"/>
      <c r="F11" s="69"/>
      <c r="G11" s="69"/>
      <c r="H11" s="58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27.75" customHeight="1">
      <c r="A12" s="60">
        <v>11.0</v>
      </c>
      <c r="B12" s="66"/>
      <c r="C12" s="67"/>
      <c r="D12" s="63"/>
      <c r="E12" s="63"/>
      <c r="F12" s="69"/>
      <c r="G12" s="69"/>
      <c r="H12" s="58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27.75" customHeight="1">
      <c r="A13" s="60">
        <v>12.0</v>
      </c>
      <c r="B13" s="66"/>
      <c r="C13" s="67"/>
      <c r="D13" s="63"/>
      <c r="E13" s="63"/>
      <c r="F13" s="69"/>
      <c r="G13" s="69"/>
      <c r="H13" s="58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27.75" customHeight="1">
      <c r="A14" s="60">
        <v>13.0</v>
      </c>
      <c r="B14" s="66"/>
      <c r="C14" s="67"/>
      <c r="D14" s="63"/>
      <c r="E14" s="63"/>
      <c r="F14" s="69"/>
      <c r="G14" s="69"/>
      <c r="H14" s="58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27.75" customHeight="1">
      <c r="A15" s="60">
        <v>14.0</v>
      </c>
      <c r="B15" s="66"/>
      <c r="C15" s="67"/>
      <c r="D15" s="63"/>
      <c r="E15" s="70"/>
      <c r="F15" s="69"/>
      <c r="G15" s="69"/>
      <c r="H15" s="58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27.75" customHeight="1">
      <c r="A16" s="71">
        <v>15.0</v>
      </c>
      <c r="B16" s="72"/>
      <c r="C16" s="73"/>
      <c r="D16" s="63"/>
      <c r="E16" s="70"/>
      <c r="F16" s="69"/>
      <c r="G16" s="69"/>
      <c r="H16" s="58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27.75" customHeight="1">
      <c r="A17" s="74"/>
      <c r="B17" s="75"/>
      <c r="C17" s="76"/>
      <c r="D17" s="76"/>
      <c r="E17" s="77" t="s">
        <v>144</v>
      </c>
      <c r="F17" s="78"/>
      <c r="G17" s="76"/>
      <c r="H17" s="58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27.75" customHeight="1">
      <c r="A18" s="79"/>
      <c r="B18" s="75"/>
      <c r="C18" s="76"/>
      <c r="D18" s="76"/>
      <c r="E18" s="77" t="s">
        <v>145</v>
      </c>
      <c r="F18" s="80">
        <v>400.0</v>
      </c>
      <c r="G18" s="76"/>
      <c r="H18" s="58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27.75" customHeight="1">
      <c r="A19" s="79"/>
      <c r="B19" s="75"/>
      <c r="C19" s="76"/>
      <c r="D19" s="76"/>
      <c r="E19" s="77" t="s">
        <v>146</v>
      </c>
      <c r="F19" s="78"/>
      <c r="G19" s="76"/>
      <c r="H19" s="58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27.75" customHeight="1">
      <c r="A20" s="79"/>
      <c r="B20" s="75"/>
      <c r="C20" s="76"/>
      <c r="D20" s="76"/>
      <c r="E20" s="77" t="s">
        <v>147</v>
      </c>
      <c r="F20" s="80">
        <v>250.0</v>
      </c>
      <c r="G20" s="76"/>
      <c r="H20" s="58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27.75" customHeight="1">
      <c r="A21" s="79"/>
      <c r="B21" s="75"/>
      <c r="C21" s="76"/>
      <c r="D21" s="76"/>
      <c r="E21" s="77" t="s">
        <v>148</v>
      </c>
      <c r="F21" s="80">
        <v>150.0</v>
      </c>
      <c r="G21" s="76"/>
      <c r="H21" s="58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27.75" customHeight="1">
      <c r="A22" s="79"/>
      <c r="B22" s="79"/>
      <c r="C22" s="79"/>
      <c r="D22" s="79"/>
      <c r="E22" s="79"/>
      <c r="F22" s="79"/>
      <c r="G22" s="79"/>
      <c r="H22" s="58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27.75" customHeight="1">
      <c r="A23" s="56" t="s">
        <v>4</v>
      </c>
      <c r="B23" s="56" t="s">
        <v>5</v>
      </c>
      <c r="C23" s="56" t="s">
        <v>126</v>
      </c>
      <c r="D23" s="56" t="s">
        <v>6</v>
      </c>
      <c r="E23" s="56" t="s">
        <v>7</v>
      </c>
      <c r="F23" s="56" t="s">
        <v>127</v>
      </c>
      <c r="G23" s="57" t="s">
        <v>128</v>
      </c>
      <c r="H23" s="58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27.75" customHeight="1">
      <c r="A24" s="60">
        <v>1.0</v>
      </c>
      <c r="B24" s="61">
        <v>46083.0</v>
      </c>
      <c r="C24" s="62" t="s">
        <v>149</v>
      </c>
      <c r="D24" s="63"/>
      <c r="E24" s="64" t="s">
        <v>22</v>
      </c>
      <c r="F24" s="68" t="s">
        <v>150</v>
      </c>
      <c r="G24" s="69"/>
      <c r="H24" s="58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7.75" customHeight="1">
      <c r="A25" s="60">
        <v>2.0</v>
      </c>
      <c r="B25" s="66"/>
      <c r="C25" s="67"/>
      <c r="D25" s="63"/>
      <c r="E25" s="64" t="s">
        <v>151</v>
      </c>
      <c r="F25" s="68" t="s">
        <v>152</v>
      </c>
      <c r="G25" s="68" t="s">
        <v>153</v>
      </c>
      <c r="H25" s="58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27.75" customHeight="1">
      <c r="A26" s="60">
        <v>3.0</v>
      </c>
      <c r="B26" s="66"/>
      <c r="C26" s="67"/>
      <c r="D26" s="63"/>
      <c r="E26" s="64"/>
      <c r="F26" s="68" t="s">
        <v>154</v>
      </c>
      <c r="G26" s="68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27.75" customHeight="1">
      <c r="A27" s="60">
        <v>4.0</v>
      </c>
      <c r="B27" s="66"/>
      <c r="C27" s="67"/>
      <c r="D27" s="63"/>
      <c r="E27" s="64" t="s">
        <v>155</v>
      </c>
      <c r="F27" s="68" t="s">
        <v>156</v>
      </c>
      <c r="G27" s="69"/>
      <c r="H27" s="58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27.75" customHeight="1">
      <c r="A28" s="60">
        <v>5.0</v>
      </c>
      <c r="B28" s="66"/>
      <c r="C28" s="67"/>
      <c r="D28" s="63"/>
      <c r="E28" s="64" t="s">
        <v>157</v>
      </c>
      <c r="F28" s="68" t="s">
        <v>158</v>
      </c>
      <c r="G28" s="65" t="s">
        <v>159</v>
      </c>
      <c r="H28" s="58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27.75" customHeight="1">
      <c r="A29" s="60">
        <v>6.0</v>
      </c>
      <c r="B29" s="66"/>
      <c r="C29" s="67"/>
      <c r="D29" s="63"/>
      <c r="E29" s="64" t="s">
        <v>160</v>
      </c>
      <c r="F29" s="69"/>
      <c r="G29" s="68" t="s">
        <v>154</v>
      </c>
      <c r="H29" s="58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27.75" customHeight="1">
      <c r="A30" s="60">
        <v>7.0</v>
      </c>
      <c r="B30" s="66"/>
      <c r="C30" s="67"/>
      <c r="D30" s="63"/>
      <c r="E30" s="64" t="s">
        <v>161</v>
      </c>
      <c r="F30" s="65">
        <v>35.0</v>
      </c>
      <c r="G30" s="69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7.75" customHeight="1">
      <c r="A31" s="60">
        <v>8.0</v>
      </c>
      <c r="B31" s="66"/>
      <c r="C31" s="67"/>
      <c r="D31" s="63"/>
      <c r="E31" s="64" t="s">
        <v>162</v>
      </c>
      <c r="F31" s="68" t="s">
        <v>163</v>
      </c>
      <c r="G31" s="68" t="s">
        <v>164</v>
      </c>
      <c r="H31" s="58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27.75" customHeight="1">
      <c r="A32" s="60">
        <v>9.0</v>
      </c>
      <c r="B32" s="66"/>
      <c r="C32" s="67"/>
      <c r="D32" s="63"/>
      <c r="E32" s="64" t="s">
        <v>165</v>
      </c>
      <c r="F32" s="65">
        <v>45.0</v>
      </c>
      <c r="G32" s="69"/>
      <c r="H32" s="58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27.75" customHeight="1">
      <c r="A33" s="60">
        <v>10.0</v>
      </c>
      <c r="B33" s="66"/>
      <c r="C33" s="67"/>
      <c r="D33" s="63"/>
      <c r="E33" s="64" t="s">
        <v>166</v>
      </c>
      <c r="F33" s="65">
        <v>40.0</v>
      </c>
      <c r="G33" s="69"/>
      <c r="H33" s="58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27.75" customHeight="1">
      <c r="A34" s="60">
        <v>11.0</v>
      </c>
      <c r="B34" s="66"/>
      <c r="C34" s="67"/>
      <c r="D34" s="63"/>
      <c r="E34" s="64" t="s">
        <v>167</v>
      </c>
      <c r="F34" s="69"/>
      <c r="G34" s="69"/>
      <c r="H34" s="58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27.75" customHeight="1">
      <c r="A35" s="60">
        <v>12.0</v>
      </c>
      <c r="B35" s="66"/>
      <c r="C35" s="67"/>
      <c r="D35" s="63"/>
      <c r="E35" s="64"/>
      <c r="F35" s="69"/>
      <c r="G35" s="69"/>
      <c r="H35" s="58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27.75" customHeight="1">
      <c r="A36" s="60">
        <v>13.0</v>
      </c>
      <c r="B36" s="66"/>
      <c r="C36" s="67"/>
      <c r="D36" s="63"/>
      <c r="E36" s="70"/>
      <c r="F36" s="69"/>
      <c r="G36" s="69"/>
      <c r="H36" s="58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27.75" customHeight="1">
      <c r="A37" s="60">
        <v>14.0</v>
      </c>
      <c r="B37" s="66"/>
      <c r="C37" s="67"/>
      <c r="D37" s="63"/>
      <c r="E37" s="70"/>
      <c r="F37" s="69"/>
      <c r="G37" s="69"/>
      <c r="H37" s="58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27.75" customHeight="1">
      <c r="A38" s="71">
        <v>15.0</v>
      </c>
      <c r="B38" s="72"/>
      <c r="C38" s="73"/>
      <c r="D38" s="63"/>
      <c r="E38" s="70"/>
      <c r="F38" s="69"/>
      <c r="G38" s="69"/>
      <c r="H38" s="58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27.75" customHeight="1">
      <c r="A39" s="74"/>
      <c r="B39" s="75"/>
      <c r="C39" s="76"/>
      <c r="D39" s="76"/>
      <c r="E39" s="81" t="s">
        <v>168</v>
      </c>
      <c r="F39" s="78"/>
      <c r="G39" s="76"/>
      <c r="H39" s="58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27.75" customHeight="1">
      <c r="A40" s="79"/>
      <c r="B40" s="75"/>
      <c r="C40" s="76"/>
      <c r="D40" s="76"/>
      <c r="E40" s="77" t="s">
        <v>145</v>
      </c>
      <c r="F40" s="80">
        <v>255.0</v>
      </c>
      <c r="G40" s="76"/>
      <c r="H40" s="58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27.75" customHeight="1">
      <c r="A41" s="79"/>
      <c r="B41" s="75"/>
      <c r="C41" s="76"/>
      <c r="D41" s="76"/>
      <c r="E41" s="77" t="s">
        <v>146</v>
      </c>
      <c r="F41" s="78"/>
      <c r="G41" s="76"/>
      <c r="H41" s="58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27.75" customHeight="1">
      <c r="A42" s="79"/>
      <c r="B42" s="75"/>
      <c r="C42" s="76"/>
      <c r="D42" s="76"/>
      <c r="E42" s="77" t="s">
        <v>147</v>
      </c>
      <c r="F42" s="80">
        <v>250.0</v>
      </c>
      <c r="G42" s="76"/>
      <c r="H42" s="58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27.75" customHeight="1">
      <c r="A43" s="79"/>
      <c r="B43" s="75"/>
      <c r="C43" s="76"/>
      <c r="D43" s="76"/>
      <c r="E43" s="77" t="s">
        <v>148</v>
      </c>
      <c r="F43" s="80">
        <v>5.0</v>
      </c>
      <c r="G43" s="76"/>
      <c r="H43" s="58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27.75" customHeight="1">
      <c r="A44" s="79"/>
      <c r="B44" s="79"/>
      <c r="C44" s="79"/>
      <c r="D44" s="79"/>
      <c r="E44" s="79"/>
      <c r="F44" s="79"/>
      <c r="G44" s="79"/>
      <c r="H44" s="58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27.75" customHeight="1">
      <c r="A45" s="56" t="s">
        <v>4</v>
      </c>
      <c r="B45" s="56" t="s">
        <v>5</v>
      </c>
      <c r="C45" s="56" t="s">
        <v>126</v>
      </c>
      <c r="D45" s="56" t="s">
        <v>6</v>
      </c>
      <c r="E45" s="56" t="s">
        <v>7</v>
      </c>
      <c r="F45" s="56" t="s">
        <v>127</v>
      </c>
      <c r="G45" s="57" t="s">
        <v>128</v>
      </c>
      <c r="H45" s="58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27.75" customHeight="1">
      <c r="A46" s="60">
        <v>1.0</v>
      </c>
      <c r="B46" s="61">
        <v>46084.0</v>
      </c>
      <c r="C46" s="62" t="s">
        <v>169</v>
      </c>
      <c r="D46" s="63"/>
      <c r="E46" s="64" t="s">
        <v>140</v>
      </c>
      <c r="F46" s="68" t="s">
        <v>170</v>
      </c>
      <c r="G46" s="68" t="s">
        <v>171</v>
      </c>
      <c r="H46" s="58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27.75" customHeight="1">
      <c r="A47" s="60">
        <v>2.0</v>
      </c>
      <c r="B47" s="66"/>
      <c r="C47" s="67"/>
      <c r="D47" s="63"/>
      <c r="E47" s="64" t="s">
        <v>140</v>
      </c>
      <c r="F47" s="68" t="s">
        <v>172</v>
      </c>
      <c r="G47" s="68" t="s">
        <v>173</v>
      </c>
      <c r="H47" s="58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27.75" customHeight="1">
      <c r="A48" s="60">
        <v>3.0</v>
      </c>
      <c r="B48" s="66"/>
      <c r="C48" s="67"/>
      <c r="D48" s="63"/>
      <c r="E48" s="82" t="s">
        <v>174</v>
      </c>
      <c r="F48" s="68" t="s">
        <v>175</v>
      </c>
      <c r="G48" s="68" t="s">
        <v>176</v>
      </c>
      <c r="H48" s="58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7.75" customHeight="1">
      <c r="A49" s="60">
        <v>4.0</v>
      </c>
      <c r="B49" s="66"/>
      <c r="C49" s="67"/>
      <c r="D49" s="63"/>
      <c r="E49" s="64" t="s">
        <v>177</v>
      </c>
      <c r="F49" s="68" t="s">
        <v>178</v>
      </c>
      <c r="G49" s="69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27.75" customHeight="1">
      <c r="A50" s="60">
        <v>5.0</v>
      </c>
      <c r="B50" s="66"/>
      <c r="C50" s="67"/>
      <c r="D50" s="63"/>
      <c r="E50" s="64" t="s">
        <v>179</v>
      </c>
      <c r="F50" s="68" t="s">
        <v>180</v>
      </c>
      <c r="G50" s="69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27.75" customHeight="1">
      <c r="A51" s="60">
        <v>6.0</v>
      </c>
      <c r="B51" s="66"/>
      <c r="C51" s="67"/>
      <c r="D51" s="63"/>
      <c r="E51" s="64" t="s">
        <v>181</v>
      </c>
      <c r="F51" s="65">
        <v>60.0</v>
      </c>
      <c r="G51" s="69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27.75" customHeight="1">
      <c r="A52" s="60">
        <v>7.0</v>
      </c>
      <c r="B52" s="66"/>
      <c r="C52" s="67"/>
      <c r="D52" s="63"/>
      <c r="E52" s="64" t="s">
        <v>140</v>
      </c>
      <c r="F52" s="65">
        <v>-60.0</v>
      </c>
      <c r="G52" s="68" t="s">
        <v>182</v>
      </c>
      <c r="H52" s="58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27.75" customHeight="1">
      <c r="A53" s="60">
        <v>8.0</v>
      </c>
      <c r="B53" s="66"/>
      <c r="C53" s="67"/>
      <c r="D53" s="63"/>
      <c r="E53" s="64" t="s">
        <v>183</v>
      </c>
      <c r="F53" s="68" t="s">
        <v>184</v>
      </c>
      <c r="G53" s="69"/>
      <c r="H53" s="58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27.75" customHeight="1">
      <c r="A54" s="60">
        <v>9.0</v>
      </c>
      <c r="B54" s="66"/>
      <c r="C54" s="67"/>
      <c r="D54" s="63"/>
      <c r="E54" s="64" t="s">
        <v>185</v>
      </c>
      <c r="F54" s="65">
        <v>35.0</v>
      </c>
      <c r="G54" s="69"/>
      <c r="H54" s="58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27.75" customHeight="1">
      <c r="A55" s="60">
        <v>10.0</v>
      </c>
      <c r="B55" s="66"/>
      <c r="C55" s="67"/>
      <c r="D55" s="63"/>
      <c r="E55" s="64" t="s">
        <v>177</v>
      </c>
      <c r="F55" s="68" t="s">
        <v>186</v>
      </c>
      <c r="G55" s="69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27.75" customHeight="1">
      <c r="A56" s="60">
        <v>11.0</v>
      </c>
      <c r="B56" s="66"/>
      <c r="C56" s="67"/>
      <c r="D56" s="63"/>
      <c r="E56" s="64" t="s">
        <v>187</v>
      </c>
      <c r="F56" s="68" t="s">
        <v>188</v>
      </c>
      <c r="G56" s="69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27.75" customHeight="1">
      <c r="A57" s="60">
        <v>12.0</v>
      </c>
      <c r="B57" s="66"/>
      <c r="C57" s="67"/>
      <c r="D57" s="63"/>
      <c r="E57" s="64" t="s">
        <v>140</v>
      </c>
      <c r="F57" s="68" t="s">
        <v>189</v>
      </c>
      <c r="G57" s="69"/>
      <c r="H57" s="58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27.75" customHeight="1">
      <c r="A58" s="60">
        <v>13.0</v>
      </c>
      <c r="B58" s="66"/>
      <c r="C58" s="67"/>
      <c r="D58" s="83"/>
      <c r="E58" s="84" t="s">
        <v>190</v>
      </c>
      <c r="F58" s="85">
        <v>40.0</v>
      </c>
      <c r="H58" s="58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27.75" customHeight="1">
      <c r="A59" s="60">
        <v>14.0</v>
      </c>
      <c r="B59" s="66"/>
      <c r="C59" s="67"/>
      <c r="D59" s="63"/>
      <c r="E59" s="70"/>
      <c r="F59" s="69"/>
      <c r="G59" s="69"/>
      <c r="H59" s="58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27.75" customHeight="1">
      <c r="A60" s="71">
        <v>15.0</v>
      </c>
      <c r="B60" s="72"/>
      <c r="C60" s="73"/>
      <c r="D60" s="63"/>
      <c r="E60" s="70"/>
      <c r="F60" s="69"/>
      <c r="G60" s="69"/>
      <c r="H60" s="58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27.75" customHeight="1">
      <c r="A61" s="74"/>
      <c r="B61" s="75"/>
      <c r="C61" s="76"/>
      <c r="D61" s="76"/>
      <c r="E61" s="77" t="s">
        <v>144</v>
      </c>
      <c r="F61" s="80">
        <v>-395.0</v>
      </c>
      <c r="G61" s="76"/>
      <c r="H61" s="58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27.75" customHeight="1">
      <c r="A62" s="79"/>
      <c r="B62" s="75"/>
      <c r="C62" s="76"/>
      <c r="D62" s="76"/>
      <c r="E62" s="77" t="s">
        <v>145</v>
      </c>
      <c r="F62" s="80">
        <v>180.0</v>
      </c>
      <c r="G62" s="76"/>
      <c r="H62" s="58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27.75" customHeight="1">
      <c r="A63" s="79"/>
      <c r="B63" s="75"/>
      <c r="C63" s="76"/>
      <c r="D63" s="76"/>
      <c r="E63" s="77" t="s">
        <v>146</v>
      </c>
      <c r="F63" s="78"/>
      <c r="G63" s="76"/>
      <c r="H63" s="58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27.75" customHeight="1">
      <c r="A64" s="79"/>
      <c r="B64" s="75"/>
      <c r="C64" s="76"/>
      <c r="D64" s="76"/>
      <c r="E64" s="77" t="s">
        <v>147</v>
      </c>
      <c r="F64" s="80">
        <v>250.0</v>
      </c>
      <c r="G64" s="76"/>
      <c r="H64" s="58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27.75" customHeight="1">
      <c r="A65" s="79"/>
      <c r="B65" s="75"/>
      <c r="C65" s="76"/>
      <c r="D65" s="76"/>
      <c r="E65" s="77" t="s">
        <v>148</v>
      </c>
      <c r="F65" s="86" t="s">
        <v>191</v>
      </c>
      <c r="G65" s="76"/>
      <c r="H65" s="58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27.75" customHeight="1">
      <c r="A66" s="56" t="s">
        <v>4</v>
      </c>
      <c r="B66" s="56" t="s">
        <v>5</v>
      </c>
      <c r="C66" s="56" t="s">
        <v>126</v>
      </c>
      <c r="D66" s="56" t="s">
        <v>6</v>
      </c>
      <c r="E66" s="56" t="s">
        <v>7</v>
      </c>
      <c r="F66" s="56" t="s">
        <v>127</v>
      </c>
      <c r="G66" s="57" t="s">
        <v>128</v>
      </c>
      <c r="H66" s="58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27.75" customHeight="1">
      <c r="A67" s="60">
        <v>1.0</v>
      </c>
      <c r="B67" s="87">
        <v>46085.0</v>
      </c>
      <c r="C67" s="62" t="s">
        <v>192</v>
      </c>
      <c r="D67" s="63" t="s">
        <v>193</v>
      </c>
      <c r="E67" s="64" t="s">
        <v>194</v>
      </c>
      <c r="F67" s="65">
        <v>35.0</v>
      </c>
      <c r="G67" s="69"/>
      <c r="H67" s="58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27.75" customHeight="1">
      <c r="A68" s="60">
        <v>2.0</v>
      </c>
      <c r="B68" s="66"/>
      <c r="C68" s="67"/>
      <c r="D68" s="63"/>
      <c r="E68" s="64"/>
      <c r="F68" s="65" t="s">
        <v>195</v>
      </c>
      <c r="G68" s="69"/>
      <c r="H68" s="58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27.75" customHeight="1">
      <c r="A69" s="60">
        <v>3.0</v>
      </c>
      <c r="B69" s="66"/>
      <c r="C69" s="67"/>
      <c r="D69" s="63"/>
      <c r="E69" s="64" t="s">
        <v>196</v>
      </c>
      <c r="F69" s="65">
        <v>35.0</v>
      </c>
      <c r="G69" s="69"/>
      <c r="H69" s="58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27.75" customHeight="1">
      <c r="A70" s="60">
        <v>4.0</v>
      </c>
      <c r="B70" s="66"/>
      <c r="C70" s="67"/>
      <c r="D70" s="63"/>
      <c r="E70" s="64" t="s">
        <v>197</v>
      </c>
      <c r="F70" s="65"/>
      <c r="G70" s="68" t="s">
        <v>198</v>
      </c>
      <c r="H70" s="58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27.75" customHeight="1">
      <c r="A71" s="60">
        <v>5.0</v>
      </c>
      <c r="B71" s="66"/>
      <c r="C71" s="67"/>
      <c r="D71" s="63"/>
      <c r="E71" s="64" t="s">
        <v>199</v>
      </c>
      <c r="F71" s="65">
        <v>105.0</v>
      </c>
      <c r="G71" s="69"/>
      <c r="H71" s="58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27.75" customHeight="1">
      <c r="A72" s="60">
        <v>6.0</v>
      </c>
      <c r="B72" s="66"/>
      <c r="C72" s="67"/>
      <c r="D72" s="63"/>
      <c r="E72" s="64" t="s">
        <v>200</v>
      </c>
      <c r="F72" s="65" t="s">
        <v>201</v>
      </c>
      <c r="G72" s="69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27.75" customHeight="1">
      <c r="A73" s="60">
        <v>7.0</v>
      </c>
      <c r="B73" s="66"/>
      <c r="C73" s="67"/>
      <c r="D73" s="63"/>
      <c r="E73" s="64" t="s">
        <v>202</v>
      </c>
      <c r="F73" s="69"/>
      <c r="G73" s="69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27.75" customHeight="1">
      <c r="A74" s="60">
        <v>8.0</v>
      </c>
      <c r="B74" s="66"/>
      <c r="C74" s="67"/>
      <c r="D74" s="63"/>
      <c r="E74" s="64" t="s">
        <v>203</v>
      </c>
      <c r="F74" s="69"/>
      <c r="G74" s="68" t="s">
        <v>204</v>
      </c>
      <c r="H74" s="58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27.75" customHeight="1">
      <c r="A75" s="60">
        <v>9.0</v>
      </c>
      <c r="B75" s="66"/>
      <c r="C75" s="67"/>
      <c r="D75" s="63"/>
      <c r="E75" s="64" t="s">
        <v>205</v>
      </c>
      <c r="F75" s="69"/>
      <c r="G75" s="69"/>
      <c r="H75" s="58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27.75" customHeight="1">
      <c r="A76" s="60">
        <v>10.0</v>
      </c>
      <c r="B76" s="66"/>
      <c r="C76" s="67"/>
      <c r="D76" s="63"/>
      <c r="E76" s="64" t="s">
        <v>206</v>
      </c>
      <c r="F76" s="69"/>
      <c r="G76" s="69"/>
      <c r="H76" s="58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27.75" customHeight="1">
      <c r="A77" s="60">
        <v>11.0</v>
      </c>
      <c r="B77" s="66"/>
      <c r="C77" s="67"/>
      <c r="D77" s="63"/>
      <c r="E77" s="64" t="s">
        <v>207</v>
      </c>
      <c r="F77" s="69"/>
      <c r="G77" s="69"/>
      <c r="H77" s="58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27.75" customHeight="1">
      <c r="A78" s="60">
        <v>12.0</v>
      </c>
      <c r="B78" s="66"/>
      <c r="C78" s="67"/>
      <c r="D78" s="63"/>
      <c r="E78" s="64" t="s">
        <v>208</v>
      </c>
      <c r="F78" s="69"/>
      <c r="G78" s="69"/>
      <c r="H78" s="58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27.75" customHeight="1">
      <c r="A79" s="60">
        <v>13.0</v>
      </c>
      <c r="B79" s="66"/>
      <c r="C79" s="67"/>
      <c r="D79" s="63"/>
      <c r="E79" s="64" t="s">
        <v>209</v>
      </c>
      <c r="F79" s="69"/>
      <c r="G79" s="68" t="s">
        <v>210</v>
      </c>
      <c r="H79" s="58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27.75" customHeight="1">
      <c r="A80" s="60">
        <v>14.0</v>
      </c>
      <c r="B80" s="66"/>
      <c r="C80" s="67"/>
      <c r="D80" s="63"/>
      <c r="E80" s="70"/>
      <c r="F80" s="69"/>
      <c r="G80" s="69"/>
      <c r="H80" s="58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27.75" customHeight="1">
      <c r="A81" s="71">
        <v>15.0</v>
      </c>
      <c r="B81" s="72"/>
      <c r="C81" s="73"/>
      <c r="D81" s="63"/>
      <c r="E81" s="70"/>
      <c r="F81" s="69"/>
      <c r="G81" s="69"/>
      <c r="H81" s="58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27.75" customHeight="1">
      <c r="A82" s="74"/>
      <c r="B82" s="75"/>
      <c r="C82" s="76"/>
      <c r="D82" s="76"/>
      <c r="E82" s="81" t="s">
        <v>144</v>
      </c>
      <c r="F82" s="78"/>
      <c r="G82" s="76"/>
      <c r="H82" s="58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27.75" customHeight="1">
      <c r="A83" s="79"/>
      <c r="B83" s="75"/>
      <c r="C83" s="76"/>
      <c r="D83" s="76"/>
      <c r="E83" s="81" t="s">
        <v>145</v>
      </c>
      <c r="F83" s="80">
        <v>-725.0</v>
      </c>
      <c r="G83" s="76"/>
      <c r="H83" s="58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27.75" customHeight="1">
      <c r="A84" s="79"/>
      <c r="B84" s="75"/>
      <c r="C84" s="76"/>
      <c r="D84" s="76"/>
      <c r="E84" s="81" t="s">
        <v>146</v>
      </c>
      <c r="F84" s="78"/>
      <c r="G84" s="76"/>
      <c r="H84" s="58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27.75" customHeight="1">
      <c r="A85" s="79"/>
      <c r="B85" s="75"/>
      <c r="C85" s="76"/>
      <c r="D85" s="76"/>
      <c r="E85" s="81" t="s">
        <v>147</v>
      </c>
      <c r="F85" s="80">
        <v>250.0</v>
      </c>
      <c r="G85" s="76"/>
      <c r="H85" s="58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27.75" customHeight="1">
      <c r="A86" s="79"/>
      <c r="B86" s="75"/>
      <c r="C86" s="76"/>
      <c r="D86" s="76"/>
      <c r="E86" s="81" t="s">
        <v>148</v>
      </c>
      <c r="F86" s="80">
        <v>-555.0</v>
      </c>
      <c r="G86" s="76"/>
      <c r="H86" s="58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27.75" customHeight="1">
      <c r="A87" s="56" t="s">
        <v>4</v>
      </c>
      <c r="B87" s="56" t="s">
        <v>5</v>
      </c>
      <c r="C87" s="56" t="s">
        <v>126</v>
      </c>
      <c r="D87" s="56" t="s">
        <v>6</v>
      </c>
      <c r="E87" s="56" t="s">
        <v>7</v>
      </c>
      <c r="F87" s="56" t="s">
        <v>127</v>
      </c>
      <c r="G87" s="57" t="s">
        <v>128</v>
      </c>
      <c r="H87" s="58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27.75" customHeight="1">
      <c r="A88" s="60">
        <v>1.0</v>
      </c>
      <c r="B88" s="87">
        <v>46086.0</v>
      </c>
      <c r="C88" s="62" t="s">
        <v>211</v>
      </c>
      <c r="D88" s="63" t="s">
        <v>193</v>
      </c>
      <c r="E88" s="64" t="s">
        <v>154</v>
      </c>
      <c r="F88" s="68" t="s">
        <v>212</v>
      </c>
      <c r="G88" s="68" t="s">
        <v>213</v>
      </c>
      <c r="H88" s="58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27.75" customHeight="1">
      <c r="A89" s="60">
        <v>2.0</v>
      </c>
      <c r="B89" s="87">
        <v>46086.0</v>
      </c>
      <c r="C89" s="62" t="s">
        <v>211</v>
      </c>
      <c r="D89" s="63" t="s">
        <v>193</v>
      </c>
      <c r="E89" s="64" t="s">
        <v>214</v>
      </c>
      <c r="F89" s="65"/>
      <c r="G89" s="69"/>
      <c r="H89" s="58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27.75" customHeight="1">
      <c r="A90" s="60">
        <v>3.0</v>
      </c>
      <c r="B90" s="87">
        <v>46086.0</v>
      </c>
      <c r="C90" s="62" t="s">
        <v>211</v>
      </c>
      <c r="D90" s="63" t="s">
        <v>193</v>
      </c>
      <c r="E90" s="64" t="s">
        <v>215</v>
      </c>
      <c r="F90" s="65"/>
      <c r="G90" s="68" t="s">
        <v>154</v>
      </c>
      <c r="H90" s="58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27.75" customHeight="1">
      <c r="A91" s="60">
        <v>4.0</v>
      </c>
      <c r="B91" s="87">
        <v>46086.0</v>
      </c>
      <c r="C91" s="62" t="s">
        <v>211</v>
      </c>
      <c r="D91" s="63" t="s">
        <v>193</v>
      </c>
      <c r="E91" s="64" t="s">
        <v>216</v>
      </c>
      <c r="F91" s="68" t="s">
        <v>154</v>
      </c>
      <c r="G91" s="68" t="s">
        <v>154</v>
      </c>
      <c r="H91" s="58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27.75" customHeight="1">
      <c r="A92" s="60">
        <v>5.0</v>
      </c>
      <c r="B92" s="87">
        <v>46086.0</v>
      </c>
      <c r="C92" s="62" t="s">
        <v>211</v>
      </c>
      <c r="D92" s="63" t="s">
        <v>193</v>
      </c>
      <c r="E92" s="64" t="s">
        <v>217</v>
      </c>
      <c r="F92" s="68" t="s">
        <v>154</v>
      </c>
      <c r="G92" s="68" t="s">
        <v>154</v>
      </c>
      <c r="H92" s="58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27.75" customHeight="1">
      <c r="A93" s="60">
        <v>6.0</v>
      </c>
      <c r="B93" s="87">
        <v>46086.0</v>
      </c>
      <c r="C93" s="62" t="s">
        <v>211</v>
      </c>
      <c r="D93" s="63" t="s">
        <v>193</v>
      </c>
      <c r="E93" s="64" t="s">
        <v>218</v>
      </c>
      <c r="F93" s="68" t="s">
        <v>219</v>
      </c>
      <c r="G93" s="68" t="s">
        <v>220</v>
      </c>
      <c r="H93" s="58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27.75" customHeight="1">
      <c r="A94" s="60">
        <v>7.0</v>
      </c>
      <c r="B94" s="87">
        <v>46086.0</v>
      </c>
      <c r="C94" s="62" t="s">
        <v>211</v>
      </c>
      <c r="D94" s="63" t="s">
        <v>193</v>
      </c>
      <c r="E94" s="64" t="s">
        <v>221</v>
      </c>
      <c r="F94" s="65">
        <v>35.0</v>
      </c>
      <c r="G94" s="69"/>
      <c r="H94" s="58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27.75" customHeight="1">
      <c r="A95" s="60">
        <v>8.0</v>
      </c>
      <c r="B95" s="87">
        <v>46086.0</v>
      </c>
      <c r="C95" s="62" t="s">
        <v>211</v>
      </c>
      <c r="D95" s="63" t="s">
        <v>193</v>
      </c>
      <c r="E95" s="64" t="s">
        <v>222</v>
      </c>
      <c r="F95" s="65">
        <v>-360.0</v>
      </c>
      <c r="G95" s="68"/>
      <c r="H95" s="58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27.75" customHeight="1">
      <c r="A96" s="60">
        <v>9.0</v>
      </c>
      <c r="B96" s="87">
        <v>46086.0</v>
      </c>
      <c r="C96" s="62" t="s">
        <v>211</v>
      </c>
      <c r="D96" s="63" t="s">
        <v>193</v>
      </c>
      <c r="E96" s="64" t="s">
        <v>223</v>
      </c>
      <c r="F96" s="69"/>
      <c r="G96" s="69"/>
      <c r="H96" s="58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27.75" customHeight="1">
      <c r="A97" s="60">
        <v>10.0</v>
      </c>
      <c r="B97" s="87">
        <v>46086.0</v>
      </c>
      <c r="C97" s="62" t="s">
        <v>211</v>
      </c>
      <c r="D97" s="63" t="s">
        <v>193</v>
      </c>
      <c r="E97" s="64" t="s">
        <v>224</v>
      </c>
      <c r="F97" s="69"/>
      <c r="G97" s="69"/>
      <c r="H97" s="58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27.75" customHeight="1">
      <c r="A98" s="60">
        <v>11.0</v>
      </c>
      <c r="B98" s="87">
        <v>46086.0</v>
      </c>
      <c r="C98" s="62" t="s">
        <v>211</v>
      </c>
      <c r="D98" s="63" t="s">
        <v>193</v>
      </c>
      <c r="E98" s="64" t="s">
        <v>225</v>
      </c>
      <c r="F98" s="69"/>
      <c r="G98" s="69"/>
      <c r="H98" s="58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27.75" customHeight="1">
      <c r="A99" s="60">
        <v>12.0</v>
      </c>
      <c r="B99" s="87">
        <v>46086.0</v>
      </c>
      <c r="C99" s="62" t="s">
        <v>211</v>
      </c>
      <c r="D99" s="63" t="s">
        <v>193</v>
      </c>
      <c r="E99" s="64" t="s">
        <v>226</v>
      </c>
      <c r="F99" s="65">
        <v>310.0</v>
      </c>
      <c r="G99" s="68" t="s">
        <v>227</v>
      </c>
      <c r="H99" s="58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27.75" customHeight="1">
      <c r="A100" s="60">
        <v>13.0</v>
      </c>
      <c r="B100" s="87">
        <v>46086.0</v>
      </c>
      <c r="C100" s="62" t="s">
        <v>211</v>
      </c>
      <c r="D100" s="63" t="s">
        <v>193</v>
      </c>
      <c r="E100" s="64" t="s">
        <v>228</v>
      </c>
      <c r="F100" s="65">
        <v>-400.0</v>
      </c>
      <c r="G100" s="68"/>
      <c r="H100" s="58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27.75" customHeight="1">
      <c r="A101" s="60">
        <v>14.0</v>
      </c>
      <c r="B101" s="87">
        <v>46086.0</v>
      </c>
      <c r="C101" s="62" t="s">
        <v>211</v>
      </c>
      <c r="D101" s="63" t="s">
        <v>193</v>
      </c>
      <c r="E101" s="64" t="s">
        <v>229</v>
      </c>
      <c r="F101" s="68" t="s">
        <v>230</v>
      </c>
      <c r="G101" s="69"/>
      <c r="H101" s="58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27.75" customHeight="1">
      <c r="A102" s="71">
        <v>15.0</v>
      </c>
      <c r="B102" s="87">
        <v>46086.0</v>
      </c>
      <c r="C102" s="62" t="s">
        <v>211</v>
      </c>
      <c r="D102" s="63" t="s">
        <v>193</v>
      </c>
      <c r="E102" s="64" t="s">
        <v>231</v>
      </c>
      <c r="F102" s="65" t="s">
        <v>232</v>
      </c>
      <c r="G102" s="69"/>
      <c r="H102" s="58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27.75" customHeight="1">
      <c r="A103" s="88">
        <v>16.0</v>
      </c>
      <c r="B103" s="87">
        <v>46086.0</v>
      </c>
      <c r="C103" s="62" t="s">
        <v>211</v>
      </c>
      <c r="D103" s="63" t="s">
        <v>193</v>
      </c>
      <c r="E103" s="64" t="s">
        <v>233</v>
      </c>
      <c r="F103" s="65">
        <v>35.0</v>
      </c>
      <c r="G103" s="69"/>
      <c r="H103" s="58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27.75" customHeight="1">
      <c r="A104" s="88">
        <v>17.0</v>
      </c>
      <c r="B104" s="87">
        <v>46086.0</v>
      </c>
      <c r="C104" s="62" t="s">
        <v>211</v>
      </c>
      <c r="D104" s="63" t="s">
        <v>193</v>
      </c>
      <c r="E104" s="64" t="s">
        <v>234</v>
      </c>
      <c r="F104" s="65">
        <v>-50.0</v>
      </c>
      <c r="G104" s="69"/>
      <c r="H104" s="58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27.75" customHeight="1">
      <c r="A105" s="88">
        <v>18.0</v>
      </c>
      <c r="B105" s="87">
        <v>46086.0</v>
      </c>
      <c r="C105" s="62" t="s">
        <v>211</v>
      </c>
      <c r="D105" s="63" t="s">
        <v>193</v>
      </c>
      <c r="E105" s="64" t="s">
        <v>235</v>
      </c>
      <c r="F105" s="65">
        <v>35.0</v>
      </c>
      <c r="G105" s="69"/>
      <c r="H105" s="58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27.75" customHeight="1">
      <c r="A106" s="74"/>
      <c r="B106" s="75"/>
      <c r="C106" s="76"/>
      <c r="D106" s="76"/>
      <c r="E106" s="81" t="s">
        <v>144</v>
      </c>
      <c r="F106" s="86" t="s">
        <v>236</v>
      </c>
      <c r="G106" s="76"/>
      <c r="H106" s="58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27.75" customHeight="1">
      <c r="A107" s="79"/>
      <c r="B107" s="75"/>
      <c r="C107" s="76"/>
      <c r="D107" s="76"/>
      <c r="E107" s="81" t="s">
        <v>145</v>
      </c>
      <c r="F107" s="80">
        <f>1400-175+35-360-400+100+2280+35+35-50+35</f>
        <v>2935</v>
      </c>
      <c r="G107" s="76"/>
      <c r="H107" s="58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27.75" customHeight="1">
      <c r="A108" s="79"/>
      <c r="B108" s="75"/>
      <c r="C108" s="76"/>
      <c r="D108" s="76"/>
      <c r="E108" s="81" t="s">
        <v>146</v>
      </c>
      <c r="F108" s="78"/>
      <c r="G108" s="76"/>
      <c r="H108" s="58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27.75" customHeight="1">
      <c r="A109" s="79"/>
      <c r="B109" s="75"/>
      <c r="C109" s="76"/>
      <c r="D109" s="76"/>
      <c r="E109" s="81" t="s">
        <v>147</v>
      </c>
      <c r="F109" s="86" t="s">
        <v>237</v>
      </c>
      <c r="G109" s="76"/>
      <c r="H109" s="58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27.75" customHeight="1">
      <c r="A110" s="79"/>
      <c r="B110" s="75"/>
      <c r="C110" s="76"/>
      <c r="D110" s="76"/>
      <c r="E110" s="81" t="s">
        <v>148</v>
      </c>
      <c r="F110" s="86" t="s">
        <v>238</v>
      </c>
      <c r="G110" s="76"/>
      <c r="H110" s="58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27.75" customHeight="1">
      <c r="A111" s="56" t="s">
        <v>4</v>
      </c>
      <c r="B111" s="56" t="s">
        <v>5</v>
      </c>
      <c r="C111" s="56" t="s">
        <v>126</v>
      </c>
      <c r="D111" s="56" t="s">
        <v>6</v>
      </c>
      <c r="E111" s="56" t="s">
        <v>7</v>
      </c>
      <c r="F111" s="56" t="s">
        <v>127</v>
      </c>
      <c r="G111" s="57" t="s">
        <v>128</v>
      </c>
      <c r="H111" s="58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27.75" customHeight="1">
      <c r="A112" s="60">
        <v>1.0</v>
      </c>
      <c r="B112" s="87">
        <v>46087.0</v>
      </c>
      <c r="C112" s="62" t="s">
        <v>239</v>
      </c>
      <c r="D112" s="63"/>
      <c r="E112" s="63"/>
      <c r="F112" s="68" t="s">
        <v>240</v>
      </c>
      <c r="G112" s="68" t="s">
        <v>241</v>
      </c>
      <c r="H112" s="58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27.75" customHeight="1">
      <c r="A113" s="60">
        <v>2.0</v>
      </c>
      <c r="B113" s="66"/>
      <c r="C113" s="67"/>
      <c r="D113" s="63"/>
      <c r="E113" s="64" t="s">
        <v>242</v>
      </c>
      <c r="F113" s="65">
        <v>35.0</v>
      </c>
      <c r="G113" s="69"/>
      <c r="H113" s="58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27.75" customHeight="1">
      <c r="A114" s="60">
        <v>3.0</v>
      </c>
      <c r="B114" s="66"/>
      <c r="C114" s="67"/>
      <c r="D114" s="63"/>
      <c r="E114" s="64" t="s">
        <v>243</v>
      </c>
      <c r="F114" s="68" t="s">
        <v>244</v>
      </c>
      <c r="G114" s="68" t="s">
        <v>245</v>
      </c>
      <c r="H114" s="58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27.75" customHeight="1">
      <c r="A115" s="60">
        <v>4.0</v>
      </c>
      <c r="B115" s="66"/>
      <c r="C115" s="67"/>
      <c r="D115" s="63"/>
      <c r="E115" s="64" t="s">
        <v>234</v>
      </c>
      <c r="F115" s="65">
        <v>-50.0</v>
      </c>
      <c r="G115" s="68"/>
      <c r="H115" s="58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27.75" customHeight="1">
      <c r="A116" s="60">
        <v>5.0</v>
      </c>
      <c r="B116" s="66"/>
      <c r="C116" s="67"/>
      <c r="D116" s="63"/>
      <c r="E116" s="64" t="s">
        <v>246</v>
      </c>
      <c r="F116" s="65">
        <v>-25.0</v>
      </c>
      <c r="G116" s="69"/>
      <c r="H116" s="58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27.75" customHeight="1">
      <c r="A117" s="60">
        <v>6.0</v>
      </c>
      <c r="B117" s="66"/>
      <c r="C117" s="67"/>
      <c r="D117" s="63"/>
      <c r="E117" s="64"/>
      <c r="F117" s="65"/>
      <c r="G117" s="69"/>
      <c r="H117" s="58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27.75" customHeight="1">
      <c r="A118" s="60">
        <v>7.0</v>
      </c>
      <c r="B118" s="66"/>
      <c r="C118" s="67"/>
      <c r="D118" s="63"/>
      <c r="E118" s="64"/>
      <c r="F118" s="69"/>
      <c r="G118" s="69"/>
      <c r="H118" s="58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27.75" customHeight="1">
      <c r="A119" s="60">
        <v>8.0</v>
      </c>
      <c r="B119" s="66"/>
      <c r="C119" s="67"/>
      <c r="D119" s="63"/>
      <c r="E119" s="64"/>
      <c r="F119" s="69"/>
      <c r="G119" s="68"/>
      <c r="H119" s="58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27.75" customHeight="1">
      <c r="A120" s="60">
        <v>9.0</v>
      </c>
      <c r="B120" s="66"/>
      <c r="C120" s="67"/>
      <c r="D120" s="63"/>
      <c r="E120" s="64"/>
      <c r="F120" s="69"/>
      <c r="G120" s="69"/>
      <c r="H120" s="58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27.75" customHeight="1">
      <c r="A121" s="60">
        <v>10.0</v>
      </c>
      <c r="B121" s="66"/>
      <c r="C121" s="67"/>
      <c r="D121" s="63"/>
      <c r="E121" s="64"/>
      <c r="F121" s="69"/>
      <c r="G121" s="69"/>
      <c r="H121" s="58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27.75" customHeight="1">
      <c r="A122" s="60">
        <v>11.0</v>
      </c>
      <c r="B122" s="66"/>
      <c r="C122" s="67"/>
      <c r="D122" s="63"/>
      <c r="E122" s="64"/>
      <c r="F122" s="69"/>
      <c r="G122" s="69"/>
      <c r="H122" s="58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27.75" customHeight="1">
      <c r="A123" s="60">
        <v>12.0</v>
      </c>
      <c r="B123" s="66"/>
      <c r="C123" s="67"/>
      <c r="D123" s="63"/>
      <c r="E123" s="64"/>
      <c r="F123" s="69"/>
      <c r="G123" s="69"/>
      <c r="H123" s="58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27.75" customHeight="1">
      <c r="A124" s="60">
        <v>13.0</v>
      </c>
      <c r="B124" s="66"/>
      <c r="C124" s="67"/>
      <c r="D124" s="63"/>
      <c r="E124" s="64"/>
      <c r="F124" s="69"/>
      <c r="G124" s="68"/>
      <c r="H124" s="58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27.75" customHeight="1">
      <c r="A125" s="60">
        <v>14.0</v>
      </c>
      <c r="B125" s="66"/>
      <c r="C125" s="67"/>
      <c r="D125" s="63"/>
      <c r="E125" s="70"/>
      <c r="F125" s="69"/>
      <c r="G125" s="69"/>
      <c r="H125" s="58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27.75" customHeight="1">
      <c r="A126" s="71">
        <v>15.0</v>
      </c>
      <c r="B126" s="72"/>
      <c r="C126" s="73"/>
      <c r="D126" s="63"/>
      <c r="E126" s="70"/>
      <c r="F126" s="69"/>
      <c r="G126" s="69"/>
      <c r="H126" s="58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27.75" customHeight="1">
      <c r="A127" s="74"/>
      <c r="B127" s="75"/>
      <c r="C127" s="76"/>
      <c r="D127" s="76"/>
      <c r="E127" s="81" t="s">
        <v>144</v>
      </c>
      <c r="F127" s="78"/>
      <c r="G127" s="76"/>
      <c r="H127" s="58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27.75" customHeight="1">
      <c r="A128" s="79"/>
      <c r="B128" s="75"/>
      <c r="C128" s="76"/>
      <c r="D128" s="76"/>
      <c r="E128" s="81" t="s">
        <v>145</v>
      </c>
      <c r="F128" s="80">
        <v>15.0</v>
      </c>
      <c r="G128" s="76"/>
      <c r="H128" s="58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27.75" customHeight="1">
      <c r="A129" s="79"/>
      <c r="B129" s="75"/>
      <c r="C129" s="76"/>
      <c r="D129" s="76"/>
      <c r="E129" s="81" t="s">
        <v>146</v>
      </c>
      <c r="F129" s="78"/>
      <c r="G129" s="76"/>
      <c r="H129" s="58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27.75" customHeight="1">
      <c r="A130" s="79"/>
      <c r="B130" s="75"/>
      <c r="C130" s="76"/>
      <c r="D130" s="76"/>
      <c r="E130" s="81" t="s">
        <v>147</v>
      </c>
      <c r="F130" s="80">
        <v>100.0</v>
      </c>
      <c r="G130" s="76"/>
      <c r="H130" s="58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27.75" customHeight="1">
      <c r="A131" s="79"/>
      <c r="B131" s="75"/>
      <c r="C131" s="76"/>
      <c r="D131" s="76"/>
      <c r="E131" s="81" t="s">
        <v>148</v>
      </c>
      <c r="F131" s="86" t="s">
        <v>247</v>
      </c>
      <c r="G131" s="76"/>
      <c r="H131" s="58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27.75" customHeight="1">
      <c r="A132" s="56" t="s">
        <v>4</v>
      </c>
      <c r="B132" s="56" t="s">
        <v>5</v>
      </c>
      <c r="C132" s="56" t="s">
        <v>126</v>
      </c>
      <c r="D132" s="56" t="s">
        <v>6</v>
      </c>
      <c r="E132" s="56" t="s">
        <v>7</v>
      </c>
      <c r="F132" s="56" t="s">
        <v>127</v>
      </c>
      <c r="G132" s="57" t="s">
        <v>128</v>
      </c>
      <c r="H132" s="58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27.75" customHeight="1">
      <c r="A133" s="60">
        <v>1.0</v>
      </c>
      <c r="B133" s="87">
        <v>46088.0</v>
      </c>
      <c r="C133" s="62" t="s">
        <v>248</v>
      </c>
      <c r="D133" s="63" t="s">
        <v>193</v>
      </c>
      <c r="E133" s="64"/>
      <c r="F133" s="68" t="s">
        <v>249</v>
      </c>
      <c r="G133" s="69"/>
      <c r="H133" s="58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27.75" customHeight="1">
      <c r="A134" s="60">
        <v>2.0</v>
      </c>
      <c r="B134" s="66"/>
      <c r="C134" s="67"/>
      <c r="D134" s="63"/>
      <c r="E134" s="64" t="s">
        <v>250</v>
      </c>
      <c r="F134" s="65">
        <v>-105.0</v>
      </c>
      <c r="G134" s="69"/>
      <c r="H134" s="58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27.75" customHeight="1">
      <c r="A135" s="60">
        <v>3.0</v>
      </c>
      <c r="B135" s="66"/>
      <c r="C135" s="67"/>
      <c r="D135" s="63"/>
      <c r="E135" s="64" t="s">
        <v>251</v>
      </c>
      <c r="F135" s="65">
        <v>30.0</v>
      </c>
      <c r="G135" s="69"/>
      <c r="H135" s="58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27.75" customHeight="1">
      <c r="A136" s="60">
        <v>4.0</v>
      </c>
      <c r="B136" s="66"/>
      <c r="C136" s="67"/>
      <c r="D136" s="63"/>
      <c r="E136" s="64" t="s">
        <v>252</v>
      </c>
      <c r="F136" s="65">
        <v>35.0</v>
      </c>
      <c r="G136" s="68"/>
      <c r="H136" s="58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27.75" customHeight="1">
      <c r="A137" s="60">
        <v>5.0</v>
      </c>
      <c r="B137" s="66"/>
      <c r="C137" s="67"/>
      <c r="D137" s="63"/>
      <c r="E137" s="64" t="s">
        <v>234</v>
      </c>
      <c r="F137" s="65">
        <v>-50.0</v>
      </c>
      <c r="G137" s="69"/>
      <c r="H137" s="58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27.75" customHeight="1">
      <c r="A138" s="60">
        <v>6.0</v>
      </c>
      <c r="B138" s="66"/>
      <c r="C138" s="67"/>
      <c r="D138" s="63"/>
      <c r="E138" s="64"/>
      <c r="F138" s="65"/>
      <c r="G138" s="69"/>
      <c r="H138" s="58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27.75" customHeight="1">
      <c r="A139" s="60">
        <v>7.0</v>
      </c>
      <c r="B139" s="66"/>
      <c r="C139" s="67"/>
      <c r="D139" s="63"/>
      <c r="E139" s="64"/>
      <c r="F139" s="69"/>
      <c r="G139" s="69"/>
      <c r="H139" s="58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27.75" customHeight="1">
      <c r="A140" s="60">
        <v>8.0</v>
      </c>
      <c r="B140" s="66"/>
      <c r="C140" s="67"/>
      <c r="D140" s="63"/>
      <c r="E140" s="64"/>
      <c r="F140" s="69"/>
      <c r="G140" s="68"/>
      <c r="H140" s="58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27.75" customHeight="1">
      <c r="A141" s="60">
        <v>9.0</v>
      </c>
      <c r="B141" s="66"/>
      <c r="C141" s="67"/>
      <c r="D141" s="63"/>
      <c r="E141" s="64"/>
      <c r="F141" s="69"/>
      <c r="G141" s="69"/>
      <c r="H141" s="58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27.75" customHeight="1">
      <c r="A142" s="60">
        <v>10.0</v>
      </c>
      <c r="B142" s="66"/>
      <c r="C142" s="67"/>
      <c r="D142" s="63"/>
      <c r="E142" s="64"/>
      <c r="F142" s="69"/>
      <c r="G142" s="69"/>
      <c r="H142" s="58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27.75" customHeight="1">
      <c r="A143" s="60">
        <v>11.0</v>
      </c>
      <c r="B143" s="66"/>
      <c r="C143" s="67"/>
      <c r="D143" s="63"/>
      <c r="E143" s="64"/>
      <c r="F143" s="69"/>
      <c r="G143" s="69"/>
      <c r="H143" s="58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27.75" customHeight="1">
      <c r="A144" s="60">
        <v>12.0</v>
      </c>
      <c r="B144" s="66"/>
      <c r="C144" s="67"/>
      <c r="D144" s="63"/>
      <c r="E144" s="64"/>
      <c r="F144" s="69"/>
      <c r="G144" s="69"/>
      <c r="H144" s="58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27.75" customHeight="1">
      <c r="A145" s="60">
        <v>13.0</v>
      </c>
      <c r="B145" s="66"/>
      <c r="C145" s="67"/>
      <c r="D145" s="63"/>
      <c r="E145" s="64"/>
      <c r="F145" s="69"/>
      <c r="G145" s="68"/>
      <c r="H145" s="58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27.75" customHeight="1">
      <c r="A146" s="60">
        <v>14.0</v>
      </c>
      <c r="B146" s="66"/>
      <c r="C146" s="67"/>
      <c r="D146" s="63"/>
      <c r="E146" s="70"/>
      <c r="F146" s="69"/>
      <c r="G146" s="69"/>
      <c r="H146" s="58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27.75" customHeight="1">
      <c r="A147" s="71">
        <v>15.0</v>
      </c>
      <c r="B147" s="72"/>
      <c r="C147" s="73"/>
      <c r="D147" s="63"/>
      <c r="E147" s="70"/>
      <c r="F147" s="69"/>
      <c r="G147" s="69"/>
      <c r="H147" s="58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27.75" customHeight="1">
      <c r="A148" s="74"/>
      <c r="B148" s="75"/>
      <c r="C148" s="76"/>
      <c r="D148" s="76"/>
      <c r="E148" s="81" t="s">
        <v>144</v>
      </c>
      <c r="F148" s="80"/>
      <c r="G148" s="76"/>
      <c r="H148" s="58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27.75" customHeight="1">
      <c r="A149" s="79"/>
      <c r="B149" s="75"/>
      <c r="C149" s="76"/>
      <c r="D149" s="76"/>
      <c r="E149" s="81" t="s">
        <v>145</v>
      </c>
      <c r="F149" s="80">
        <v>10.0</v>
      </c>
      <c r="G149" s="76"/>
      <c r="H149" s="58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27.75" customHeight="1">
      <c r="A150" s="79"/>
      <c r="B150" s="75"/>
      <c r="C150" s="76"/>
      <c r="D150" s="76"/>
      <c r="E150" s="81" t="s">
        <v>146</v>
      </c>
      <c r="F150" s="78"/>
      <c r="G150" s="76"/>
      <c r="H150" s="58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27.75" customHeight="1">
      <c r="A151" s="79"/>
      <c r="B151" s="75"/>
      <c r="C151" s="76"/>
      <c r="D151" s="76"/>
      <c r="E151" s="81" t="s">
        <v>147</v>
      </c>
      <c r="F151" s="80"/>
      <c r="G151" s="76"/>
      <c r="H151" s="58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27.75" customHeight="1">
      <c r="A152" s="79"/>
      <c r="B152" s="75"/>
      <c r="C152" s="76"/>
      <c r="D152" s="76"/>
      <c r="E152" s="81" t="s">
        <v>148</v>
      </c>
      <c r="F152" s="80">
        <v>-250.0</v>
      </c>
      <c r="G152" s="76"/>
      <c r="H152" s="58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27.75" customHeight="1">
      <c r="A153" s="59"/>
      <c r="B153" s="59"/>
      <c r="C153" s="59"/>
      <c r="D153" s="59"/>
      <c r="E153" s="59"/>
      <c r="F153" s="59"/>
      <c r="G153" s="59"/>
      <c r="H153" s="58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27.75" customHeight="1">
      <c r="A154" s="56" t="s">
        <v>4</v>
      </c>
      <c r="B154" s="56" t="s">
        <v>5</v>
      </c>
      <c r="C154" s="56" t="s">
        <v>126</v>
      </c>
      <c r="D154" s="56" t="s">
        <v>6</v>
      </c>
      <c r="E154" s="56" t="s">
        <v>7</v>
      </c>
      <c r="F154" s="56" t="s">
        <v>127</v>
      </c>
      <c r="G154" s="57" t="s">
        <v>128</v>
      </c>
      <c r="H154" s="58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27.75" customHeight="1">
      <c r="A155" s="60">
        <v>1.0</v>
      </c>
      <c r="B155" s="61">
        <v>46089.0</v>
      </c>
      <c r="C155" s="62" t="s">
        <v>129</v>
      </c>
      <c r="D155" s="63" t="s">
        <v>193</v>
      </c>
      <c r="E155" s="64" t="s">
        <v>154</v>
      </c>
      <c r="F155" s="68" t="s">
        <v>253</v>
      </c>
      <c r="G155" s="69"/>
      <c r="H155" s="58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27.75" customHeight="1">
      <c r="A156" s="60">
        <v>2.0</v>
      </c>
      <c r="B156" s="66"/>
      <c r="C156" s="67"/>
      <c r="D156" s="63"/>
      <c r="E156" s="64" t="s">
        <v>254</v>
      </c>
      <c r="F156" s="65"/>
      <c r="G156" s="69"/>
      <c r="H156" s="58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27.75" customHeight="1">
      <c r="A157" s="60">
        <v>3.0</v>
      </c>
      <c r="B157" s="66"/>
      <c r="C157" s="67"/>
      <c r="D157" s="63"/>
      <c r="E157" s="64" t="s">
        <v>255</v>
      </c>
      <c r="F157" s="68"/>
      <c r="G157" s="69"/>
      <c r="H157" s="58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27.75" customHeight="1">
      <c r="A158" s="60">
        <v>4.0</v>
      </c>
      <c r="B158" s="66"/>
      <c r="C158" s="67"/>
      <c r="D158" s="63"/>
      <c r="E158" s="64" t="s">
        <v>256</v>
      </c>
      <c r="F158" s="65">
        <v>35.0</v>
      </c>
      <c r="G158" s="68"/>
      <c r="H158" s="58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27.75" customHeight="1">
      <c r="A159" s="60">
        <v>5.0</v>
      </c>
      <c r="B159" s="66"/>
      <c r="C159" s="67"/>
      <c r="D159" s="63"/>
      <c r="E159" s="64" t="s">
        <v>257</v>
      </c>
      <c r="F159" s="65" t="s">
        <v>258</v>
      </c>
      <c r="G159" s="69"/>
      <c r="H159" s="58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27.75" customHeight="1">
      <c r="A160" s="60">
        <v>6.0</v>
      </c>
      <c r="B160" s="66"/>
      <c r="C160" s="67"/>
      <c r="D160" s="63"/>
      <c r="E160" s="64" t="s">
        <v>259</v>
      </c>
      <c r="F160" s="65"/>
      <c r="G160" s="69"/>
      <c r="H160" s="58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27.75" customHeight="1">
      <c r="A161" s="60">
        <v>7.0</v>
      </c>
      <c r="B161" s="66"/>
      <c r="C161" s="67"/>
      <c r="D161" s="63"/>
      <c r="E161" s="64"/>
      <c r="F161" s="65"/>
      <c r="G161" s="69"/>
      <c r="H161" s="58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27.75" customHeight="1">
      <c r="A162" s="60">
        <v>8.0</v>
      </c>
      <c r="B162" s="66"/>
      <c r="C162" s="62"/>
      <c r="D162" s="63"/>
      <c r="E162" s="64"/>
      <c r="F162" s="65"/>
      <c r="G162" s="69"/>
      <c r="H162" s="58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27.75" customHeight="1">
      <c r="A163" s="60">
        <v>9.0</v>
      </c>
      <c r="B163" s="66"/>
      <c r="C163" s="67"/>
      <c r="D163" s="63"/>
      <c r="E163" s="64"/>
      <c r="F163" s="65"/>
      <c r="G163" s="69"/>
      <c r="H163" s="58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27.75" customHeight="1">
      <c r="A164" s="60">
        <v>10.0</v>
      </c>
      <c r="B164" s="66"/>
      <c r="C164" s="67"/>
      <c r="D164" s="63"/>
      <c r="E164" s="64"/>
      <c r="F164" s="65"/>
      <c r="G164" s="69"/>
      <c r="H164" s="58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27.75" customHeight="1">
      <c r="A165" s="60">
        <v>11.0</v>
      </c>
      <c r="B165" s="66"/>
      <c r="C165" s="67"/>
      <c r="D165" s="63"/>
      <c r="E165" s="64"/>
      <c r="F165" s="65"/>
      <c r="G165" s="69"/>
      <c r="H165" s="58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27.75" customHeight="1">
      <c r="A166" s="60">
        <v>12.0</v>
      </c>
      <c r="B166" s="66"/>
      <c r="C166" s="67"/>
      <c r="D166" s="63"/>
      <c r="E166" s="64"/>
      <c r="F166" s="69"/>
      <c r="G166" s="68"/>
      <c r="H166" s="58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27.75" customHeight="1">
      <c r="A167" s="60">
        <v>13.0</v>
      </c>
      <c r="B167" s="66"/>
      <c r="C167" s="67"/>
      <c r="D167" s="63"/>
      <c r="E167" s="64"/>
      <c r="G167" s="69"/>
      <c r="H167" s="58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27.75" customHeight="1">
      <c r="A168" s="60">
        <v>14.0</v>
      </c>
      <c r="B168" s="66"/>
      <c r="C168" s="67"/>
      <c r="D168" s="63"/>
      <c r="E168" s="64"/>
      <c r="F168" s="65"/>
      <c r="G168" s="69"/>
      <c r="H168" s="58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27.75" customHeight="1">
      <c r="A169" s="71">
        <v>15.0</v>
      </c>
      <c r="B169" s="72"/>
      <c r="C169" s="73"/>
      <c r="D169" s="63"/>
      <c r="E169" s="70"/>
      <c r="F169" s="69"/>
      <c r="G169" s="69"/>
      <c r="H169" s="58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27.75" customHeight="1">
      <c r="A170" s="74"/>
      <c r="B170" s="75"/>
      <c r="C170" s="76"/>
      <c r="D170" s="76"/>
      <c r="E170" s="81" t="s">
        <v>144</v>
      </c>
      <c r="F170" s="78"/>
      <c r="G170" s="76"/>
      <c r="H170" s="58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27.75" customHeight="1">
      <c r="A171" s="79"/>
      <c r="B171" s="75"/>
      <c r="C171" s="76"/>
      <c r="D171" s="76"/>
      <c r="E171" s="81" t="s">
        <v>145</v>
      </c>
      <c r="F171" s="80">
        <v>1425.0</v>
      </c>
      <c r="G171" s="76"/>
      <c r="H171" s="58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27.75" customHeight="1">
      <c r="A172" s="79"/>
      <c r="B172" s="75"/>
      <c r="C172" s="76"/>
      <c r="D172" s="76"/>
      <c r="E172" s="81" t="s">
        <v>146</v>
      </c>
      <c r="F172" s="80"/>
      <c r="G172" s="76"/>
      <c r="H172" s="58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27.75" customHeight="1">
      <c r="A173" s="79"/>
      <c r="B173" s="75"/>
      <c r="C173" s="76"/>
      <c r="D173" s="76"/>
      <c r="E173" s="81" t="s">
        <v>147</v>
      </c>
      <c r="F173" s="80">
        <v>-250.0</v>
      </c>
      <c r="G173" s="76"/>
      <c r="H173" s="58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27.75" customHeight="1">
      <c r="A174" s="79"/>
      <c r="B174" s="75"/>
      <c r="C174" s="76"/>
      <c r="D174" s="76"/>
      <c r="E174" s="81" t="s">
        <v>148</v>
      </c>
      <c r="F174" s="80">
        <v>990.0</v>
      </c>
      <c r="G174" s="76"/>
      <c r="H174" s="58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27.75" customHeight="1">
      <c r="A175" s="59"/>
      <c r="B175" s="59"/>
      <c r="C175" s="59"/>
      <c r="D175" s="59"/>
      <c r="E175" s="59"/>
      <c r="F175" s="59"/>
      <c r="G175" s="59"/>
      <c r="H175" s="58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27.75" customHeight="1">
      <c r="A176" s="89"/>
      <c r="B176" s="90"/>
      <c r="C176" s="90"/>
      <c r="D176" s="90"/>
      <c r="E176" s="90"/>
      <c r="F176" s="90"/>
      <c r="G176" s="91" t="s">
        <v>260</v>
      </c>
      <c r="H176" s="58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27.75" customHeight="1">
      <c r="A177" s="56" t="s">
        <v>4</v>
      </c>
      <c r="B177" s="56" t="s">
        <v>5</v>
      </c>
      <c r="C177" s="56" t="s">
        <v>126</v>
      </c>
      <c r="D177" s="56" t="s">
        <v>6</v>
      </c>
      <c r="E177" s="56" t="s">
        <v>7</v>
      </c>
      <c r="F177" s="56" t="s">
        <v>127</v>
      </c>
      <c r="G177" s="57" t="s">
        <v>128</v>
      </c>
      <c r="H177" s="58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27.75" customHeight="1">
      <c r="A178" s="60">
        <v>1.0</v>
      </c>
      <c r="B178" s="61">
        <v>46090.0</v>
      </c>
      <c r="C178" s="62" t="s">
        <v>261</v>
      </c>
      <c r="D178" s="63"/>
      <c r="E178" s="64" t="s">
        <v>262</v>
      </c>
      <c r="F178" s="65">
        <v>35.0</v>
      </c>
      <c r="G178" s="69"/>
      <c r="H178" s="58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27.75" customHeight="1">
      <c r="A179" s="60">
        <v>2.0</v>
      </c>
      <c r="B179" s="66"/>
      <c r="C179" s="67"/>
      <c r="D179" s="63"/>
      <c r="E179" s="64" t="s">
        <v>263</v>
      </c>
      <c r="F179" s="68" t="s">
        <v>264</v>
      </c>
      <c r="G179" s="69"/>
      <c r="H179" s="58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27.75" customHeight="1">
      <c r="A180" s="60">
        <v>3.0</v>
      </c>
      <c r="B180" s="66"/>
      <c r="C180" s="67"/>
      <c r="D180" s="63"/>
      <c r="E180" s="64" t="s">
        <v>265</v>
      </c>
      <c r="F180" s="65" t="s">
        <v>266</v>
      </c>
      <c r="G180" s="68" t="s">
        <v>267</v>
      </c>
      <c r="H180" s="58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27.75" customHeight="1">
      <c r="A181" s="60">
        <v>4.0</v>
      </c>
      <c r="B181" s="66"/>
      <c r="C181" s="67"/>
      <c r="D181" s="63"/>
      <c r="E181" s="64" t="s">
        <v>268</v>
      </c>
      <c r="F181" s="68" t="s">
        <v>269</v>
      </c>
      <c r="G181" s="68" t="s">
        <v>270</v>
      </c>
      <c r="H181" s="58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27.75" customHeight="1">
      <c r="A182" s="60">
        <v>5.0</v>
      </c>
      <c r="B182" s="66"/>
      <c r="C182" s="67"/>
      <c r="D182" s="63"/>
      <c r="E182" s="64" t="s">
        <v>235</v>
      </c>
      <c r="F182" s="65">
        <v>40.0</v>
      </c>
      <c r="G182" s="69"/>
      <c r="H182" s="58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27.75" customHeight="1">
      <c r="A183" s="60">
        <v>6.0</v>
      </c>
      <c r="B183" s="66"/>
      <c r="C183" s="67"/>
      <c r="D183" s="63"/>
      <c r="E183" s="64" t="s">
        <v>271</v>
      </c>
      <c r="F183" s="65">
        <v>35.0</v>
      </c>
      <c r="G183" s="69"/>
      <c r="H183" s="58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27.75" customHeight="1">
      <c r="A184" s="60">
        <v>7.0</v>
      </c>
      <c r="B184" s="66"/>
      <c r="C184" s="67"/>
      <c r="D184" s="63"/>
      <c r="E184" s="64" t="s">
        <v>272</v>
      </c>
      <c r="F184" s="65">
        <v>40.0</v>
      </c>
      <c r="G184" s="69"/>
      <c r="H184" s="58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27.75" customHeight="1">
      <c r="A185" s="60">
        <v>8.0</v>
      </c>
      <c r="B185" s="66"/>
      <c r="C185" s="62"/>
      <c r="D185" s="63"/>
      <c r="E185" s="64"/>
      <c r="F185" s="68" t="s">
        <v>208</v>
      </c>
      <c r="G185" s="69"/>
      <c r="H185" s="58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27.75" customHeight="1">
      <c r="A186" s="60">
        <v>9.0</v>
      </c>
      <c r="B186" s="66"/>
      <c r="C186" s="67"/>
      <c r="D186" s="63"/>
      <c r="E186" s="64"/>
      <c r="F186" s="65"/>
      <c r="G186" s="69"/>
      <c r="H186" s="58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27.75" customHeight="1">
      <c r="A187" s="60">
        <v>10.0</v>
      </c>
      <c r="B187" s="66"/>
      <c r="C187" s="67"/>
      <c r="D187" s="63"/>
      <c r="E187" s="64"/>
      <c r="F187" s="65"/>
      <c r="G187" s="69"/>
      <c r="H187" s="58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27.75" customHeight="1">
      <c r="A188" s="60">
        <v>11.0</v>
      </c>
      <c r="B188" s="66"/>
      <c r="C188" s="67"/>
      <c r="D188" s="63"/>
      <c r="E188" s="64"/>
      <c r="F188" s="65"/>
      <c r="G188" s="69"/>
      <c r="H188" s="58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27.75" customHeight="1">
      <c r="A189" s="60">
        <v>12.0</v>
      </c>
      <c r="B189" s="66"/>
      <c r="C189" s="67"/>
      <c r="D189" s="63"/>
      <c r="E189" s="64"/>
      <c r="F189" s="69"/>
      <c r="G189" s="68"/>
      <c r="H189" s="58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27.75" customHeight="1">
      <c r="A190" s="60">
        <v>13.0</v>
      </c>
      <c r="B190" s="66"/>
      <c r="C190" s="67"/>
      <c r="D190" s="63"/>
      <c r="E190" s="64"/>
      <c r="G190" s="69"/>
      <c r="H190" s="58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27.75" customHeight="1">
      <c r="A191" s="60">
        <v>14.0</v>
      </c>
      <c r="B191" s="66"/>
      <c r="C191" s="67"/>
      <c r="D191" s="63"/>
      <c r="E191" s="64"/>
      <c r="F191" s="65"/>
      <c r="G191" s="69"/>
      <c r="H191" s="58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27.75" customHeight="1">
      <c r="A192" s="71">
        <v>15.0</v>
      </c>
      <c r="B192" s="72"/>
      <c r="C192" s="73"/>
      <c r="D192" s="63"/>
      <c r="E192" s="70"/>
      <c r="F192" s="69"/>
      <c r="G192" s="69"/>
      <c r="H192" s="58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27.75" customHeight="1">
      <c r="A193" s="74"/>
      <c r="B193" s="75"/>
      <c r="C193" s="76"/>
      <c r="D193" s="76"/>
      <c r="E193" s="81" t="s">
        <v>144</v>
      </c>
      <c r="F193" s="78"/>
      <c r="G193" s="76"/>
      <c r="H193" s="58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27.75" customHeight="1">
      <c r="A194" s="79"/>
      <c r="B194" s="75"/>
      <c r="C194" s="76"/>
      <c r="D194" s="76"/>
      <c r="E194" s="81" t="s">
        <v>145</v>
      </c>
      <c r="F194" s="80">
        <v>785.0</v>
      </c>
      <c r="G194" s="76"/>
      <c r="H194" s="58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27.75" customHeight="1">
      <c r="A195" s="79"/>
      <c r="B195" s="75"/>
      <c r="C195" s="76"/>
      <c r="D195" s="76"/>
      <c r="E195" s="81" t="s">
        <v>146</v>
      </c>
      <c r="F195" s="80"/>
      <c r="G195" s="76"/>
      <c r="H195" s="58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27.75" customHeight="1">
      <c r="A196" s="79"/>
      <c r="B196" s="75"/>
      <c r="C196" s="76"/>
      <c r="D196" s="76"/>
      <c r="E196" s="81" t="s">
        <v>147</v>
      </c>
      <c r="F196" s="80">
        <v>200.0</v>
      </c>
      <c r="G196" s="76"/>
      <c r="H196" s="58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27.75" customHeight="1">
      <c r="A197" s="79"/>
      <c r="B197" s="75"/>
      <c r="C197" s="76"/>
      <c r="D197" s="76"/>
      <c r="E197" s="81" t="s">
        <v>148</v>
      </c>
      <c r="F197" s="80">
        <f>F194-F196</f>
        <v>585</v>
      </c>
      <c r="G197" s="76"/>
      <c r="H197" s="58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27.75" customHeight="1">
      <c r="A198" s="92"/>
      <c r="B198" s="93"/>
      <c r="C198" s="94"/>
      <c r="D198" s="94"/>
      <c r="E198" s="95"/>
      <c r="F198" s="96"/>
      <c r="G198" s="97" t="s">
        <v>273</v>
      </c>
      <c r="H198" s="58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27.75" customHeight="1">
      <c r="A199" s="56" t="s">
        <v>4</v>
      </c>
      <c r="B199" s="56" t="s">
        <v>5</v>
      </c>
      <c r="C199" s="56" t="s">
        <v>126</v>
      </c>
      <c r="D199" s="56" t="s">
        <v>6</v>
      </c>
      <c r="E199" s="56" t="s">
        <v>7</v>
      </c>
      <c r="F199" s="56" t="s">
        <v>127</v>
      </c>
      <c r="G199" s="57" t="s">
        <v>128</v>
      </c>
      <c r="H199" s="58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27.75" customHeight="1">
      <c r="A200" s="60">
        <v>1.0</v>
      </c>
      <c r="B200" s="61">
        <v>46091.0</v>
      </c>
      <c r="C200" s="62" t="s">
        <v>169</v>
      </c>
      <c r="D200" s="63"/>
      <c r="E200" s="64" t="s">
        <v>274</v>
      </c>
      <c r="F200" s="65" t="s">
        <v>275</v>
      </c>
      <c r="G200" s="68" t="s">
        <v>276</v>
      </c>
      <c r="H200" s="58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27.75" customHeight="1">
      <c r="A201" s="60">
        <v>2.0</v>
      </c>
      <c r="B201" s="66"/>
      <c r="C201" s="67"/>
      <c r="D201" s="63"/>
      <c r="E201" s="64" t="s">
        <v>277</v>
      </c>
      <c r="F201" s="68" t="s">
        <v>278</v>
      </c>
      <c r="G201" s="68" t="s">
        <v>279</v>
      </c>
      <c r="H201" s="58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27.75" customHeight="1">
      <c r="A202" s="60">
        <v>3.0</v>
      </c>
      <c r="B202" s="66"/>
      <c r="C202" s="67"/>
      <c r="D202" s="63"/>
      <c r="E202" s="64" t="s">
        <v>280</v>
      </c>
      <c r="F202" s="65">
        <v>-160.0</v>
      </c>
      <c r="G202" s="68" t="s">
        <v>279</v>
      </c>
      <c r="H202" s="58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27.75" customHeight="1">
      <c r="A203" s="60">
        <v>4.0</v>
      </c>
      <c r="B203" s="66"/>
      <c r="C203" s="67"/>
      <c r="D203" s="63"/>
      <c r="E203" s="64" t="s">
        <v>281</v>
      </c>
      <c r="F203" s="65"/>
      <c r="G203" s="68" t="s">
        <v>279</v>
      </c>
      <c r="H203" s="58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27.75" customHeight="1">
      <c r="A204" s="60">
        <v>5.0</v>
      </c>
      <c r="B204" s="66"/>
      <c r="C204" s="67"/>
      <c r="D204" s="63"/>
      <c r="E204" s="64" t="s">
        <v>282</v>
      </c>
      <c r="F204" s="65">
        <v>35.0</v>
      </c>
      <c r="G204" s="69"/>
      <c r="H204" s="58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27.75" customHeight="1">
      <c r="A205" s="60">
        <v>6.0</v>
      </c>
      <c r="B205" s="66"/>
      <c r="C205" s="67"/>
      <c r="D205" s="63"/>
      <c r="E205" s="64" t="s">
        <v>283</v>
      </c>
      <c r="F205" s="65"/>
      <c r="G205" s="68" t="s">
        <v>279</v>
      </c>
      <c r="H205" s="58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27.75" customHeight="1">
      <c r="A206" s="60">
        <v>7.0</v>
      </c>
      <c r="B206" s="66"/>
      <c r="C206" s="67"/>
      <c r="D206" s="63"/>
      <c r="E206" s="64" t="s">
        <v>284</v>
      </c>
      <c r="F206" s="65"/>
      <c r="G206" s="68" t="s">
        <v>140</v>
      </c>
      <c r="H206" s="58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27.75" customHeight="1">
      <c r="A207" s="60"/>
      <c r="B207" s="66"/>
      <c r="C207" s="62"/>
      <c r="D207" s="63"/>
      <c r="E207" s="64" t="s">
        <v>60</v>
      </c>
      <c r="F207" s="65">
        <v>100.0</v>
      </c>
      <c r="G207" s="69"/>
      <c r="H207" s="58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27.75" customHeight="1">
      <c r="A208" s="60">
        <v>8.0</v>
      </c>
      <c r="B208" s="66"/>
      <c r="C208" s="62"/>
      <c r="D208" s="63"/>
      <c r="E208" s="64" t="s">
        <v>285</v>
      </c>
      <c r="F208" s="68" t="s">
        <v>286</v>
      </c>
      <c r="G208" s="69"/>
      <c r="H208" s="58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27.75" customHeight="1">
      <c r="A209" s="60">
        <v>9.0</v>
      </c>
      <c r="B209" s="66"/>
      <c r="C209" s="67"/>
      <c r="D209" s="63"/>
      <c r="E209" s="64" t="s">
        <v>287</v>
      </c>
      <c r="F209" s="65"/>
      <c r="G209" s="68" t="s">
        <v>82</v>
      </c>
      <c r="H209" s="58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27.75" customHeight="1">
      <c r="A210" s="60">
        <v>10.0</v>
      </c>
      <c r="B210" s="66"/>
      <c r="C210" s="67"/>
      <c r="D210" s="63"/>
      <c r="E210" s="64" t="s">
        <v>288</v>
      </c>
      <c r="F210" s="65">
        <v>-330.0</v>
      </c>
      <c r="G210" s="69"/>
      <c r="H210" s="58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27.75" customHeight="1">
      <c r="A211" s="60">
        <v>11.0</v>
      </c>
      <c r="B211" s="66"/>
      <c r="C211" s="67"/>
      <c r="D211" s="63"/>
      <c r="E211" s="64" t="s">
        <v>289</v>
      </c>
      <c r="F211" s="65" t="s">
        <v>290</v>
      </c>
      <c r="G211" s="69"/>
      <c r="H211" s="58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27.75" customHeight="1">
      <c r="A212" s="60">
        <v>12.0</v>
      </c>
      <c r="B212" s="66"/>
      <c r="C212" s="67"/>
      <c r="D212" s="63"/>
      <c r="E212" s="64" t="s">
        <v>291</v>
      </c>
      <c r="F212" s="65">
        <v>70.0</v>
      </c>
      <c r="G212" s="68"/>
      <c r="H212" s="58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27.75" customHeight="1">
      <c r="A213" s="60">
        <v>13.0</v>
      </c>
      <c r="B213" s="66"/>
      <c r="C213" s="67"/>
      <c r="D213" s="63"/>
      <c r="E213" s="64" t="s">
        <v>292</v>
      </c>
      <c r="F213" s="98">
        <v>4000.0</v>
      </c>
      <c r="G213" s="69"/>
      <c r="H213" s="58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27.75" customHeight="1">
      <c r="A214" s="60">
        <v>14.0</v>
      </c>
      <c r="B214" s="66"/>
      <c r="C214" s="67"/>
      <c r="D214" s="63"/>
      <c r="E214" s="64" t="s">
        <v>293</v>
      </c>
      <c r="F214" s="65" t="s">
        <v>294</v>
      </c>
      <c r="G214" s="69"/>
      <c r="H214" s="58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27.75" customHeight="1">
      <c r="A215" s="71">
        <v>15.0</v>
      </c>
      <c r="B215" s="72"/>
      <c r="C215" s="73"/>
      <c r="D215" s="63"/>
      <c r="E215" s="64" t="s">
        <v>194</v>
      </c>
      <c r="F215" s="68" t="s">
        <v>295</v>
      </c>
      <c r="G215" s="69"/>
      <c r="H215" s="58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27.75" customHeight="1">
      <c r="A216" s="74"/>
      <c r="B216" s="75"/>
      <c r="C216" s="76"/>
      <c r="D216" s="76"/>
      <c r="E216" s="99" t="s">
        <v>144</v>
      </c>
      <c r="F216" s="100">
        <v>600.0</v>
      </c>
      <c r="G216" s="101" t="s">
        <v>296</v>
      </c>
      <c r="H216" s="58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27.75" customHeight="1">
      <c r="A217" s="79"/>
      <c r="B217" s="75"/>
      <c r="C217" s="76"/>
      <c r="D217" s="76"/>
      <c r="E217" s="99" t="s">
        <v>145</v>
      </c>
      <c r="F217" s="100"/>
      <c r="G217" s="101" t="s">
        <v>297</v>
      </c>
      <c r="H217" s="58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27.75" customHeight="1">
      <c r="A218" s="79"/>
      <c r="B218" s="75"/>
      <c r="C218" s="76"/>
      <c r="D218" s="76"/>
      <c r="E218" s="99" t="s">
        <v>146</v>
      </c>
      <c r="F218" s="100"/>
      <c r="G218" s="101" t="s">
        <v>298</v>
      </c>
      <c r="H218" s="58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27.75" customHeight="1">
      <c r="A219" s="79"/>
      <c r="B219" s="75"/>
      <c r="C219" s="76"/>
      <c r="D219" s="76"/>
      <c r="E219" s="99" t="s">
        <v>147</v>
      </c>
      <c r="F219" s="100">
        <v>250.0</v>
      </c>
      <c r="G219" s="76"/>
      <c r="H219" s="58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27.75" customHeight="1">
      <c r="A220" s="79"/>
      <c r="B220" s="75"/>
      <c r="C220" s="76"/>
      <c r="D220" s="76"/>
      <c r="E220" s="99" t="s">
        <v>148</v>
      </c>
      <c r="F220" s="100">
        <v>4750.0</v>
      </c>
      <c r="G220" s="76"/>
      <c r="H220" s="58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27.75" customHeight="1">
      <c r="A221" s="89"/>
      <c r="B221" s="90"/>
      <c r="C221" s="90"/>
      <c r="D221" s="90"/>
      <c r="E221" s="90"/>
      <c r="F221" s="90"/>
      <c r="G221" s="90"/>
      <c r="H221" s="58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27.75" customHeight="1">
      <c r="A222" s="102" t="s">
        <v>4</v>
      </c>
      <c r="B222" s="102" t="s">
        <v>5</v>
      </c>
      <c r="C222" s="102" t="s">
        <v>126</v>
      </c>
      <c r="D222" s="102" t="s">
        <v>6</v>
      </c>
      <c r="E222" s="102" t="s">
        <v>7</v>
      </c>
      <c r="F222" s="102" t="s">
        <v>127</v>
      </c>
      <c r="G222" s="103" t="s">
        <v>128</v>
      </c>
      <c r="H222" s="58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27.75" customHeight="1">
      <c r="A223" s="104">
        <v>1.0</v>
      </c>
      <c r="B223" s="105">
        <v>46092.0</v>
      </c>
      <c r="C223" s="106" t="s">
        <v>299</v>
      </c>
      <c r="D223" s="107"/>
      <c r="E223" s="107" t="s">
        <v>300</v>
      </c>
      <c r="F223" s="108">
        <v>30.0</v>
      </c>
      <c r="G223" s="109"/>
      <c r="H223" s="58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27.75" customHeight="1">
      <c r="A224" s="104">
        <v>2.0</v>
      </c>
      <c r="B224" s="105">
        <v>46092.0</v>
      </c>
      <c r="C224" s="110"/>
      <c r="D224" s="107"/>
      <c r="E224" s="107" t="s">
        <v>301</v>
      </c>
      <c r="F224" s="108">
        <v>35.0</v>
      </c>
      <c r="G224" s="109"/>
      <c r="H224" s="58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27.75" customHeight="1">
      <c r="A225" s="104">
        <v>3.0</v>
      </c>
      <c r="B225" s="105">
        <v>46092.0</v>
      </c>
      <c r="C225" s="110"/>
      <c r="D225" s="107"/>
      <c r="E225" s="107" t="s">
        <v>302</v>
      </c>
      <c r="F225" s="108">
        <v>35.0</v>
      </c>
      <c r="G225" s="109"/>
      <c r="H225" s="58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27.75" customHeight="1">
      <c r="A226" s="104">
        <v>4.0</v>
      </c>
      <c r="B226" s="105">
        <v>46092.0</v>
      </c>
      <c r="C226" s="110"/>
      <c r="D226" s="107"/>
      <c r="E226" s="107" t="s">
        <v>303</v>
      </c>
      <c r="F226" s="108">
        <v>35.0</v>
      </c>
      <c r="G226" s="111"/>
      <c r="H226" s="58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27.75" customHeight="1">
      <c r="A227" s="104">
        <v>5.0</v>
      </c>
      <c r="B227" s="105">
        <v>46092.0</v>
      </c>
      <c r="C227" s="110"/>
      <c r="D227" s="107"/>
      <c r="E227" s="107" t="s">
        <v>304</v>
      </c>
      <c r="F227" s="108">
        <v>100.0</v>
      </c>
      <c r="G227" s="109"/>
      <c r="H227" s="58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27.75" customHeight="1">
      <c r="A228" s="104">
        <v>6.0</v>
      </c>
      <c r="B228" s="105">
        <v>46092.0</v>
      </c>
      <c r="C228" s="110"/>
      <c r="D228" s="107"/>
      <c r="E228" s="107" t="s">
        <v>305</v>
      </c>
      <c r="F228" s="108">
        <v>100.0</v>
      </c>
      <c r="G228" s="109"/>
      <c r="H228" s="58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27.75" customHeight="1">
      <c r="A229" s="104">
        <v>7.0</v>
      </c>
      <c r="B229" s="105">
        <v>46092.0</v>
      </c>
      <c r="C229" s="110"/>
      <c r="D229" s="107"/>
      <c r="E229" s="107" t="s">
        <v>306</v>
      </c>
      <c r="F229" s="108">
        <v>90.0</v>
      </c>
      <c r="G229" s="109"/>
      <c r="H229" s="58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27.75" customHeight="1">
      <c r="A230" s="104">
        <v>8.0</v>
      </c>
      <c r="B230" s="105">
        <v>46092.0</v>
      </c>
      <c r="C230" s="106"/>
      <c r="D230" s="107"/>
      <c r="E230" s="107" t="s">
        <v>307</v>
      </c>
      <c r="F230" s="111" t="s">
        <v>308</v>
      </c>
      <c r="G230" s="109"/>
      <c r="H230" s="58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27.75" customHeight="1">
      <c r="A231" s="104">
        <v>9.0</v>
      </c>
      <c r="B231" s="105">
        <v>46092.0</v>
      </c>
      <c r="C231" s="110"/>
      <c r="D231" s="107"/>
      <c r="E231" s="107" t="s">
        <v>309</v>
      </c>
      <c r="F231" s="108"/>
      <c r="G231" s="109"/>
      <c r="H231" s="58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27.75" customHeight="1">
      <c r="A232" s="112"/>
      <c r="B232" s="113"/>
      <c r="C232" s="114"/>
      <c r="D232" s="114"/>
      <c r="E232" s="99" t="s">
        <v>144</v>
      </c>
      <c r="F232" s="100">
        <v>4750.0</v>
      </c>
      <c r="G232" s="114"/>
      <c r="H232" s="58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27.75" customHeight="1">
      <c r="A233" s="115"/>
      <c r="B233" s="113"/>
      <c r="C233" s="114"/>
      <c r="D233" s="114"/>
      <c r="E233" s="99" t="s">
        <v>145</v>
      </c>
      <c r="F233" s="100"/>
      <c r="G233" s="114"/>
      <c r="H233" s="58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27.75" customHeight="1">
      <c r="A234" s="115"/>
      <c r="B234" s="113"/>
      <c r="C234" s="114"/>
      <c r="D234" s="114"/>
      <c r="E234" s="99" t="s">
        <v>146</v>
      </c>
      <c r="F234" s="100"/>
      <c r="G234" s="114"/>
      <c r="H234" s="58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27.75" customHeight="1">
      <c r="A235" s="115"/>
      <c r="B235" s="113"/>
      <c r="C235" s="114"/>
      <c r="D235" s="114"/>
      <c r="E235" s="99" t="s">
        <v>147</v>
      </c>
      <c r="F235" s="100">
        <v>250.0</v>
      </c>
      <c r="G235" s="114"/>
      <c r="H235" s="58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27.75" customHeight="1">
      <c r="A236" s="115"/>
      <c r="B236" s="113"/>
      <c r="C236" s="114"/>
      <c r="D236" s="114"/>
      <c r="E236" s="99" t="s">
        <v>148</v>
      </c>
      <c r="F236" s="100">
        <v>3185.0</v>
      </c>
      <c r="G236" s="114"/>
      <c r="H236" s="58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27.75" customHeight="1">
      <c r="A237" s="89"/>
      <c r="B237" s="90"/>
      <c r="C237" s="90"/>
      <c r="D237" s="90"/>
      <c r="E237" s="90"/>
      <c r="F237" s="90"/>
      <c r="G237" s="90"/>
      <c r="H237" s="58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27.75" customHeight="1">
      <c r="A238" s="56" t="s">
        <v>4</v>
      </c>
      <c r="B238" s="56" t="s">
        <v>5</v>
      </c>
      <c r="C238" s="56" t="s">
        <v>126</v>
      </c>
      <c r="D238" s="56" t="s">
        <v>6</v>
      </c>
      <c r="E238" s="56" t="s">
        <v>7</v>
      </c>
      <c r="F238" s="56" t="s">
        <v>127</v>
      </c>
      <c r="G238" s="57" t="s">
        <v>128</v>
      </c>
      <c r="H238" s="58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27.75" customHeight="1">
      <c r="A239" s="60">
        <v>1.0</v>
      </c>
      <c r="B239" s="61">
        <v>46093.0</v>
      </c>
      <c r="C239" s="62" t="s">
        <v>310</v>
      </c>
      <c r="D239" s="63"/>
      <c r="E239" s="64"/>
      <c r="F239" s="64" t="s">
        <v>311</v>
      </c>
      <c r="H239" s="58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27.75" customHeight="1">
      <c r="A240" s="60">
        <v>2.0</v>
      </c>
      <c r="B240" s="66"/>
      <c r="C240" s="67"/>
      <c r="D240" s="63"/>
      <c r="E240" s="64"/>
      <c r="F240" s="64" t="s">
        <v>312</v>
      </c>
      <c r="H240" s="58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27.75" customHeight="1">
      <c r="A241" s="60">
        <v>3.0</v>
      </c>
      <c r="B241" s="66"/>
      <c r="C241" s="67"/>
      <c r="D241" s="63"/>
      <c r="E241" s="64"/>
      <c r="F241" s="64" t="s">
        <v>313</v>
      </c>
      <c r="H241" s="58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27.75" customHeight="1">
      <c r="A242" s="60">
        <v>4.0</v>
      </c>
      <c r="B242" s="66"/>
      <c r="C242" s="67"/>
      <c r="D242" s="63"/>
      <c r="E242" s="64"/>
      <c r="F242" s="64" t="s">
        <v>314</v>
      </c>
      <c r="G242" s="68"/>
      <c r="H242" s="58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27.75" customHeight="1">
      <c r="A243" s="60">
        <v>5.0</v>
      </c>
      <c r="B243" s="66"/>
      <c r="C243" s="67"/>
      <c r="D243" s="63"/>
      <c r="E243" s="64"/>
      <c r="F243" s="68" t="s">
        <v>315</v>
      </c>
      <c r="G243" s="69"/>
      <c r="H243" s="58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27.75" customHeight="1">
      <c r="A244" s="60">
        <v>6.0</v>
      </c>
      <c r="B244" s="66"/>
      <c r="C244" s="67"/>
      <c r="D244" s="63"/>
      <c r="E244" s="64"/>
      <c r="F244" s="68" t="s">
        <v>316</v>
      </c>
      <c r="G244" s="69"/>
      <c r="H244" s="58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27.75" customHeight="1">
      <c r="A245" s="60">
        <v>7.0</v>
      </c>
      <c r="B245" s="66"/>
      <c r="C245" s="67"/>
      <c r="D245" s="63"/>
      <c r="E245" s="64"/>
      <c r="F245" s="68" t="s">
        <v>317</v>
      </c>
      <c r="G245" s="69"/>
      <c r="H245" s="58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27.75" customHeight="1">
      <c r="A246" s="60">
        <v>8.0</v>
      </c>
      <c r="B246" s="66"/>
      <c r="C246" s="62"/>
      <c r="D246" s="63"/>
      <c r="E246" s="64"/>
      <c r="F246" s="68" t="s">
        <v>318</v>
      </c>
      <c r="G246" s="68" t="s">
        <v>319</v>
      </c>
      <c r="H246" s="58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27.75" customHeight="1">
      <c r="A247" s="60">
        <v>9.0</v>
      </c>
      <c r="B247" s="66"/>
      <c r="C247" s="67"/>
      <c r="D247" s="63"/>
      <c r="E247" s="64"/>
      <c r="F247" s="68" t="s">
        <v>309</v>
      </c>
      <c r="G247" s="69"/>
      <c r="H247" s="58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27.75" customHeight="1">
      <c r="A248" s="60">
        <v>10.0</v>
      </c>
      <c r="B248" s="66"/>
      <c r="C248" s="67"/>
      <c r="D248" s="63"/>
      <c r="E248" s="64"/>
      <c r="F248" s="68" t="s">
        <v>320</v>
      </c>
      <c r="G248" s="69"/>
      <c r="H248" s="58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27.75" customHeight="1">
      <c r="A249" s="60">
        <v>11.0</v>
      </c>
      <c r="B249" s="66"/>
      <c r="C249" s="67"/>
      <c r="D249" s="63"/>
      <c r="E249" s="64"/>
      <c r="F249" s="65"/>
      <c r="G249" s="68" t="s">
        <v>321</v>
      </c>
      <c r="H249" s="58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27.75" customHeight="1">
      <c r="A250" s="60">
        <v>12.0</v>
      </c>
      <c r="B250" s="66"/>
      <c r="C250" s="67"/>
      <c r="D250" s="63"/>
      <c r="E250" s="64"/>
      <c r="F250" s="69"/>
      <c r="G250" s="116" t="s">
        <v>322</v>
      </c>
      <c r="H250" s="58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27.75" customHeight="1">
      <c r="A251" s="60">
        <v>13.0</v>
      </c>
      <c r="B251" s="66"/>
      <c r="C251" s="67"/>
      <c r="D251" s="63"/>
      <c r="E251" s="64"/>
      <c r="G251" s="116" t="s">
        <v>323</v>
      </c>
      <c r="H251" s="58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27.75" customHeight="1">
      <c r="A252" s="60">
        <v>14.0</v>
      </c>
      <c r="B252" s="66"/>
      <c r="C252" s="67"/>
      <c r="D252" s="63"/>
      <c r="E252" s="64"/>
      <c r="F252" s="65"/>
      <c r="G252" s="69"/>
      <c r="H252" s="58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27.75" customHeight="1">
      <c r="A253" s="71">
        <v>15.0</v>
      </c>
      <c r="B253" s="72"/>
      <c r="C253" s="73"/>
      <c r="D253" s="63"/>
      <c r="E253" s="70"/>
      <c r="F253" s="69"/>
      <c r="G253" s="69"/>
      <c r="H253" s="58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27.75" customHeight="1">
      <c r="A254" s="74"/>
      <c r="B254" s="75"/>
      <c r="C254" s="76"/>
      <c r="D254" s="76"/>
      <c r="E254" s="81" t="s">
        <v>144</v>
      </c>
      <c r="F254" s="80">
        <v>1000.0</v>
      </c>
      <c r="G254" s="76"/>
      <c r="H254" s="58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27.75" customHeight="1">
      <c r="A255" s="79"/>
      <c r="B255" s="75"/>
      <c r="C255" s="76"/>
      <c r="D255" s="76"/>
      <c r="E255" s="81" t="s">
        <v>145</v>
      </c>
      <c r="F255" s="80">
        <v>360.0</v>
      </c>
      <c r="G255" s="76"/>
      <c r="H255" s="58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27.75" customHeight="1">
      <c r="A256" s="79"/>
      <c r="B256" s="75"/>
      <c r="C256" s="76"/>
      <c r="D256" s="76"/>
      <c r="E256" s="81" t="s">
        <v>146</v>
      </c>
      <c r="F256" s="80"/>
      <c r="G256" s="76"/>
      <c r="H256" s="58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27.75" customHeight="1">
      <c r="A257" s="79"/>
      <c r="B257" s="75"/>
      <c r="C257" s="76"/>
      <c r="D257" s="76"/>
      <c r="E257" s="81" t="s">
        <v>147</v>
      </c>
      <c r="F257" s="86" t="s">
        <v>324</v>
      </c>
      <c r="G257" s="117" t="s">
        <v>325</v>
      </c>
      <c r="H257" s="58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27.75" customHeight="1">
      <c r="A258" s="79"/>
      <c r="B258" s="75"/>
      <c r="C258" s="76"/>
      <c r="D258" s="76"/>
      <c r="E258" s="81" t="s">
        <v>148</v>
      </c>
      <c r="F258" s="86" t="s">
        <v>326</v>
      </c>
      <c r="G258" s="76"/>
      <c r="H258" s="58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27.75" customHeight="1">
      <c r="A259" s="118"/>
      <c r="B259" s="119"/>
      <c r="C259" s="119"/>
      <c r="D259" s="119"/>
      <c r="E259" s="119"/>
      <c r="F259" s="119"/>
      <c r="G259" s="119"/>
      <c r="H259" s="58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27.75" customHeight="1">
      <c r="A260" s="102" t="s">
        <v>4</v>
      </c>
      <c r="B260" s="102" t="s">
        <v>5</v>
      </c>
      <c r="C260" s="102" t="s">
        <v>126</v>
      </c>
      <c r="D260" s="102" t="s">
        <v>6</v>
      </c>
      <c r="E260" s="102" t="s">
        <v>7</v>
      </c>
      <c r="F260" s="102" t="s">
        <v>127</v>
      </c>
      <c r="G260" s="103" t="s">
        <v>128</v>
      </c>
      <c r="H260" s="58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27.75" customHeight="1">
      <c r="A261" s="104">
        <v>1.0</v>
      </c>
      <c r="B261" s="105">
        <v>46094.0</v>
      </c>
      <c r="C261" s="106" t="s">
        <v>239</v>
      </c>
      <c r="D261" s="107" t="s">
        <v>81</v>
      </c>
      <c r="E261" s="107" t="s">
        <v>327</v>
      </c>
      <c r="F261" s="111" t="s">
        <v>328</v>
      </c>
      <c r="G261" s="109"/>
      <c r="H261" s="58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27.75" customHeight="1">
      <c r="A262" s="104">
        <v>2.0</v>
      </c>
      <c r="B262" s="120"/>
      <c r="C262" s="110"/>
      <c r="D262" s="107"/>
      <c r="E262" s="107" t="s">
        <v>329</v>
      </c>
      <c r="F262" s="108"/>
      <c r="G262" s="111" t="s">
        <v>82</v>
      </c>
      <c r="H262" s="58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27.75" customHeight="1">
      <c r="A263" s="104">
        <v>3.0</v>
      </c>
      <c r="B263" s="120"/>
      <c r="C263" s="110"/>
      <c r="D263" s="107"/>
      <c r="E263" s="107" t="s">
        <v>330</v>
      </c>
      <c r="F263" s="111"/>
      <c r="G263" s="111" t="s">
        <v>82</v>
      </c>
      <c r="H263" s="58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27.75" customHeight="1">
      <c r="A264" s="104">
        <v>4.0</v>
      </c>
      <c r="B264" s="120"/>
      <c r="C264" s="110"/>
      <c r="D264" s="107"/>
      <c r="E264" s="107" t="s">
        <v>331</v>
      </c>
      <c r="F264" s="111" t="s">
        <v>332</v>
      </c>
      <c r="G264" s="111"/>
      <c r="H264" s="58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27.75" customHeight="1">
      <c r="A265" s="104">
        <v>5.0</v>
      </c>
      <c r="B265" s="120"/>
      <c r="C265" s="110"/>
      <c r="D265" s="107"/>
      <c r="E265" s="107" t="s">
        <v>333</v>
      </c>
      <c r="F265" s="111" t="s">
        <v>334</v>
      </c>
      <c r="G265" s="109"/>
      <c r="H265" s="58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27.75" customHeight="1">
      <c r="A266" s="104">
        <v>6.0</v>
      </c>
      <c r="B266" s="120"/>
      <c r="C266" s="110"/>
      <c r="D266" s="107"/>
      <c r="E266" s="107" t="s">
        <v>335</v>
      </c>
      <c r="F266" s="108">
        <v>40.0</v>
      </c>
      <c r="G266" s="109"/>
      <c r="H266" s="58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27.75" customHeight="1">
      <c r="A267" s="104">
        <v>7.0</v>
      </c>
      <c r="B267" s="120"/>
      <c r="C267" s="110"/>
      <c r="D267" s="107"/>
      <c r="E267" s="107" t="s">
        <v>336</v>
      </c>
      <c r="F267" s="108"/>
      <c r="G267" s="111" t="s">
        <v>82</v>
      </c>
      <c r="H267" s="58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27.75" customHeight="1">
      <c r="A268" s="104"/>
      <c r="B268" s="120"/>
      <c r="C268" s="106"/>
      <c r="D268" s="107"/>
      <c r="E268" s="107" t="s">
        <v>337</v>
      </c>
      <c r="F268" s="111" t="s">
        <v>338</v>
      </c>
      <c r="G268" s="109"/>
      <c r="H268" s="58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27.75" customHeight="1">
      <c r="A269" s="104">
        <v>8.0</v>
      </c>
      <c r="B269" s="120"/>
      <c r="C269" s="106"/>
      <c r="D269" s="107"/>
      <c r="E269" s="107" t="s">
        <v>339</v>
      </c>
      <c r="F269" s="111" t="s">
        <v>340</v>
      </c>
      <c r="G269" s="109"/>
      <c r="H269" s="58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27.75" customHeight="1">
      <c r="A270" s="112"/>
      <c r="B270" s="113"/>
      <c r="C270" s="114"/>
      <c r="D270" s="114"/>
      <c r="E270" s="99" t="s">
        <v>234</v>
      </c>
      <c r="F270" s="100">
        <v>-50.0</v>
      </c>
      <c r="G270" s="114"/>
      <c r="H270" s="58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27.75" customHeight="1">
      <c r="A271" s="112"/>
      <c r="B271" s="113"/>
      <c r="C271" s="114"/>
      <c r="D271" s="114"/>
      <c r="E271" s="99" t="s">
        <v>144</v>
      </c>
      <c r="F271" s="100">
        <v>1100.0</v>
      </c>
      <c r="G271" s="114"/>
      <c r="H271" s="58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27.75" customHeight="1">
      <c r="A272" s="115"/>
      <c r="B272" s="113"/>
      <c r="C272" s="114"/>
      <c r="D272" s="114"/>
      <c r="E272" s="99" t="s">
        <v>145</v>
      </c>
      <c r="F272" s="100">
        <f>1100-150-150+40+150+40+400+40+35+390+35-50-535</f>
        <v>1345</v>
      </c>
      <c r="G272" s="114"/>
      <c r="H272" s="58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27.75" customHeight="1">
      <c r="A273" s="115"/>
      <c r="B273" s="113"/>
      <c r="C273" s="114"/>
      <c r="D273" s="114"/>
      <c r="E273" s="99" t="s">
        <v>147</v>
      </c>
      <c r="F273" s="100">
        <v>350.0</v>
      </c>
      <c r="G273" s="114"/>
      <c r="H273" s="58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27.75" customHeight="1">
      <c r="A274" s="115"/>
      <c r="B274" s="113"/>
      <c r="C274" s="114"/>
      <c r="D274" s="114"/>
      <c r="E274" s="99" t="s">
        <v>148</v>
      </c>
      <c r="F274" s="100">
        <f>F272-F273</f>
        <v>995</v>
      </c>
      <c r="G274" s="114"/>
      <c r="H274" s="58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27.75" customHeight="1">
      <c r="A275" s="118"/>
      <c r="B275" s="119"/>
      <c r="C275" s="119"/>
      <c r="D275" s="119"/>
      <c r="E275" s="119"/>
      <c r="F275" s="119"/>
      <c r="G275" s="119"/>
      <c r="H275" s="58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27.75" customHeight="1">
      <c r="A276" s="102" t="s">
        <v>4</v>
      </c>
      <c r="B276" s="102" t="s">
        <v>5</v>
      </c>
      <c r="C276" s="102" t="s">
        <v>126</v>
      </c>
      <c r="D276" s="102" t="s">
        <v>6</v>
      </c>
      <c r="E276" s="102" t="s">
        <v>7</v>
      </c>
      <c r="F276" s="102" t="s">
        <v>127</v>
      </c>
      <c r="G276" s="103" t="s">
        <v>128</v>
      </c>
      <c r="H276" s="58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27.75" customHeight="1">
      <c r="A277" s="104">
        <v>1.0</v>
      </c>
      <c r="B277" s="105">
        <v>46095.0</v>
      </c>
      <c r="C277" s="106" t="s">
        <v>341</v>
      </c>
      <c r="D277" s="107"/>
      <c r="E277" s="107" t="s">
        <v>342</v>
      </c>
      <c r="F277" s="108"/>
      <c r="G277" s="109"/>
      <c r="H277" s="58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27.75" customHeight="1">
      <c r="A278" s="104">
        <v>2.0</v>
      </c>
      <c r="B278" s="120"/>
      <c r="C278" s="110"/>
      <c r="D278" s="107"/>
      <c r="E278" s="107" t="s">
        <v>343</v>
      </c>
      <c r="F278" s="108">
        <v>70.0</v>
      </c>
      <c r="G278" s="111" t="s">
        <v>344</v>
      </c>
      <c r="H278" s="58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27.75" customHeight="1">
      <c r="A279" s="104">
        <v>3.0</v>
      </c>
      <c r="B279" s="120"/>
      <c r="C279" s="110"/>
      <c r="D279" s="107"/>
      <c r="E279" s="107" t="s">
        <v>345</v>
      </c>
      <c r="F279" s="111"/>
      <c r="G279" s="109"/>
      <c r="H279" s="58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27.75" customHeight="1">
      <c r="A280" s="104">
        <v>4.0</v>
      </c>
      <c r="B280" s="120"/>
      <c r="C280" s="110"/>
      <c r="D280" s="107"/>
      <c r="E280" s="107" t="s">
        <v>346</v>
      </c>
      <c r="F280" s="108" t="s">
        <v>347</v>
      </c>
      <c r="G280" s="111"/>
      <c r="H280" s="58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27.75" customHeight="1">
      <c r="A281" s="104">
        <v>5.0</v>
      </c>
      <c r="B281" s="120"/>
      <c r="C281" s="110"/>
      <c r="D281" s="107"/>
      <c r="E281" s="107" t="s">
        <v>348</v>
      </c>
      <c r="F281" s="111" t="s">
        <v>349</v>
      </c>
      <c r="G281" s="109"/>
      <c r="H281" s="58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27.75" customHeight="1">
      <c r="A282" s="104">
        <v>6.0</v>
      </c>
      <c r="B282" s="120"/>
      <c r="C282" s="110"/>
      <c r="D282" s="107"/>
      <c r="E282" s="107" t="s">
        <v>350</v>
      </c>
      <c r="F282" s="108">
        <v>100.0</v>
      </c>
      <c r="G282" s="109"/>
      <c r="H282" s="58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27.75" customHeight="1">
      <c r="A283" s="104">
        <v>7.0</v>
      </c>
      <c r="B283" s="120"/>
      <c r="C283" s="110"/>
      <c r="D283" s="107"/>
      <c r="E283" s="107" t="s">
        <v>351</v>
      </c>
      <c r="F283" s="108">
        <v>35.0</v>
      </c>
      <c r="G283" s="109"/>
      <c r="H283" s="58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27.75" customHeight="1">
      <c r="A284" s="104">
        <v>8.0</v>
      </c>
      <c r="B284" s="120"/>
      <c r="C284" s="106"/>
      <c r="D284" s="107"/>
      <c r="E284" s="107" t="s">
        <v>352</v>
      </c>
      <c r="F284" s="108">
        <v>90.0</v>
      </c>
      <c r="G284" s="111" t="s">
        <v>353</v>
      </c>
      <c r="H284" s="58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27.75" customHeight="1">
      <c r="A285" s="104">
        <v>9.0</v>
      </c>
      <c r="B285" s="120"/>
      <c r="C285" s="110"/>
      <c r="D285" s="107"/>
      <c r="E285" s="107" t="s">
        <v>354</v>
      </c>
      <c r="F285" s="111" t="s">
        <v>355</v>
      </c>
      <c r="G285" s="109"/>
      <c r="H285" s="58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27.75" customHeight="1">
      <c r="A286" s="104">
        <v>10.0</v>
      </c>
      <c r="B286" s="120"/>
      <c r="C286" s="110"/>
      <c r="D286" s="107"/>
      <c r="E286" s="107" t="s">
        <v>356</v>
      </c>
      <c r="F286" s="108">
        <v>35.0</v>
      </c>
      <c r="G286" s="109"/>
      <c r="H286" s="58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27.75" customHeight="1">
      <c r="A287" s="104">
        <v>11.0</v>
      </c>
      <c r="B287" s="120"/>
      <c r="C287" s="110"/>
      <c r="D287" s="107"/>
      <c r="E287" s="107" t="s">
        <v>36</v>
      </c>
      <c r="F287" s="111" t="s">
        <v>357</v>
      </c>
      <c r="G287" s="109"/>
      <c r="H287" s="58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27.75" customHeight="1">
      <c r="A288" s="104">
        <v>12.0</v>
      </c>
      <c r="B288" s="120"/>
      <c r="C288" s="110"/>
      <c r="D288" s="107"/>
      <c r="E288" s="107"/>
      <c r="F288" s="109"/>
      <c r="G288" s="111"/>
      <c r="H288" s="58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27.75" customHeight="1">
      <c r="A289" s="104">
        <v>13.0</v>
      </c>
      <c r="B289" s="120"/>
      <c r="C289" s="110"/>
      <c r="D289" s="107"/>
      <c r="E289" s="107"/>
      <c r="F289" s="121"/>
      <c r="G289" s="109"/>
      <c r="H289" s="58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27.75" customHeight="1">
      <c r="A290" s="104">
        <v>14.0</v>
      </c>
      <c r="B290" s="120"/>
      <c r="C290" s="110"/>
      <c r="D290" s="107"/>
      <c r="E290" s="107"/>
      <c r="F290" s="108"/>
      <c r="G290" s="109"/>
      <c r="H290" s="58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27.75" customHeight="1">
      <c r="A291" s="122">
        <v>15.0</v>
      </c>
      <c r="B291" s="123"/>
      <c r="C291" s="124"/>
      <c r="D291" s="107"/>
      <c r="E291" s="125"/>
      <c r="F291" s="109"/>
      <c r="G291" s="109"/>
      <c r="H291" s="58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27.75" customHeight="1">
      <c r="A292" s="112"/>
      <c r="B292" s="113"/>
      <c r="C292" s="114"/>
      <c r="D292" s="114"/>
      <c r="E292" s="99" t="s">
        <v>144</v>
      </c>
      <c r="F292" s="126" t="s">
        <v>358</v>
      </c>
      <c r="G292" s="114"/>
      <c r="H292" s="58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27.75" customHeight="1">
      <c r="A293" s="115"/>
      <c r="C293" s="114"/>
      <c r="D293" s="114"/>
      <c r="E293" s="99" t="s">
        <v>145</v>
      </c>
      <c r="F293" s="100">
        <v>2760.0</v>
      </c>
      <c r="G293" s="114"/>
      <c r="H293" s="58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27.75" customHeight="1">
      <c r="A294" s="115"/>
      <c r="B294" s="113"/>
      <c r="C294" s="114"/>
      <c r="D294" s="114"/>
      <c r="E294" s="99" t="s">
        <v>146</v>
      </c>
      <c r="F294" s="100"/>
      <c r="G294" s="114"/>
      <c r="H294" s="58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27.75" customHeight="1">
      <c r="A295" s="115"/>
      <c r="B295" s="113"/>
      <c r="C295" s="114"/>
      <c r="D295" s="114"/>
      <c r="E295" s="99" t="s">
        <v>147</v>
      </c>
      <c r="F295" s="126" t="s">
        <v>359</v>
      </c>
      <c r="G295" s="114"/>
      <c r="H295" s="58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27.75" customHeight="1">
      <c r="A296" s="115"/>
      <c r="B296" s="113"/>
      <c r="C296" s="114"/>
      <c r="D296" s="114"/>
      <c r="E296" s="99" t="s">
        <v>148</v>
      </c>
      <c r="F296" s="100">
        <v>3160.0</v>
      </c>
      <c r="G296" s="114"/>
      <c r="H296" s="58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27.75" customHeight="1">
      <c r="A297" s="118"/>
      <c r="B297" s="119"/>
      <c r="C297" s="119"/>
      <c r="D297" s="119"/>
      <c r="E297" s="119"/>
      <c r="F297" s="119"/>
      <c r="G297" s="119"/>
      <c r="H297" s="58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27.75" customHeight="1">
      <c r="A298" s="102" t="s">
        <v>4</v>
      </c>
      <c r="B298" s="102" t="s">
        <v>5</v>
      </c>
      <c r="C298" s="102" t="s">
        <v>126</v>
      </c>
      <c r="D298" s="102" t="s">
        <v>6</v>
      </c>
      <c r="E298" s="102" t="s">
        <v>7</v>
      </c>
      <c r="F298" s="102" t="s">
        <v>127</v>
      </c>
      <c r="G298" s="103" t="s">
        <v>128</v>
      </c>
      <c r="H298" s="58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27.75" customHeight="1">
      <c r="A299" s="104">
        <v>1.0</v>
      </c>
      <c r="B299" s="105">
        <v>46096.0</v>
      </c>
      <c r="C299" s="106" t="s">
        <v>129</v>
      </c>
      <c r="D299" s="107"/>
      <c r="E299" s="107" t="s">
        <v>60</v>
      </c>
      <c r="F299" s="108"/>
      <c r="G299" s="109"/>
      <c r="H299" s="58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27.75" customHeight="1">
      <c r="A300" s="104">
        <v>2.0</v>
      </c>
      <c r="B300" s="120"/>
      <c r="C300" s="110"/>
      <c r="D300" s="107" t="s">
        <v>360</v>
      </c>
      <c r="E300" s="107" t="s">
        <v>361</v>
      </c>
      <c r="F300" s="108"/>
      <c r="G300" s="111" t="s">
        <v>362</v>
      </c>
      <c r="H300" s="58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27.75" customHeight="1">
      <c r="A301" s="104">
        <v>3.0</v>
      </c>
      <c r="B301" s="120"/>
      <c r="C301" s="110"/>
      <c r="D301" s="107"/>
      <c r="E301" s="107" t="s">
        <v>363</v>
      </c>
      <c r="F301" s="111"/>
      <c r="G301" s="111" t="s">
        <v>362</v>
      </c>
      <c r="H301" s="58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27.75" customHeight="1">
      <c r="A302" s="104">
        <v>4.0</v>
      </c>
      <c r="B302" s="120"/>
      <c r="C302" s="110"/>
      <c r="D302" s="107"/>
      <c r="E302" s="107" t="s">
        <v>364</v>
      </c>
      <c r="F302" s="108">
        <v>30.0</v>
      </c>
      <c r="G302" s="111"/>
      <c r="H302" s="58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27.75" customHeight="1">
      <c r="A303" s="104">
        <v>5.0</v>
      </c>
      <c r="B303" s="120"/>
      <c r="C303" s="110"/>
      <c r="D303" s="107"/>
      <c r="E303" s="107" t="s">
        <v>365</v>
      </c>
      <c r="F303" s="108">
        <v>75.0</v>
      </c>
      <c r="G303" s="109"/>
      <c r="H303" s="58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27.75" customHeight="1">
      <c r="A304" s="104">
        <v>6.0</v>
      </c>
      <c r="B304" s="120"/>
      <c r="C304" s="110"/>
      <c r="D304" s="107"/>
      <c r="E304" s="127" t="s">
        <v>366</v>
      </c>
      <c r="F304" s="108">
        <v>70.0</v>
      </c>
      <c r="G304" s="109"/>
      <c r="H304" s="58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27.75" customHeight="1">
      <c r="A305" s="104">
        <v>7.0</v>
      </c>
      <c r="B305" s="120"/>
      <c r="C305" s="110"/>
      <c r="D305" s="107"/>
      <c r="E305" s="107" t="s">
        <v>367</v>
      </c>
      <c r="F305" s="108" t="s">
        <v>368</v>
      </c>
      <c r="G305" s="109"/>
      <c r="H305" s="58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27.75" customHeight="1">
      <c r="A306" s="104">
        <v>8.0</v>
      </c>
      <c r="B306" s="120"/>
      <c r="C306" s="106"/>
      <c r="D306" s="107"/>
      <c r="E306" s="107" t="s">
        <v>369</v>
      </c>
      <c r="F306" s="108"/>
      <c r="G306" s="109"/>
      <c r="H306" s="58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27.75" customHeight="1">
      <c r="A307" s="104">
        <v>9.0</v>
      </c>
      <c r="B307" s="120"/>
      <c r="C307" s="110"/>
      <c r="D307" s="107"/>
      <c r="E307" s="107" t="s">
        <v>298</v>
      </c>
      <c r="F307" s="108"/>
      <c r="G307" s="109"/>
      <c r="H307" s="58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27.75" customHeight="1">
      <c r="A308" s="104">
        <v>10.0</v>
      </c>
      <c r="B308" s="120"/>
      <c r="C308" s="110"/>
      <c r="D308" s="107"/>
      <c r="E308" s="107" t="s">
        <v>370</v>
      </c>
      <c r="F308" s="108"/>
      <c r="G308" s="109"/>
      <c r="H308" s="58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27.75" customHeight="1">
      <c r="A309" s="104">
        <v>11.0</v>
      </c>
      <c r="B309" s="120"/>
      <c r="C309" s="110"/>
      <c r="D309" s="107"/>
      <c r="E309" s="107" t="s">
        <v>268</v>
      </c>
      <c r="F309" s="111" t="s">
        <v>269</v>
      </c>
      <c r="G309" s="111" t="s">
        <v>371</v>
      </c>
      <c r="H309" s="58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27.75" customHeight="1">
      <c r="A310" s="104">
        <v>12.0</v>
      </c>
      <c r="B310" s="120"/>
      <c r="C310" s="110"/>
      <c r="D310" s="107"/>
      <c r="E310" s="107" t="s">
        <v>268</v>
      </c>
      <c r="F310" s="111" t="s">
        <v>372</v>
      </c>
      <c r="G310" s="111" t="s">
        <v>373</v>
      </c>
      <c r="H310" s="58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27.75" customHeight="1">
      <c r="A311" s="104">
        <v>13.0</v>
      </c>
      <c r="B311" s="120"/>
      <c r="C311" s="110"/>
      <c r="D311" s="107"/>
      <c r="E311" s="107"/>
      <c r="F311" s="111" t="s">
        <v>374</v>
      </c>
      <c r="G311" s="109"/>
      <c r="H311" s="58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27.75" customHeight="1">
      <c r="A312" s="104">
        <v>14.0</v>
      </c>
      <c r="B312" s="120"/>
      <c r="C312" s="110"/>
      <c r="D312" s="107"/>
      <c r="E312" s="107"/>
      <c r="F312" s="109"/>
      <c r="G312" s="109"/>
      <c r="H312" s="58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27.75" customHeight="1">
      <c r="A313" s="122">
        <v>15.0</v>
      </c>
      <c r="B313" s="123"/>
      <c r="C313" s="124"/>
      <c r="D313" s="107"/>
      <c r="E313" s="125"/>
      <c r="F313" s="109"/>
      <c r="G313" s="109"/>
      <c r="H313" s="58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27.75" customHeight="1">
      <c r="A314" s="112"/>
      <c r="B314" s="113"/>
      <c r="C314" s="114"/>
      <c r="D314" s="114"/>
      <c r="E314" s="99" t="s">
        <v>144</v>
      </c>
      <c r="F314" s="100">
        <v>1770.0</v>
      </c>
      <c r="G314" s="114"/>
      <c r="H314" s="58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27.75" customHeight="1">
      <c r="A315" s="115"/>
      <c r="B315" s="113"/>
      <c r="C315" s="114"/>
      <c r="D315" s="114"/>
      <c r="E315" s="99" t="s">
        <v>145</v>
      </c>
      <c r="F315" s="100">
        <v>1415.0</v>
      </c>
      <c r="G315" s="114"/>
      <c r="H315" s="58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27.75" customHeight="1">
      <c r="A316" s="115"/>
      <c r="B316" s="113"/>
      <c r="C316" s="114"/>
      <c r="D316" s="114"/>
      <c r="E316" s="99" t="s">
        <v>146</v>
      </c>
      <c r="F316" s="100"/>
      <c r="G316" s="114"/>
      <c r="H316" s="58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27.75" customHeight="1">
      <c r="A317" s="115"/>
      <c r="B317" s="113"/>
      <c r="C317" s="114"/>
      <c r="D317" s="114"/>
      <c r="E317" s="99" t="s">
        <v>147</v>
      </c>
      <c r="F317" s="100">
        <v>250.0</v>
      </c>
      <c r="G317" s="114"/>
      <c r="H317" s="58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27.75" customHeight="1">
      <c r="A318" s="115"/>
      <c r="B318" s="113"/>
      <c r="C318" s="114"/>
      <c r="D318" s="114"/>
      <c r="E318" s="99" t="s">
        <v>148</v>
      </c>
      <c r="F318" s="100">
        <v>1165.0</v>
      </c>
      <c r="G318" s="114"/>
      <c r="H318" s="58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27.75" customHeight="1">
      <c r="A319" s="118"/>
      <c r="B319" s="119"/>
      <c r="C319" s="119"/>
      <c r="D319" s="119"/>
      <c r="E319" s="119"/>
      <c r="F319" s="119"/>
      <c r="G319" s="119"/>
      <c r="H319" s="58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27.75" customHeight="1">
      <c r="A320" s="102" t="s">
        <v>4</v>
      </c>
      <c r="B320" s="102" t="s">
        <v>5</v>
      </c>
      <c r="C320" s="102" t="s">
        <v>126</v>
      </c>
      <c r="D320" s="102" t="s">
        <v>6</v>
      </c>
      <c r="E320" s="102" t="s">
        <v>7</v>
      </c>
      <c r="F320" s="102" t="s">
        <v>127</v>
      </c>
      <c r="G320" s="103" t="s">
        <v>128</v>
      </c>
      <c r="H320" s="58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27.75" customHeight="1">
      <c r="A321" s="104">
        <v>1.0</v>
      </c>
      <c r="B321" s="105">
        <v>46097.0</v>
      </c>
      <c r="C321" s="106" t="s">
        <v>261</v>
      </c>
      <c r="D321" s="107"/>
      <c r="E321" s="107" t="s">
        <v>375</v>
      </c>
      <c r="F321" s="108" t="s">
        <v>376</v>
      </c>
      <c r="G321" s="109"/>
      <c r="H321" s="58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27.75" customHeight="1">
      <c r="A322" s="104">
        <v>2.0</v>
      </c>
      <c r="B322" s="120"/>
      <c r="C322" s="110"/>
      <c r="D322" s="107"/>
      <c r="E322" s="107" t="s">
        <v>377</v>
      </c>
      <c r="F322" s="111" t="s">
        <v>378</v>
      </c>
      <c r="G322" s="109"/>
      <c r="H322" s="58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27.75" customHeight="1">
      <c r="A323" s="104">
        <v>3.0</v>
      </c>
      <c r="B323" s="120"/>
      <c r="C323" s="110"/>
      <c r="D323" s="107"/>
      <c r="E323" s="107" t="s">
        <v>379</v>
      </c>
      <c r="F323" s="108">
        <v>35.0</v>
      </c>
      <c r="G323" s="109"/>
      <c r="H323" s="58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27.75" customHeight="1">
      <c r="A324" s="104">
        <v>4.0</v>
      </c>
      <c r="B324" s="120"/>
      <c r="C324" s="110"/>
      <c r="D324" s="107"/>
      <c r="E324" s="107" t="s">
        <v>380</v>
      </c>
      <c r="F324" s="108">
        <v>-390.0</v>
      </c>
      <c r="G324" s="111"/>
      <c r="H324" s="58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27.75" customHeight="1">
      <c r="A325" s="104">
        <v>5.0</v>
      </c>
      <c r="B325" s="120"/>
      <c r="C325" s="110"/>
      <c r="D325" s="107"/>
      <c r="E325" s="107" t="s">
        <v>262</v>
      </c>
      <c r="F325" s="108">
        <v>35.0</v>
      </c>
      <c r="G325" s="109"/>
      <c r="H325" s="58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27.75" customHeight="1">
      <c r="A326" s="104">
        <v>6.0</v>
      </c>
      <c r="B326" s="120"/>
      <c r="C326" s="110"/>
      <c r="D326" s="107"/>
      <c r="E326" s="107" t="s">
        <v>381</v>
      </c>
      <c r="F326" s="111" t="s">
        <v>382</v>
      </c>
      <c r="G326" s="109"/>
      <c r="H326" s="58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27.75" customHeight="1">
      <c r="A327" s="104">
        <v>7.0</v>
      </c>
      <c r="B327" s="120"/>
      <c r="C327" s="110"/>
      <c r="D327" s="107"/>
      <c r="E327" s="107" t="s">
        <v>383</v>
      </c>
      <c r="F327" s="111" t="s">
        <v>384</v>
      </c>
      <c r="G327" s="111" t="s">
        <v>385</v>
      </c>
      <c r="H327" s="58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27.75" customHeight="1">
      <c r="A328" s="104">
        <v>8.0</v>
      </c>
      <c r="B328" s="120"/>
      <c r="C328" s="106"/>
      <c r="D328" s="107"/>
      <c r="E328" s="107" t="s">
        <v>187</v>
      </c>
      <c r="F328" s="111" t="s">
        <v>386</v>
      </c>
      <c r="G328" s="109"/>
      <c r="H328" s="58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27.75" customHeight="1">
      <c r="A329" s="104">
        <v>9.0</v>
      </c>
      <c r="B329" s="120"/>
      <c r="C329" s="110"/>
      <c r="D329" s="107"/>
      <c r="E329" s="107" t="s">
        <v>387</v>
      </c>
      <c r="F329" s="108">
        <v>40.0</v>
      </c>
      <c r="G329" s="109"/>
      <c r="H329" s="58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27.75" customHeight="1">
      <c r="A330" s="104">
        <v>10.0</v>
      </c>
      <c r="B330" s="120"/>
      <c r="C330" s="110"/>
      <c r="D330" s="107"/>
      <c r="E330" s="107" t="s">
        <v>388</v>
      </c>
      <c r="F330" s="111" t="s">
        <v>389</v>
      </c>
      <c r="G330" s="109"/>
      <c r="H330" s="58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27.75" customHeight="1">
      <c r="A331" s="104">
        <v>11.0</v>
      </c>
      <c r="B331" s="120"/>
      <c r="C331" s="110"/>
      <c r="D331" s="107"/>
      <c r="E331" s="107" t="s">
        <v>390</v>
      </c>
      <c r="F331" s="108" t="s">
        <v>391</v>
      </c>
      <c r="G331" s="109"/>
      <c r="H331" s="58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27.75" customHeight="1">
      <c r="A332" s="104">
        <v>12.0</v>
      </c>
      <c r="B332" s="120"/>
      <c r="C332" s="110"/>
      <c r="D332" s="107"/>
      <c r="E332" s="107" t="s">
        <v>392</v>
      </c>
      <c r="F332" s="111" t="s">
        <v>393</v>
      </c>
      <c r="G332" s="111"/>
      <c r="H332" s="58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27.75" customHeight="1">
      <c r="A333" s="104">
        <v>13.0</v>
      </c>
      <c r="B333" s="120"/>
      <c r="C333" s="110"/>
      <c r="D333" s="107"/>
      <c r="E333" s="107" t="s">
        <v>394</v>
      </c>
      <c r="F333" s="128" t="s">
        <v>395</v>
      </c>
      <c r="G333" s="109"/>
      <c r="H333" s="58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27.75" customHeight="1">
      <c r="A334" s="104">
        <v>14.0</v>
      </c>
      <c r="B334" s="120"/>
      <c r="C334" s="110"/>
      <c r="D334" s="107"/>
      <c r="E334" s="107" t="s">
        <v>36</v>
      </c>
      <c r="F334" s="108">
        <v>35.0</v>
      </c>
      <c r="G334" s="109"/>
      <c r="H334" s="58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27.75" customHeight="1">
      <c r="A335" s="122">
        <v>15.0</v>
      </c>
      <c r="B335" s="123"/>
      <c r="C335" s="124"/>
      <c r="D335" s="107"/>
      <c r="E335" s="107" t="s">
        <v>396</v>
      </c>
      <c r="F335" s="109"/>
      <c r="G335" s="109"/>
      <c r="H335" s="58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27.75" customHeight="1">
      <c r="A336" s="112"/>
      <c r="B336" s="113"/>
      <c r="C336" s="114"/>
      <c r="D336" s="114"/>
      <c r="E336" s="99" t="s">
        <v>168</v>
      </c>
      <c r="F336" s="100">
        <v>1165.0</v>
      </c>
      <c r="G336" s="114"/>
      <c r="H336" s="58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27.75" customHeight="1">
      <c r="A337" s="115"/>
      <c r="B337" s="113"/>
      <c r="C337" s="114"/>
      <c r="D337" s="114"/>
      <c r="E337" s="99" t="s">
        <v>145</v>
      </c>
      <c r="F337" s="100">
        <v>4130.0</v>
      </c>
      <c r="G337" s="114"/>
      <c r="H337" s="58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27.75" customHeight="1">
      <c r="A338" s="115"/>
      <c r="B338" s="113"/>
      <c r="C338" s="114"/>
      <c r="D338" s="114"/>
      <c r="E338" s="99" t="s">
        <v>146</v>
      </c>
      <c r="F338" s="100"/>
      <c r="G338" s="114"/>
      <c r="H338" s="58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27.75" customHeight="1">
      <c r="A339" s="115"/>
      <c r="B339" s="113"/>
      <c r="C339" s="114"/>
      <c r="D339" s="114"/>
      <c r="E339" s="99" t="s">
        <v>147</v>
      </c>
      <c r="F339" s="100">
        <v>400.0</v>
      </c>
      <c r="G339" s="114"/>
      <c r="H339" s="58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27.75" customHeight="1">
      <c r="A340" s="115"/>
      <c r="B340" s="113"/>
      <c r="C340" s="114"/>
      <c r="D340" s="114"/>
      <c r="E340" s="99" t="s">
        <v>148</v>
      </c>
      <c r="F340" s="100"/>
      <c r="G340" s="114"/>
      <c r="H340" s="58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27.75" customHeight="1">
      <c r="A341" s="118"/>
      <c r="B341" s="119"/>
      <c r="C341" s="119"/>
      <c r="D341" s="119"/>
      <c r="E341" s="119"/>
      <c r="F341" s="119"/>
      <c r="G341" s="119"/>
      <c r="H341" s="58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27.75" customHeight="1">
      <c r="A342" s="102" t="s">
        <v>4</v>
      </c>
      <c r="B342" s="102" t="s">
        <v>5</v>
      </c>
      <c r="C342" s="102" t="s">
        <v>126</v>
      </c>
      <c r="D342" s="102" t="s">
        <v>6</v>
      </c>
      <c r="E342" s="102" t="s">
        <v>7</v>
      </c>
      <c r="F342" s="102" t="s">
        <v>127</v>
      </c>
      <c r="G342" s="103" t="s">
        <v>128</v>
      </c>
      <c r="H342" s="58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27.75" customHeight="1">
      <c r="A343" s="104">
        <v>1.0</v>
      </c>
      <c r="B343" s="105">
        <v>46098.0</v>
      </c>
      <c r="C343" s="106" t="s">
        <v>169</v>
      </c>
      <c r="D343" s="107"/>
      <c r="E343" s="107" t="s">
        <v>397</v>
      </c>
      <c r="F343" s="108" t="s">
        <v>398</v>
      </c>
      <c r="G343" s="109"/>
      <c r="H343" s="58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27.75" customHeight="1">
      <c r="A344" s="104">
        <v>2.0</v>
      </c>
      <c r="B344" s="120"/>
      <c r="C344" s="110"/>
      <c r="D344" s="107"/>
      <c r="E344" s="107" t="s">
        <v>399</v>
      </c>
      <c r="F344" s="108">
        <v>35.0</v>
      </c>
      <c r="G344" s="109"/>
      <c r="H344" s="58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27.75" customHeight="1">
      <c r="A345" s="104">
        <v>3.0</v>
      </c>
      <c r="B345" s="120"/>
      <c r="C345" s="110"/>
      <c r="D345" s="107"/>
      <c r="E345" s="107" t="s">
        <v>400</v>
      </c>
      <c r="F345" s="111"/>
      <c r="G345" s="109"/>
      <c r="H345" s="58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27.75" customHeight="1">
      <c r="A346" s="104">
        <v>4.0</v>
      </c>
      <c r="B346" s="120"/>
      <c r="C346" s="110"/>
      <c r="D346" s="107"/>
      <c r="E346" s="107" t="s">
        <v>401</v>
      </c>
      <c r="F346" s="111" t="s">
        <v>402</v>
      </c>
      <c r="G346" s="111"/>
      <c r="H346" s="58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27.75" customHeight="1">
      <c r="A347" s="104">
        <v>5.0</v>
      </c>
      <c r="B347" s="120"/>
      <c r="C347" s="110"/>
      <c r="D347" s="107"/>
      <c r="E347" s="107"/>
      <c r="F347" s="108"/>
      <c r="G347" s="109"/>
      <c r="H347" s="58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27.75" customHeight="1">
      <c r="A348" s="104">
        <v>6.0</v>
      </c>
      <c r="B348" s="120"/>
      <c r="C348" s="110"/>
      <c r="D348" s="107"/>
      <c r="E348" s="107" t="s">
        <v>403</v>
      </c>
      <c r="F348" s="111" t="s">
        <v>404</v>
      </c>
      <c r="G348" s="109"/>
      <c r="H348" s="58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27.75" customHeight="1">
      <c r="A349" s="104">
        <v>7.0</v>
      </c>
      <c r="B349" s="120"/>
      <c r="C349" s="110"/>
      <c r="D349" s="107"/>
      <c r="E349" s="107" t="s">
        <v>293</v>
      </c>
      <c r="F349" s="108" t="s">
        <v>405</v>
      </c>
      <c r="G349" s="109"/>
      <c r="H349" s="58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27.75" customHeight="1">
      <c r="A350" s="104">
        <v>8.0</v>
      </c>
      <c r="B350" s="120"/>
      <c r="C350" s="106"/>
      <c r="D350" s="107"/>
      <c r="E350" s="107" t="s">
        <v>406</v>
      </c>
      <c r="F350" s="108">
        <v>30.0</v>
      </c>
      <c r="G350" s="109"/>
      <c r="H350" s="58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27.75" customHeight="1">
      <c r="A351" s="104">
        <v>9.0</v>
      </c>
      <c r="B351" s="120"/>
      <c r="C351" s="110"/>
      <c r="D351" s="107"/>
      <c r="E351" s="107"/>
      <c r="F351" s="111" t="s">
        <v>407</v>
      </c>
      <c r="G351" s="109"/>
      <c r="H351" s="58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27.75" customHeight="1">
      <c r="A352" s="104">
        <v>10.0</v>
      </c>
      <c r="B352" s="120"/>
      <c r="C352" s="110"/>
      <c r="D352" s="107"/>
      <c r="E352" s="107" t="s">
        <v>408</v>
      </c>
      <c r="F352" s="108">
        <v>50.0</v>
      </c>
      <c r="G352" s="109"/>
      <c r="H352" s="58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27.75" customHeight="1">
      <c r="A353" s="104">
        <v>11.0</v>
      </c>
      <c r="B353" s="120"/>
      <c r="C353" s="110"/>
      <c r="D353" s="107"/>
      <c r="E353" s="107" t="s">
        <v>42</v>
      </c>
      <c r="F353" s="108">
        <v>85.0</v>
      </c>
      <c r="G353" s="109"/>
      <c r="H353" s="58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27.75" customHeight="1">
      <c r="A354" s="104">
        <v>12.0</v>
      </c>
      <c r="B354" s="120"/>
      <c r="C354" s="110"/>
      <c r="D354" s="107"/>
      <c r="E354" s="107" t="s">
        <v>409</v>
      </c>
      <c r="F354" s="108">
        <v>35.0</v>
      </c>
      <c r="G354" s="111"/>
      <c r="H354" s="58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27.75" customHeight="1">
      <c r="A355" s="104">
        <v>13.0</v>
      </c>
      <c r="B355" s="120"/>
      <c r="C355" s="110"/>
      <c r="D355" s="107"/>
      <c r="E355" s="107" t="s">
        <v>410</v>
      </c>
      <c r="F355" s="129">
        <v>35.0</v>
      </c>
      <c r="G355" s="109"/>
      <c r="H355" s="58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27.75" customHeight="1">
      <c r="A356" s="104">
        <v>14.0</v>
      </c>
      <c r="B356" s="120"/>
      <c r="C356" s="110"/>
      <c r="D356" s="107"/>
      <c r="E356" s="107" t="s">
        <v>411</v>
      </c>
      <c r="F356" s="108">
        <v>35.0</v>
      </c>
      <c r="G356" s="109"/>
      <c r="H356" s="58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27.75" customHeight="1">
      <c r="A357" s="122"/>
      <c r="B357" s="123"/>
      <c r="C357" s="124"/>
      <c r="D357" s="107"/>
      <c r="E357" s="107" t="s">
        <v>105</v>
      </c>
      <c r="F357" s="108">
        <v>35.0</v>
      </c>
      <c r="G357" s="109"/>
      <c r="H357" s="58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27.75" customHeight="1">
      <c r="A358" s="122"/>
      <c r="B358" s="123"/>
      <c r="C358" s="124"/>
      <c r="D358" s="107"/>
      <c r="E358" s="107" t="s">
        <v>412</v>
      </c>
      <c r="F358" s="108">
        <v>105.0</v>
      </c>
      <c r="G358" s="109"/>
      <c r="H358" s="58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27.75" customHeight="1">
      <c r="A359" s="122"/>
      <c r="B359" s="123"/>
      <c r="C359" s="124"/>
      <c r="D359" s="107"/>
      <c r="E359" s="107" t="s">
        <v>413</v>
      </c>
      <c r="F359" s="108"/>
      <c r="G359" s="109"/>
      <c r="H359" s="58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27.75" customHeight="1">
      <c r="A360" s="122"/>
      <c r="B360" s="123"/>
      <c r="C360" s="124"/>
      <c r="D360" s="107"/>
      <c r="E360" s="107" t="s">
        <v>414</v>
      </c>
      <c r="F360" s="108"/>
      <c r="G360" s="109"/>
      <c r="H360" s="58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27.75" customHeight="1">
      <c r="A361" s="122"/>
      <c r="B361" s="123"/>
      <c r="C361" s="124"/>
      <c r="D361" s="107"/>
      <c r="E361" s="107"/>
      <c r="F361" s="111" t="s">
        <v>415</v>
      </c>
      <c r="G361" s="109"/>
      <c r="H361" s="58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27.75" customHeight="1">
      <c r="A362" s="122"/>
      <c r="B362" s="123"/>
      <c r="C362" s="124"/>
      <c r="D362" s="107"/>
      <c r="E362" s="107" t="s">
        <v>416</v>
      </c>
      <c r="F362" s="108">
        <v>-95.0</v>
      </c>
      <c r="G362" s="111" t="s">
        <v>362</v>
      </c>
      <c r="H362" s="58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27.75" customHeight="1">
      <c r="A363" s="122"/>
      <c r="B363" s="123"/>
      <c r="C363" s="124"/>
      <c r="D363" s="107"/>
      <c r="E363" s="107" t="s">
        <v>367</v>
      </c>
      <c r="F363" s="108">
        <v>70.0</v>
      </c>
      <c r="G363" s="109"/>
      <c r="H363" s="58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27.75" customHeight="1">
      <c r="A364" s="122">
        <v>15.0</v>
      </c>
      <c r="B364" s="123"/>
      <c r="C364" s="124"/>
      <c r="D364" s="107"/>
      <c r="E364" s="107" t="s">
        <v>417</v>
      </c>
      <c r="F364" s="108">
        <v>70.0</v>
      </c>
      <c r="G364" s="109"/>
      <c r="H364" s="58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27.75" customHeight="1">
      <c r="A365" s="112"/>
      <c r="B365" s="113"/>
      <c r="C365" s="114"/>
      <c r="D365" s="114"/>
      <c r="E365" s="99" t="s">
        <v>144</v>
      </c>
      <c r="F365" s="100">
        <v>2000.0</v>
      </c>
      <c r="G365" s="114"/>
      <c r="H365" s="58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27.75" customHeight="1">
      <c r="A366" s="115"/>
      <c r="B366" s="113"/>
      <c r="C366" s="114"/>
      <c r="D366" s="114"/>
      <c r="E366" s="99" t="s">
        <v>145</v>
      </c>
      <c r="F366" s="100">
        <v>450.0</v>
      </c>
      <c r="G366" s="114"/>
      <c r="H366" s="58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27.75" customHeight="1">
      <c r="A367" s="115"/>
      <c r="B367" s="113"/>
      <c r="C367" s="114"/>
      <c r="D367" s="114"/>
      <c r="E367" s="99" t="s">
        <v>146</v>
      </c>
      <c r="F367" s="100"/>
      <c r="G367" s="114"/>
      <c r="H367" s="58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27.75" customHeight="1">
      <c r="A368" s="115"/>
      <c r="B368" s="113"/>
      <c r="C368" s="114"/>
      <c r="D368" s="114"/>
      <c r="E368" s="99" t="s">
        <v>147</v>
      </c>
      <c r="F368" s="100">
        <v>250.0</v>
      </c>
      <c r="G368" s="114"/>
      <c r="H368" s="58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27.75" customHeight="1">
      <c r="A369" s="115"/>
      <c r="B369" s="113"/>
      <c r="C369" s="114"/>
      <c r="D369" s="114"/>
      <c r="E369" s="99" t="s">
        <v>148</v>
      </c>
      <c r="F369" s="100">
        <v>200.0</v>
      </c>
      <c r="G369" s="114"/>
      <c r="H369" s="58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27.75" customHeight="1">
      <c r="A370" s="118"/>
      <c r="B370" s="119"/>
      <c r="C370" s="119"/>
      <c r="D370" s="119"/>
      <c r="E370" s="119"/>
      <c r="F370" s="130" t="s">
        <v>418</v>
      </c>
      <c r="G370" s="119"/>
      <c r="H370" s="58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27.75" customHeight="1">
      <c r="A371" s="102" t="s">
        <v>4</v>
      </c>
      <c r="B371" s="102" t="s">
        <v>5</v>
      </c>
      <c r="C371" s="102" t="s">
        <v>126</v>
      </c>
      <c r="D371" s="102" t="s">
        <v>6</v>
      </c>
      <c r="E371" s="102" t="s">
        <v>7</v>
      </c>
      <c r="F371" s="102" t="s">
        <v>127</v>
      </c>
      <c r="G371" s="103" t="s">
        <v>128</v>
      </c>
      <c r="H371" s="58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27.75" customHeight="1">
      <c r="A372" s="104">
        <v>1.0</v>
      </c>
      <c r="B372" s="105">
        <v>46099.0</v>
      </c>
      <c r="C372" s="106" t="s">
        <v>299</v>
      </c>
      <c r="D372" s="107"/>
      <c r="E372" s="107" t="s">
        <v>419</v>
      </c>
      <c r="F372" s="108"/>
      <c r="G372" s="109"/>
      <c r="H372" s="58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27.75" customHeight="1">
      <c r="A373" s="104">
        <v>2.0</v>
      </c>
      <c r="B373" s="120"/>
      <c r="C373" s="110"/>
      <c r="D373" s="107"/>
      <c r="E373" s="107" t="s">
        <v>420</v>
      </c>
      <c r="F373" s="108"/>
      <c r="G373" s="109"/>
      <c r="H373" s="58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27.75" customHeight="1">
      <c r="A374" s="104">
        <v>3.0</v>
      </c>
      <c r="B374" s="120"/>
      <c r="C374" s="110"/>
      <c r="D374" s="107"/>
      <c r="E374" s="107" t="s">
        <v>421</v>
      </c>
      <c r="F374" s="111"/>
      <c r="G374" s="109"/>
      <c r="H374" s="58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27.75" customHeight="1">
      <c r="A375" s="104">
        <v>4.0</v>
      </c>
      <c r="B375" s="120"/>
      <c r="C375" s="110"/>
      <c r="D375" s="107"/>
      <c r="E375" s="107" t="s">
        <v>422</v>
      </c>
      <c r="F375" s="108"/>
      <c r="G375" s="111"/>
      <c r="H375" s="58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27.75" customHeight="1">
      <c r="A376" s="104">
        <v>5.0</v>
      </c>
      <c r="B376" s="120"/>
      <c r="C376" s="110"/>
      <c r="D376" s="107"/>
      <c r="E376" s="107" t="s">
        <v>423</v>
      </c>
      <c r="F376" s="108"/>
      <c r="G376" s="109"/>
      <c r="H376" s="58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27.75" customHeight="1">
      <c r="A377" s="104">
        <v>6.0</v>
      </c>
      <c r="B377" s="120"/>
      <c r="C377" s="110"/>
      <c r="D377" s="107"/>
      <c r="E377" s="107" t="s">
        <v>424</v>
      </c>
      <c r="F377" s="111" t="s">
        <v>425</v>
      </c>
      <c r="G377" s="109"/>
      <c r="H377" s="58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27.75" customHeight="1">
      <c r="A378" s="104">
        <v>7.0</v>
      </c>
      <c r="B378" s="120"/>
      <c r="C378" s="110"/>
      <c r="D378" s="107"/>
      <c r="E378" s="107" t="s">
        <v>426</v>
      </c>
      <c r="F378" s="108"/>
      <c r="G378" s="109"/>
      <c r="H378" s="58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27.75" customHeight="1">
      <c r="A379" s="104">
        <v>8.0</v>
      </c>
      <c r="B379" s="120"/>
      <c r="C379" s="106"/>
      <c r="D379" s="107"/>
      <c r="E379" s="107" t="s">
        <v>427</v>
      </c>
      <c r="F379" s="108"/>
      <c r="G379" s="111" t="s">
        <v>362</v>
      </c>
      <c r="H379" s="58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27.75" customHeight="1">
      <c r="A380" s="104">
        <v>9.0</v>
      </c>
      <c r="B380" s="120"/>
      <c r="C380" s="110"/>
      <c r="D380" s="107"/>
      <c r="E380" s="107" t="s">
        <v>428</v>
      </c>
      <c r="F380" s="108"/>
      <c r="G380" s="109"/>
      <c r="H380" s="58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27.75" customHeight="1">
      <c r="A381" s="104">
        <v>10.0</v>
      </c>
      <c r="B381" s="120"/>
      <c r="C381" s="110"/>
      <c r="D381" s="107"/>
      <c r="E381" s="107" t="s">
        <v>429</v>
      </c>
      <c r="F381" s="108"/>
      <c r="G381" s="111" t="s">
        <v>362</v>
      </c>
      <c r="H381" s="58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27.75" customHeight="1">
      <c r="A382" s="104">
        <v>11.0</v>
      </c>
      <c r="B382" s="120"/>
      <c r="C382" s="110"/>
      <c r="D382" s="107"/>
      <c r="E382" s="107" t="s">
        <v>430</v>
      </c>
      <c r="F382" s="108"/>
      <c r="G382" s="111" t="s">
        <v>362</v>
      </c>
      <c r="H382" s="58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27.75" customHeight="1">
      <c r="A383" s="104">
        <v>12.0</v>
      </c>
      <c r="B383" s="120"/>
      <c r="C383" s="110"/>
      <c r="D383" s="107"/>
      <c r="E383" s="107" t="s">
        <v>431</v>
      </c>
      <c r="F383" s="109"/>
      <c r="G383" s="111"/>
      <c r="H383" s="58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27.75" customHeight="1">
      <c r="A384" s="104">
        <v>13.0</v>
      </c>
      <c r="B384" s="120"/>
      <c r="C384" s="110"/>
      <c r="D384" s="107"/>
      <c r="E384" s="107" t="s">
        <v>432</v>
      </c>
      <c r="F384" s="121"/>
      <c r="G384" s="109"/>
      <c r="H384" s="58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27.75" customHeight="1">
      <c r="A385" s="104">
        <v>14.0</v>
      </c>
      <c r="B385" s="120"/>
      <c r="C385" s="110"/>
      <c r="D385" s="107"/>
      <c r="E385" s="107" t="s">
        <v>433</v>
      </c>
      <c r="F385" s="108"/>
      <c r="G385" s="109"/>
      <c r="H385" s="58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27.75" customHeight="1">
      <c r="A386" s="122"/>
      <c r="B386" s="123"/>
      <c r="C386" s="124"/>
      <c r="D386" s="107"/>
      <c r="E386" s="107" t="s">
        <v>434</v>
      </c>
      <c r="F386" s="109"/>
      <c r="G386" s="109"/>
      <c r="H386" s="58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27.75" customHeight="1">
      <c r="A387" s="122"/>
      <c r="B387" s="123"/>
      <c r="C387" s="124"/>
      <c r="D387" s="107"/>
      <c r="E387" s="107" t="s">
        <v>435</v>
      </c>
      <c r="F387" s="109"/>
      <c r="G387" s="109"/>
      <c r="H387" s="58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27.75" customHeight="1">
      <c r="A388" s="122"/>
      <c r="B388" s="123"/>
      <c r="C388" s="124"/>
      <c r="D388" s="107"/>
      <c r="E388" s="107" t="s">
        <v>436</v>
      </c>
      <c r="F388" s="109"/>
      <c r="G388" s="109"/>
      <c r="H388" s="58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27.75" customHeight="1">
      <c r="A389" s="122"/>
      <c r="B389" s="123"/>
      <c r="C389" s="124"/>
      <c r="D389" s="107"/>
      <c r="E389" s="107" t="s">
        <v>437</v>
      </c>
      <c r="F389" s="109"/>
      <c r="G389" s="109"/>
      <c r="H389" s="58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27.75" customHeight="1">
      <c r="A390" s="122">
        <v>15.0</v>
      </c>
      <c r="B390" s="123"/>
      <c r="C390" s="124"/>
      <c r="D390" s="107"/>
      <c r="E390" s="107" t="s">
        <v>438</v>
      </c>
      <c r="F390" s="109"/>
      <c r="G390" s="109"/>
      <c r="H390" s="58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27.75" customHeight="1">
      <c r="A391" s="112"/>
      <c r="B391" s="113"/>
      <c r="C391" s="114"/>
      <c r="D391" s="114"/>
      <c r="E391" s="99" t="s">
        <v>144</v>
      </c>
      <c r="F391" s="131"/>
      <c r="G391" s="132"/>
      <c r="H391" s="58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27.75" customHeight="1">
      <c r="A392" s="115"/>
      <c r="B392" s="113"/>
      <c r="C392" s="114"/>
      <c r="D392" s="114"/>
      <c r="E392" s="99" t="s">
        <v>145</v>
      </c>
      <c r="F392" s="100">
        <v>1395.0</v>
      </c>
      <c r="G392" s="133" t="s">
        <v>439</v>
      </c>
      <c r="H392" s="58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27.75" customHeight="1">
      <c r="A393" s="115"/>
      <c r="B393" s="113"/>
      <c r="C393" s="114"/>
      <c r="D393" s="114"/>
      <c r="E393" s="99" t="s">
        <v>146</v>
      </c>
      <c r="F393" s="100"/>
      <c r="G393" s="114"/>
      <c r="H393" s="58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27.75" customHeight="1">
      <c r="A394" s="115"/>
      <c r="B394" s="113"/>
      <c r="C394" s="114"/>
      <c r="D394" s="114"/>
      <c r="E394" s="99" t="s">
        <v>147</v>
      </c>
      <c r="F394" s="100">
        <v>250.0</v>
      </c>
      <c r="G394" s="114"/>
      <c r="H394" s="58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27.75" customHeight="1">
      <c r="A395" s="115"/>
      <c r="B395" s="113"/>
      <c r="C395" s="114"/>
      <c r="D395" s="114"/>
      <c r="E395" s="99" t="s">
        <v>148</v>
      </c>
      <c r="F395" s="100">
        <v>1145.0</v>
      </c>
      <c r="G395" s="114"/>
      <c r="H395" s="58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27.75" customHeight="1">
      <c r="A396" s="118"/>
      <c r="B396" s="119"/>
      <c r="C396" s="119"/>
      <c r="D396" s="119"/>
      <c r="E396" s="119"/>
      <c r="F396" s="119"/>
      <c r="G396" s="119"/>
      <c r="H396" s="58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27.75" customHeight="1">
      <c r="A397" s="102" t="s">
        <v>4</v>
      </c>
      <c r="B397" s="102" t="s">
        <v>5</v>
      </c>
      <c r="C397" s="102" t="s">
        <v>126</v>
      </c>
      <c r="D397" s="102" t="s">
        <v>6</v>
      </c>
      <c r="E397" s="102" t="s">
        <v>7</v>
      </c>
      <c r="F397" s="102" t="s">
        <v>127</v>
      </c>
      <c r="G397" s="103" t="s">
        <v>128</v>
      </c>
      <c r="H397" s="58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27.75" customHeight="1">
      <c r="A398" s="104">
        <v>1.0</v>
      </c>
      <c r="B398" s="105">
        <v>46100.0</v>
      </c>
      <c r="C398" s="106" t="s">
        <v>211</v>
      </c>
      <c r="D398" s="106" t="s">
        <v>193</v>
      </c>
      <c r="E398" s="107" t="s">
        <v>440</v>
      </c>
      <c r="F398" s="111" t="s">
        <v>441</v>
      </c>
      <c r="G398" s="109"/>
      <c r="H398" s="58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27.75" customHeight="1">
      <c r="A399" s="104">
        <v>2.0</v>
      </c>
      <c r="B399" s="105">
        <v>46100.0</v>
      </c>
      <c r="C399" s="106" t="s">
        <v>211</v>
      </c>
      <c r="D399" s="106" t="s">
        <v>193</v>
      </c>
      <c r="E399" s="107" t="s">
        <v>69</v>
      </c>
      <c r="F399" s="108">
        <v>50.0</v>
      </c>
      <c r="G399" s="109"/>
      <c r="H399" s="58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27.75" customHeight="1">
      <c r="A400" s="104">
        <v>3.0</v>
      </c>
      <c r="B400" s="105">
        <v>46100.0</v>
      </c>
      <c r="C400" s="106" t="s">
        <v>211</v>
      </c>
      <c r="D400" s="106" t="s">
        <v>193</v>
      </c>
      <c r="E400" s="107" t="s">
        <v>442</v>
      </c>
      <c r="F400" s="111" t="s">
        <v>269</v>
      </c>
      <c r="G400" s="109"/>
      <c r="H400" s="58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27.75" customHeight="1">
      <c r="A401" s="104">
        <v>4.0</v>
      </c>
      <c r="B401" s="105">
        <v>46100.0</v>
      </c>
      <c r="C401" s="106" t="s">
        <v>211</v>
      </c>
      <c r="D401" s="106" t="s">
        <v>193</v>
      </c>
      <c r="E401" s="107" t="s">
        <v>443</v>
      </c>
      <c r="F401" s="108"/>
      <c r="G401" s="111"/>
      <c r="H401" s="58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27.75" customHeight="1">
      <c r="A402" s="104">
        <v>5.0</v>
      </c>
      <c r="B402" s="105">
        <v>46100.0</v>
      </c>
      <c r="C402" s="106" t="s">
        <v>211</v>
      </c>
      <c r="D402" s="106" t="s">
        <v>193</v>
      </c>
      <c r="E402" s="107" t="s">
        <v>444</v>
      </c>
      <c r="F402" s="108"/>
      <c r="G402" s="109"/>
      <c r="H402" s="58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27.75" customHeight="1">
      <c r="A403" s="104">
        <v>6.0</v>
      </c>
      <c r="B403" s="105">
        <v>46100.0</v>
      </c>
      <c r="C403" s="106" t="s">
        <v>211</v>
      </c>
      <c r="D403" s="106" t="s">
        <v>193</v>
      </c>
      <c r="E403" s="107" t="s">
        <v>445</v>
      </c>
      <c r="F403" s="108"/>
      <c r="G403" s="109"/>
      <c r="H403" s="58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27.75" customHeight="1">
      <c r="A404" s="104">
        <v>7.0</v>
      </c>
      <c r="B404" s="105">
        <v>46100.0</v>
      </c>
      <c r="C404" s="106" t="s">
        <v>211</v>
      </c>
      <c r="D404" s="106" t="s">
        <v>193</v>
      </c>
      <c r="E404" s="107" t="s">
        <v>446</v>
      </c>
      <c r="F404" s="108"/>
      <c r="G404" s="109"/>
      <c r="H404" s="58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27.75" customHeight="1">
      <c r="A405" s="104">
        <v>8.0</v>
      </c>
      <c r="B405" s="105">
        <v>46100.0</v>
      </c>
      <c r="C405" s="106" t="s">
        <v>211</v>
      </c>
      <c r="D405" s="106" t="s">
        <v>193</v>
      </c>
      <c r="E405" s="107" t="s">
        <v>447</v>
      </c>
      <c r="F405" s="108"/>
      <c r="G405" s="109"/>
      <c r="H405" s="58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27.75" customHeight="1">
      <c r="A406" s="104">
        <v>9.0</v>
      </c>
      <c r="B406" s="105">
        <v>46100.0</v>
      </c>
      <c r="C406" s="106" t="s">
        <v>211</v>
      </c>
      <c r="D406" s="106" t="s">
        <v>193</v>
      </c>
      <c r="E406" s="107" t="s">
        <v>448</v>
      </c>
      <c r="F406" s="108"/>
      <c r="G406" s="109"/>
      <c r="H406" s="58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27.75" customHeight="1">
      <c r="A407" s="104">
        <v>10.0</v>
      </c>
      <c r="B407" s="105">
        <v>46100.0</v>
      </c>
      <c r="C407" s="106" t="s">
        <v>211</v>
      </c>
      <c r="D407" s="106" t="s">
        <v>193</v>
      </c>
      <c r="E407" s="107" t="s">
        <v>449</v>
      </c>
      <c r="F407" s="108"/>
      <c r="G407" s="109"/>
      <c r="H407" s="58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27.75" customHeight="1">
      <c r="A408" s="104">
        <v>11.0</v>
      </c>
      <c r="B408" s="105">
        <v>46100.0</v>
      </c>
      <c r="C408" s="106" t="s">
        <v>211</v>
      </c>
      <c r="D408" s="106" t="s">
        <v>193</v>
      </c>
      <c r="E408" s="107" t="s">
        <v>450</v>
      </c>
      <c r="F408" s="108"/>
      <c r="G408" s="109"/>
      <c r="H408" s="58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27.75" customHeight="1">
      <c r="A409" s="104">
        <v>12.0</v>
      </c>
      <c r="B409" s="105">
        <v>46100.0</v>
      </c>
      <c r="C409" s="106" t="s">
        <v>211</v>
      </c>
      <c r="D409" s="106" t="s">
        <v>193</v>
      </c>
      <c r="E409" s="107" t="s">
        <v>451</v>
      </c>
      <c r="F409" s="108" t="s">
        <v>452</v>
      </c>
      <c r="G409" s="111"/>
      <c r="H409" s="58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27.75" customHeight="1">
      <c r="A410" s="104">
        <v>13.0</v>
      </c>
      <c r="B410" s="105">
        <v>46100.0</v>
      </c>
      <c r="C410" s="106" t="s">
        <v>211</v>
      </c>
      <c r="D410" s="106" t="s">
        <v>193</v>
      </c>
      <c r="E410" s="107" t="s">
        <v>453</v>
      </c>
      <c r="F410" s="109"/>
      <c r="G410" s="109"/>
      <c r="H410" s="58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27.75" customHeight="1">
      <c r="A411" s="104"/>
      <c r="B411" s="105">
        <v>46100.0</v>
      </c>
      <c r="C411" s="106" t="s">
        <v>211</v>
      </c>
      <c r="D411" s="106" t="s">
        <v>193</v>
      </c>
      <c r="E411" s="107" t="s">
        <v>454</v>
      </c>
      <c r="F411" s="134" t="s">
        <v>404</v>
      </c>
      <c r="G411" s="109"/>
      <c r="H411" s="58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27.75" customHeight="1">
      <c r="A412" s="104"/>
      <c r="B412" s="105">
        <v>46100.0</v>
      </c>
      <c r="C412" s="106" t="s">
        <v>211</v>
      </c>
      <c r="D412" s="106" t="s">
        <v>193</v>
      </c>
      <c r="E412" s="107" t="s">
        <v>455</v>
      </c>
      <c r="F412" s="135"/>
      <c r="G412" s="109"/>
      <c r="H412" s="58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27.75" customHeight="1">
      <c r="A413" s="104"/>
      <c r="B413" s="105">
        <v>46100.0</v>
      </c>
      <c r="C413" s="106" t="s">
        <v>211</v>
      </c>
      <c r="D413" s="106" t="s">
        <v>193</v>
      </c>
      <c r="E413" s="107" t="s">
        <v>98</v>
      </c>
      <c r="F413" s="135">
        <v>50.0</v>
      </c>
      <c r="G413" s="109"/>
      <c r="H413" s="58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27.75" customHeight="1">
      <c r="A414" s="104"/>
      <c r="B414" s="105">
        <v>46100.0</v>
      </c>
      <c r="C414" s="106" t="s">
        <v>211</v>
      </c>
      <c r="D414" s="106" t="s">
        <v>193</v>
      </c>
      <c r="E414" s="107" t="s">
        <v>200</v>
      </c>
      <c r="F414" s="135">
        <v>35.0</v>
      </c>
      <c r="G414" s="109"/>
      <c r="H414" s="58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27.75" customHeight="1">
      <c r="A415" s="104"/>
      <c r="B415" s="105">
        <v>46100.0</v>
      </c>
      <c r="C415" s="106" t="s">
        <v>211</v>
      </c>
      <c r="D415" s="106" t="s">
        <v>193</v>
      </c>
      <c r="E415" s="107" t="s">
        <v>456</v>
      </c>
      <c r="F415" s="134" t="s">
        <v>457</v>
      </c>
      <c r="G415" s="109"/>
      <c r="H415" s="58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27.75" customHeight="1">
      <c r="A416" s="104"/>
      <c r="B416" s="105">
        <v>46100.0</v>
      </c>
      <c r="C416" s="106" t="s">
        <v>211</v>
      </c>
      <c r="D416" s="106" t="s">
        <v>193</v>
      </c>
      <c r="E416" s="107" t="s">
        <v>458</v>
      </c>
      <c r="F416" s="135">
        <v>40.0</v>
      </c>
      <c r="G416" s="109"/>
      <c r="H416" s="58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27.75" customHeight="1">
      <c r="A417" s="104"/>
      <c r="B417" s="105">
        <v>46100.0</v>
      </c>
      <c r="C417" s="106" t="s">
        <v>211</v>
      </c>
      <c r="D417" s="106" t="s">
        <v>193</v>
      </c>
      <c r="E417" s="107" t="s">
        <v>459</v>
      </c>
      <c r="F417" s="135" t="s">
        <v>460</v>
      </c>
      <c r="G417" s="109"/>
      <c r="H417" s="58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27.75" customHeight="1">
      <c r="A418" s="104"/>
      <c r="B418" s="105">
        <v>46100.0</v>
      </c>
      <c r="C418" s="106" t="s">
        <v>211</v>
      </c>
      <c r="D418" s="106" t="s">
        <v>193</v>
      </c>
      <c r="E418" s="107" t="s">
        <v>461</v>
      </c>
      <c r="F418" s="135"/>
      <c r="G418" s="109"/>
      <c r="H418" s="58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27.75" customHeight="1">
      <c r="A419" s="104"/>
      <c r="B419" s="105">
        <v>46100.0</v>
      </c>
      <c r="C419" s="106" t="s">
        <v>211</v>
      </c>
      <c r="D419" s="106" t="s">
        <v>193</v>
      </c>
      <c r="E419" s="107" t="s">
        <v>462</v>
      </c>
      <c r="F419" s="135">
        <v>35.0</v>
      </c>
      <c r="G419" s="109"/>
      <c r="H419" s="58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27.75" customHeight="1">
      <c r="A420" s="104"/>
      <c r="B420" s="105">
        <v>46100.0</v>
      </c>
      <c r="C420" s="106" t="s">
        <v>211</v>
      </c>
      <c r="D420" s="106" t="s">
        <v>193</v>
      </c>
      <c r="E420" s="107" t="s">
        <v>463</v>
      </c>
      <c r="F420" s="134" t="s">
        <v>464</v>
      </c>
      <c r="G420" s="136" t="s">
        <v>465</v>
      </c>
      <c r="H420" s="58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27.75" customHeight="1">
      <c r="A421" s="104"/>
      <c r="B421" s="105">
        <v>46100.0</v>
      </c>
      <c r="C421" s="106" t="s">
        <v>211</v>
      </c>
      <c r="D421" s="106" t="s">
        <v>193</v>
      </c>
      <c r="E421" s="107" t="s">
        <v>298</v>
      </c>
      <c r="F421" s="135"/>
      <c r="G421" s="109"/>
      <c r="H421" s="58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27.75" customHeight="1">
      <c r="A422" s="104"/>
      <c r="B422" s="105">
        <v>46100.0</v>
      </c>
      <c r="C422" s="106" t="s">
        <v>211</v>
      </c>
      <c r="D422" s="106" t="s">
        <v>193</v>
      </c>
      <c r="E422" s="107" t="s">
        <v>367</v>
      </c>
      <c r="F422" s="134" t="s">
        <v>466</v>
      </c>
      <c r="G422" s="109"/>
      <c r="H422" s="58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27.75" customHeight="1">
      <c r="A423" s="104"/>
      <c r="B423" s="105">
        <v>46100.0</v>
      </c>
      <c r="C423" s="106" t="s">
        <v>211</v>
      </c>
      <c r="D423" s="106" t="s">
        <v>193</v>
      </c>
      <c r="E423" s="107" t="s">
        <v>467</v>
      </c>
      <c r="F423" s="135"/>
      <c r="G423" s="109"/>
      <c r="H423" s="58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27.75" customHeight="1">
      <c r="A424" s="104">
        <v>14.0</v>
      </c>
      <c r="B424" s="105">
        <v>46100.0</v>
      </c>
      <c r="C424" s="106" t="s">
        <v>211</v>
      </c>
      <c r="D424" s="106" t="s">
        <v>193</v>
      </c>
      <c r="E424" s="107" t="s">
        <v>468</v>
      </c>
      <c r="F424" s="108"/>
      <c r="G424" s="109"/>
      <c r="H424" s="58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27.75" customHeight="1">
      <c r="A425" s="122">
        <v>15.0</v>
      </c>
      <c r="B425" s="105">
        <v>46100.0</v>
      </c>
      <c r="C425" s="106" t="s">
        <v>211</v>
      </c>
      <c r="D425" s="106" t="s">
        <v>193</v>
      </c>
      <c r="E425" s="107" t="s">
        <v>469</v>
      </c>
      <c r="F425" s="109"/>
      <c r="G425" s="109"/>
      <c r="H425" s="58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27.75" customHeight="1">
      <c r="A426" s="112"/>
      <c r="B426" s="113"/>
      <c r="C426" s="114"/>
      <c r="D426" s="114"/>
      <c r="E426" s="99" t="s">
        <v>144</v>
      </c>
      <c r="F426" s="100">
        <v>1145.0</v>
      </c>
      <c r="G426" s="114"/>
      <c r="H426" s="58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27.75" customHeight="1">
      <c r="A427" s="115"/>
      <c r="B427" s="113"/>
      <c r="C427" s="114"/>
      <c r="D427" s="114"/>
      <c r="E427" s="99" t="s">
        <v>145</v>
      </c>
      <c r="F427" s="100">
        <v>580.0</v>
      </c>
      <c r="G427" s="114"/>
      <c r="H427" s="58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27.75" customHeight="1">
      <c r="A428" s="115"/>
      <c r="B428" s="113"/>
      <c r="C428" s="114"/>
      <c r="D428" s="114"/>
      <c r="E428" s="99" t="s">
        <v>146</v>
      </c>
      <c r="F428" s="100"/>
      <c r="G428" s="114"/>
      <c r="H428" s="58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27.75" customHeight="1">
      <c r="A429" s="115"/>
      <c r="B429" s="113"/>
      <c r="C429" s="114"/>
      <c r="D429" s="114"/>
      <c r="E429" s="99" t="s">
        <v>147</v>
      </c>
      <c r="F429" s="100">
        <v>300.0</v>
      </c>
      <c r="G429" s="114"/>
      <c r="H429" s="58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27.75" customHeight="1">
      <c r="A430" s="115"/>
      <c r="B430" s="113"/>
      <c r="C430" s="114"/>
      <c r="D430" s="114"/>
      <c r="E430" s="99" t="s">
        <v>148</v>
      </c>
      <c r="F430" s="100">
        <v>280.0</v>
      </c>
      <c r="G430" s="114"/>
      <c r="H430" s="58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27.75" customHeight="1">
      <c r="A431" s="118"/>
      <c r="B431" s="119"/>
      <c r="C431" s="119"/>
      <c r="D431" s="119"/>
      <c r="E431" s="119"/>
      <c r="F431" s="119"/>
      <c r="G431" s="119"/>
      <c r="H431" s="58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27.75" customHeight="1">
      <c r="A432" s="102" t="s">
        <v>4</v>
      </c>
      <c r="B432" s="102" t="s">
        <v>5</v>
      </c>
      <c r="C432" s="102" t="s">
        <v>126</v>
      </c>
      <c r="D432" s="102" t="s">
        <v>6</v>
      </c>
      <c r="E432" s="102" t="s">
        <v>7</v>
      </c>
      <c r="F432" s="102" t="s">
        <v>127</v>
      </c>
      <c r="G432" s="103" t="s">
        <v>128</v>
      </c>
      <c r="H432" s="58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27.75" customHeight="1">
      <c r="A433" s="137">
        <v>1.0</v>
      </c>
      <c r="B433" s="138">
        <v>46101.0</v>
      </c>
      <c r="C433" s="139" t="s">
        <v>470</v>
      </c>
      <c r="D433" s="140" t="s">
        <v>193</v>
      </c>
      <c r="E433" s="141" t="s">
        <v>471</v>
      </c>
      <c r="F433" s="142"/>
      <c r="G433" s="143"/>
      <c r="H433" s="58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27.75" customHeight="1">
      <c r="A434" s="137">
        <v>2.0</v>
      </c>
      <c r="B434" s="138">
        <v>46101.0</v>
      </c>
      <c r="C434" s="139" t="s">
        <v>470</v>
      </c>
      <c r="D434" s="140" t="s">
        <v>193</v>
      </c>
      <c r="E434" s="141" t="s">
        <v>472</v>
      </c>
      <c r="F434" s="142"/>
      <c r="G434" s="143"/>
      <c r="H434" s="58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27.75" customHeight="1">
      <c r="A435" s="137">
        <v>3.0</v>
      </c>
      <c r="B435" s="138">
        <v>46101.0</v>
      </c>
      <c r="C435" s="139" t="s">
        <v>470</v>
      </c>
      <c r="D435" s="140" t="s">
        <v>193</v>
      </c>
      <c r="E435" s="141" t="s">
        <v>473</v>
      </c>
      <c r="F435" s="142"/>
      <c r="G435" s="143"/>
      <c r="H435" s="58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27.75" customHeight="1">
      <c r="A436" s="137">
        <v>4.0</v>
      </c>
      <c r="B436" s="138">
        <v>46101.0</v>
      </c>
      <c r="C436" s="139" t="s">
        <v>470</v>
      </c>
      <c r="D436" s="140" t="s">
        <v>193</v>
      </c>
      <c r="E436" s="141" t="s">
        <v>474</v>
      </c>
      <c r="F436" s="143"/>
      <c r="G436" s="143"/>
      <c r="H436" s="58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27.75" customHeight="1">
      <c r="A437" s="118"/>
      <c r="B437" s="119"/>
      <c r="C437" s="119"/>
      <c r="D437" s="119"/>
      <c r="E437" s="144" t="s">
        <v>475</v>
      </c>
      <c r="F437" s="119"/>
      <c r="G437" s="119"/>
      <c r="H437" s="58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27.75" customHeight="1">
      <c r="A438" s="118"/>
      <c r="B438" s="119"/>
      <c r="C438" s="119"/>
      <c r="D438" s="119"/>
      <c r="E438" s="119"/>
      <c r="F438" s="119"/>
      <c r="G438" s="119"/>
      <c r="H438" s="58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27.75" customHeight="1">
      <c r="A439" s="118"/>
      <c r="B439" s="119"/>
      <c r="C439" s="119"/>
      <c r="D439" s="119"/>
      <c r="E439" s="119"/>
      <c r="F439" s="119"/>
      <c r="G439" s="119"/>
      <c r="H439" s="58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27.75" customHeight="1">
      <c r="A440" s="102" t="s">
        <v>4</v>
      </c>
      <c r="B440" s="102" t="s">
        <v>5</v>
      </c>
      <c r="C440" s="102" t="s">
        <v>126</v>
      </c>
      <c r="D440" s="102" t="s">
        <v>6</v>
      </c>
      <c r="E440" s="102" t="s">
        <v>7</v>
      </c>
      <c r="F440" s="102" t="s">
        <v>127</v>
      </c>
      <c r="G440" s="103" t="s">
        <v>128</v>
      </c>
      <c r="H440" s="58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27.75" customHeight="1">
      <c r="A441" s="104">
        <v>1.0</v>
      </c>
      <c r="B441" s="105">
        <v>46103.0</v>
      </c>
      <c r="C441" s="106" t="s">
        <v>476</v>
      </c>
      <c r="D441" s="107"/>
      <c r="E441" s="107" t="s">
        <v>477</v>
      </c>
      <c r="F441" s="108" t="s">
        <v>61</v>
      </c>
      <c r="G441" s="109"/>
      <c r="H441" s="58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27.75" customHeight="1">
      <c r="A442" s="104">
        <v>2.0</v>
      </c>
      <c r="B442" s="120"/>
      <c r="C442" s="110"/>
      <c r="D442" s="107"/>
      <c r="E442" s="107" t="s">
        <v>478</v>
      </c>
      <c r="F442" s="108"/>
      <c r="G442" s="109"/>
      <c r="H442" s="58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27.75" customHeight="1">
      <c r="A443" s="104">
        <v>3.0</v>
      </c>
      <c r="B443" s="120"/>
      <c r="C443" s="110"/>
      <c r="D443" s="107"/>
      <c r="E443" s="107" t="s">
        <v>479</v>
      </c>
      <c r="F443" s="111"/>
      <c r="G443" s="109"/>
      <c r="H443" s="58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27.75" customHeight="1">
      <c r="A444" s="104">
        <v>4.0</v>
      </c>
      <c r="B444" s="120"/>
      <c r="C444" s="110"/>
      <c r="D444" s="107"/>
      <c r="E444" s="107" t="s">
        <v>480</v>
      </c>
      <c r="F444" s="108"/>
      <c r="G444" s="111"/>
      <c r="H444" s="58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27.75" customHeight="1">
      <c r="A445" s="104">
        <v>5.0</v>
      </c>
      <c r="B445" s="120"/>
      <c r="C445" s="110"/>
      <c r="D445" s="107"/>
      <c r="E445" s="107" t="s">
        <v>481</v>
      </c>
      <c r="F445" s="108"/>
      <c r="G445" s="109"/>
      <c r="H445" s="58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27.75" customHeight="1">
      <c r="A446" s="104">
        <v>6.0</v>
      </c>
      <c r="B446" s="120"/>
      <c r="C446" s="110"/>
      <c r="D446" s="107"/>
      <c r="E446" s="107" t="s">
        <v>482</v>
      </c>
      <c r="F446" s="108"/>
      <c r="G446" s="109"/>
      <c r="H446" s="58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27.75" customHeight="1">
      <c r="A447" s="104">
        <v>7.0</v>
      </c>
      <c r="B447" s="120"/>
      <c r="C447" s="110"/>
      <c r="D447" s="107"/>
      <c r="E447" s="107" t="s">
        <v>483</v>
      </c>
      <c r="F447" s="108"/>
      <c r="G447" s="109"/>
      <c r="H447" s="58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27.75" customHeight="1">
      <c r="A448" s="104">
        <v>8.0</v>
      </c>
      <c r="B448" s="120"/>
      <c r="C448" s="106"/>
      <c r="D448" s="107"/>
      <c r="E448" s="107" t="s">
        <v>484</v>
      </c>
      <c r="F448" s="108"/>
      <c r="G448" s="109"/>
      <c r="H448" s="58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27.75" customHeight="1">
      <c r="A449" s="104">
        <v>9.0</v>
      </c>
      <c r="B449" s="120"/>
      <c r="C449" s="110"/>
      <c r="D449" s="107"/>
      <c r="E449" s="107" t="s">
        <v>485</v>
      </c>
      <c r="F449" s="108" t="s">
        <v>486</v>
      </c>
      <c r="G449" s="111" t="s">
        <v>487</v>
      </c>
      <c r="H449" s="58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27.75" customHeight="1">
      <c r="A450" s="104">
        <v>10.0</v>
      </c>
      <c r="B450" s="120"/>
      <c r="C450" s="110"/>
      <c r="D450" s="107"/>
      <c r="E450" s="107" t="s">
        <v>488</v>
      </c>
      <c r="F450" s="108"/>
      <c r="G450" s="109"/>
      <c r="H450" s="58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27.75" customHeight="1">
      <c r="A451" s="104">
        <v>11.0</v>
      </c>
      <c r="B451" s="120"/>
      <c r="C451" s="110"/>
      <c r="D451" s="107"/>
      <c r="E451" s="107"/>
      <c r="F451" s="108"/>
      <c r="G451" s="109"/>
      <c r="H451" s="58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27.75" customHeight="1">
      <c r="A452" s="104">
        <v>12.0</v>
      </c>
      <c r="B452" s="120"/>
      <c r="C452" s="110"/>
      <c r="D452" s="107"/>
      <c r="E452" s="145" t="s">
        <v>489</v>
      </c>
      <c r="F452" s="111" t="s">
        <v>490</v>
      </c>
      <c r="G452" s="111"/>
      <c r="H452" s="58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27.75" customHeight="1">
      <c r="A453" s="104">
        <v>13.0</v>
      </c>
      <c r="B453" s="120"/>
      <c r="C453" s="110"/>
      <c r="D453" s="107"/>
      <c r="E453" s="107"/>
      <c r="F453" s="121"/>
      <c r="G453" s="109"/>
      <c r="H453" s="58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27.75" customHeight="1">
      <c r="A454" s="104">
        <v>14.0</v>
      </c>
      <c r="B454" s="120"/>
      <c r="C454" s="110"/>
      <c r="D454" s="107"/>
      <c r="E454" s="107"/>
      <c r="F454" s="108"/>
      <c r="G454" s="109"/>
      <c r="H454" s="58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27.75" customHeight="1">
      <c r="A455" s="122">
        <v>15.0</v>
      </c>
      <c r="B455" s="123"/>
      <c r="C455" s="124"/>
      <c r="D455" s="107"/>
      <c r="E455" s="125"/>
      <c r="F455" s="111" t="s">
        <v>491</v>
      </c>
      <c r="G455" s="109"/>
      <c r="H455" s="58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27.75" customHeight="1">
      <c r="A456" s="112"/>
      <c r="B456" s="113"/>
      <c r="C456" s="114"/>
      <c r="D456" s="114"/>
      <c r="E456" s="99" t="s">
        <v>144</v>
      </c>
      <c r="F456" s="100">
        <v>280.0</v>
      </c>
      <c r="G456" s="114"/>
      <c r="H456" s="58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27.75" customHeight="1">
      <c r="A457" s="115"/>
      <c r="B457" s="113"/>
      <c r="C457" s="114"/>
      <c r="D457" s="114"/>
      <c r="E457" s="99" t="s">
        <v>145</v>
      </c>
      <c r="F457" s="126" t="s">
        <v>492</v>
      </c>
      <c r="G457" s="114"/>
      <c r="H457" s="58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27.75" customHeight="1">
      <c r="A458" s="115"/>
      <c r="B458" s="113"/>
      <c r="C458" s="114"/>
      <c r="D458" s="114"/>
      <c r="E458" s="99" t="s">
        <v>146</v>
      </c>
      <c r="F458" s="100">
        <v>435.0</v>
      </c>
      <c r="G458" s="114"/>
      <c r="H458" s="58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27.75" customHeight="1">
      <c r="A459" s="115"/>
      <c r="B459" s="113"/>
      <c r="C459" s="114"/>
      <c r="D459" s="114"/>
      <c r="E459" s="99" t="s">
        <v>147</v>
      </c>
      <c r="F459" s="100">
        <v>325.0</v>
      </c>
      <c r="G459" s="114"/>
      <c r="H459" s="58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27.75" customHeight="1">
      <c r="A460" s="115"/>
      <c r="B460" s="113"/>
      <c r="C460" s="114"/>
      <c r="D460" s="114"/>
      <c r="E460" s="99" t="s">
        <v>148</v>
      </c>
      <c r="F460" s="126" t="s">
        <v>493</v>
      </c>
      <c r="G460" s="114"/>
      <c r="H460" s="58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27.75" customHeight="1">
      <c r="A461" s="115"/>
      <c r="B461" s="113"/>
      <c r="C461" s="114"/>
      <c r="D461" s="114"/>
      <c r="E461" s="146"/>
      <c r="F461" s="146"/>
      <c r="G461" s="114"/>
      <c r="H461" s="58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27.75" customHeight="1">
      <c r="A462" s="102" t="s">
        <v>4</v>
      </c>
      <c r="B462" s="102" t="s">
        <v>5</v>
      </c>
      <c r="C462" s="102" t="s">
        <v>126</v>
      </c>
      <c r="D462" s="102" t="s">
        <v>6</v>
      </c>
      <c r="E462" s="102" t="s">
        <v>7</v>
      </c>
      <c r="F462" s="102" t="s">
        <v>127</v>
      </c>
      <c r="G462" s="102" t="s">
        <v>128</v>
      </c>
      <c r="H462" s="58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27.75" customHeight="1">
      <c r="A463" s="102">
        <v>1.0</v>
      </c>
      <c r="B463" s="147">
        <v>46104.0</v>
      </c>
      <c r="C463" s="148" t="s">
        <v>149</v>
      </c>
      <c r="D463" s="107"/>
      <c r="E463" s="107" t="s">
        <v>494</v>
      </c>
      <c r="F463" s="108">
        <v>70.0</v>
      </c>
      <c r="G463" s="108"/>
      <c r="H463" s="58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27.75" customHeight="1">
      <c r="A464" s="102">
        <v>2.0</v>
      </c>
      <c r="B464" s="123"/>
      <c r="C464" s="123"/>
      <c r="D464" s="107"/>
      <c r="E464" s="107" t="s">
        <v>200</v>
      </c>
      <c r="F464" s="108">
        <v>35.0</v>
      </c>
      <c r="G464" s="108"/>
      <c r="H464" s="58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27.75" customHeight="1">
      <c r="A465" s="102">
        <v>3.0</v>
      </c>
      <c r="B465" s="123"/>
      <c r="C465" s="123"/>
      <c r="D465" s="107"/>
      <c r="E465" s="107" t="s">
        <v>367</v>
      </c>
      <c r="F465" s="108">
        <v>70.0</v>
      </c>
      <c r="G465" s="108"/>
      <c r="H465" s="58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27.75" customHeight="1">
      <c r="A466" s="102">
        <v>4.0</v>
      </c>
      <c r="B466" s="123"/>
      <c r="C466" s="123"/>
      <c r="D466" s="107"/>
      <c r="E466" s="107" t="s">
        <v>495</v>
      </c>
      <c r="F466" s="108">
        <v>35.0</v>
      </c>
      <c r="G466" s="108"/>
      <c r="H466" s="58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27.75" customHeight="1">
      <c r="A467" s="102">
        <v>5.0</v>
      </c>
      <c r="B467" s="123"/>
      <c r="C467" s="123"/>
      <c r="D467" s="107"/>
      <c r="E467" s="107" t="s">
        <v>27</v>
      </c>
      <c r="F467" s="108">
        <v>-335.0</v>
      </c>
      <c r="G467" s="108"/>
      <c r="H467" s="58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27.75" customHeight="1">
      <c r="A468" s="102">
        <v>6.0</v>
      </c>
      <c r="B468" s="123"/>
      <c r="C468" s="123"/>
      <c r="D468" s="107"/>
      <c r="E468" s="107" t="s">
        <v>496</v>
      </c>
      <c r="F468" s="108">
        <v>35.0</v>
      </c>
      <c r="G468" s="108"/>
      <c r="H468" s="58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27.75" customHeight="1">
      <c r="A469" s="102">
        <v>7.0</v>
      </c>
      <c r="B469" s="123"/>
      <c r="C469" s="123"/>
      <c r="D469" s="107"/>
      <c r="E469" s="107"/>
      <c r="F469" s="111" t="s">
        <v>298</v>
      </c>
      <c r="G469" s="108"/>
      <c r="H469" s="58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27.75" customHeight="1">
      <c r="A470" s="102">
        <v>8.0</v>
      </c>
      <c r="B470" s="123"/>
      <c r="C470" s="123"/>
      <c r="D470" s="107"/>
      <c r="E470" s="107"/>
      <c r="F470" s="108"/>
      <c r="G470" s="108"/>
      <c r="H470" s="58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27.75" customHeight="1">
      <c r="A471" s="102">
        <v>9.0</v>
      </c>
      <c r="B471" s="123"/>
      <c r="C471" s="123"/>
      <c r="D471" s="107"/>
      <c r="E471" s="107"/>
      <c r="F471" s="108"/>
      <c r="G471" s="108"/>
      <c r="H471" s="58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27.75" customHeight="1">
      <c r="A472" s="102">
        <v>10.0</v>
      </c>
      <c r="B472" s="123"/>
      <c r="C472" s="123"/>
      <c r="D472" s="107"/>
      <c r="E472" s="107"/>
      <c r="F472" s="108"/>
      <c r="G472" s="108"/>
      <c r="H472" s="58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27.75" customHeight="1">
      <c r="A473" s="102">
        <v>11.0</v>
      </c>
      <c r="B473" s="123"/>
      <c r="C473" s="123"/>
      <c r="D473" s="107"/>
      <c r="E473" s="107"/>
      <c r="F473" s="108"/>
      <c r="G473" s="108"/>
      <c r="H473" s="58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27.75" customHeight="1">
      <c r="A474" s="102">
        <v>12.0</v>
      </c>
      <c r="B474" s="123"/>
      <c r="C474" s="123"/>
      <c r="D474" s="107"/>
      <c r="E474" s="107"/>
      <c r="F474" s="108"/>
      <c r="G474" s="108"/>
      <c r="H474" s="58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27.75" customHeight="1">
      <c r="A475" s="102">
        <v>13.0</v>
      </c>
      <c r="B475" s="123"/>
      <c r="C475" s="123"/>
      <c r="D475" s="107"/>
      <c r="E475" s="107"/>
      <c r="F475" s="108"/>
      <c r="G475" s="108"/>
      <c r="H475" s="58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27.75" customHeight="1">
      <c r="A476" s="102">
        <v>14.0</v>
      </c>
      <c r="B476" s="123"/>
      <c r="C476" s="123"/>
      <c r="D476" s="107"/>
      <c r="E476" s="107"/>
      <c r="F476" s="108"/>
      <c r="G476" s="108"/>
      <c r="H476" s="58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27.75" customHeight="1">
      <c r="A477" s="102">
        <v>15.0</v>
      </c>
      <c r="B477" s="123"/>
      <c r="C477" s="123"/>
      <c r="D477" s="107"/>
      <c r="E477" s="107"/>
      <c r="F477" s="108"/>
      <c r="G477" s="108"/>
      <c r="H477" s="58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27.75" customHeight="1">
      <c r="A478" s="58"/>
      <c r="B478" s="149"/>
      <c r="C478" s="58"/>
      <c r="D478" s="58"/>
      <c r="E478" s="102" t="s">
        <v>144</v>
      </c>
      <c r="F478" s="150">
        <v>1000.0</v>
      </c>
      <c r="G478" s="58"/>
      <c r="H478" s="58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27.75" customHeight="1">
      <c r="A479" s="58"/>
      <c r="B479" s="149"/>
      <c r="C479" s="58"/>
      <c r="D479" s="58"/>
      <c r="E479" s="102" t="s">
        <v>145</v>
      </c>
      <c r="F479" s="150">
        <v>860.0</v>
      </c>
      <c r="G479" s="58"/>
      <c r="H479" s="58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27.75" customHeight="1">
      <c r="A480" s="58"/>
      <c r="B480" s="149"/>
      <c r="C480" s="58"/>
      <c r="D480" s="58"/>
      <c r="E480" s="102" t="s">
        <v>146</v>
      </c>
      <c r="F480" s="102"/>
      <c r="G480" s="58"/>
      <c r="H480" s="58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27.75" customHeight="1">
      <c r="A481" s="58"/>
      <c r="B481" s="149"/>
      <c r="C481" s="58"/>
      <c r="D481" s="58"/>
      <c r="E481" s="102" t="s">
        <v>147</v>
      </c>
      <c r="F481" s="150">
        <v>250.0</v>
      </c>
      <c r="G481" s="58"/>
      <c r="H481" s="58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27.75" customHeight="1">
      <c r="A482" s="58"/>
      <c r="B482" s="149"/>
      <c r="C482" s="58"/>
      <c r="D482" s="58"/>
      <c r="E482" s="102" t="s">
        <v>148</v>
      </c>
      <c r="F482" s="150">
        <v>610.0</v>
      </c>
      <c r="G482" s="58"/>
      <c r="H482" s="58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27.75" customHeight="1">
      <c r="A483" s="115"/>
      <c r="B483" s="113"/>
      <c r="C483" s="114"/>
      <c r="D483" s="114"/>
      <c r="E483" s="146"/>
      <c r="F483" s="146"/>
      <c r="G483" s="114"/>
      <c r="H483" s="58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27.75" customHeight="1">
      <c r="A484" s="102" t="s">
        <v>4</v>
      </c>
      <c r="B484" s="102" t="s">
        <v>5</v>
      </c>
      <c r="C484" s="102" t="s">
        <v>126</v>
      </c>
      <c r="D484" s="102" t="s">
        <v>6</v>
      </c>
      <c r="E484" s="102" t="s">
        <v>7</v>
      </c>
      <c r="F484" s="102" t="s">
        <v>127</v>
      </c>
      <c r="G484" s="102" t="s">
        <v>128</v>
      </c>
      <c r="H484" s="58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27.75" customHeight="1">
      <c r="A485" s="102">
        <v>1.0</v>
      </c>
      <c r="B485" s="147">
        <v>46105.0</v>
      </c>
      <c r="C485" s="148" t="s">
        <v>169</v>
      </c>
      <c r="D485" s="107"/>
      <c r="E485" s="107" t="s">
        <v>497</v>
      </c>
      <c r="F485" s="108"/>
      <c r="G485" s="108"/>
      <c r="H485" s="58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27.75" customHeight="1">
      <c r="A486" s="102">
        <v>2.0</v>
      </c>
      <c r="B486" s="123"/>
      <c r="C486" s="148" t="s">
        <v>169</v>
      </c>
      <c r="D486" s="107"/>
      <c r="E486" s="107" t="s">
        <v>498</v>
      </c>
      <c r="F486" s="108"/>
      <c r="G486" s="108"/>
      <c r="H486" s="58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27.75" customHeight="1">
      <c r="A487" s="102">
        <v>3.0</v>
      </c>
      <c r="B487" s="123"/>
      <c r="C487" s="148" t="s">
        <v>169</v>
      </c>
      <c r="D487" s="107"/>
      <c r="E487" s="107" t="s">
        <v>499</v>
      </c>
      <c r="F487" s="108"/>
      <c r="G487" s="108"/>
      <c r="H487" s="58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27.75" customHeight="1">
      <c r="A488" s="102">
        <v>4.0</v>
      </c>
      <c r="B488" s="123"/>
      <c r="C488" s="148" t="s">
        <v>169</v>
      </c>
      <c r="D488" s="107"/>
      <c r="E488" s="107" t="s">
        <v>500</v>
      </c>
      <c r="F488" s="108">
        <v>25.0</v>
      </c>
      <c r="G488" s="108"/>
      <c r="H488" s="58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27.75" customHeight="1">
      <c r="A489" s="102">
        <v>5.0</v>
      </c>
      <c r="B489" s="148" t="s">
        <v>169</v>
      </c>
      <c r="C489" s="148" t="s">
        <v>169</v>
      </c>
      <c r="D489" s="107"/>
      <c r="E489" s="107" t="s">
        <v>501</v>
      </c>
      <c r="F489" s="111" t="s">
        <v>502</v>
      </c>
      <c r="G489" s="108"/>
      <c r="H489" s="58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27.75" customHeight="1">
      <c r="A490" s="102">
        <v>6.0</v>
      </c>
      <c r="B490" s="123"/>
      <c r="C490" s="148" t="s">
        <v>169</v>
      </c>
      <c r="D490" s="107"/>
      <c r="E490" s="107" t="s">
        <v>365</v>
      </c>
      <c r="F490" s="108">
        <v>45.0</v>
      </c>
      <c r="G490" s="108"/>
      <c r="H490" s="58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27.75" customHeight="1">
      <c r="A491" s="102">
        <v>7.0</v>
      </c>
      <c r="B491" s="123"/>
      <c r="C491" s="148" t="s">
        <v>169</v>
      </c>
      <c r="D491" s="107"/>
      <c r="E491" s="107" t="s">
        <v>199</v>
      </c>
      <c r="F491" s="108" t="s">
        <v>503</v>
      </c>
      <c r="G491" s="108"/>
      <c r="H491" s="58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27.75" customHeight="1">
      <c r="A492" s="102">
        <v>8.0</v>
      </c>
      <c r="B492" s="123"/>
      <c r="C492" s="123"/>
      <c r="D492" s="107"/>
      <c r="E492" s="107" t="s">
        <v>504</v>
      </c>
      <c r="F492" s="111" t="s">
        <v>505</v>
      </c>
      <c r="G492" s="108"/>
      <c r="H492" s="58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27.75" customHeight="1">
      <c r="A493" s="102">
        <v>9.0</v>
      </c>
      <c r="B493" s="123"/>
      <c r="C493" s="123"/>
      <c r="D493" s="107"/>
      <c r="E493" s="107" t="s">
        <v>412</v>
      </c>
      <c r="F493" s="108" t="s">
        <v>506</v>
      </c>
      <c r="G493" s="108"/>
      <c r="H493" s="58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27.75" customHeight="1">
      <c r="A494" s="102">
        <v>10.0</v>
      </c>
      <c r="B494" s="123"/>
      <c r="C494" s="123"/>
      <c r="D494" s="107"/>
      <c r="E494" s="107" t="s">
        <v>507</v>
      </c>
      <c r="F494" s="111" t="s">
        <v>508</v>
      </c>
      <c r="G494" s="108"/>
      <c r="H494" s="58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27.75" customHeight="1">
      <c r="A495" s="102">
        <v>11.0</v>
      </c>
      <c r="B495" s="123"/>
      <c r="C495" s="123"/>
      <c r="D495" s="107"/>
      <c r="E495" s="107" t="s">
        <v>509</v>
      </c>
      <c r="F495" s="108">
        <v>35.0</v>
      </c>
      <c r="G495" s="108"/>
      <c r="H495" s="58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27.75" customHeight="1">
      <c r="A496" s="102">
        <v>12.0</v>
      </c>
      <c r="B496" s="123"/>
      <c r="C496" s="123"/>
      <c r="D496" s="107"/>
      <c r="E496" s="107" t="s">
        <v>27</v>
      </c>
      <c r="F496" s="108">
        <v>-100.0</v>
      </c>
      <c r="G496" s="108"/>
      <c r="H496" s="58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27.75" customHeight="1">
      <c r="A497" s="102">
        <v>13.0</v>
      </c>
      <c r="B497" s="123"/>
      <c r="C497" s="123"/>
      <c r="D497" s="107"/>
      <c r="E497" s="107"/>
      <c r="F497" s="111" t="s">
        <v>298</v>
      </c>
      <c r="G497" s="108"/>
      <c r="H497" s="58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27.75" customHeight="1">
      <c r="A498" s="102">
        <v>14.0</v>
      </c>
      <c r="B498" s="123"/>
      <c r="C498" s="123"/>
      <c r="D498" s="107"/>
      <c r="E498" s="107"/>
      <c r="F498" s="108"/>
      <c r="G498" s="108"/>
      <c r="H498" s="58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27.75" customHeight="1">
      <c r="A499" s="102">
        <v>15.0</v>
      </c>
      <c r="B499" s="123"/>
      <c r="C499" s="123"/>
      <c r="D499" s="107"/>
      <c r="E499" s="107"/>
      <c r="F499" s="108"/>
      <c r="G499" s="108"/>
      <c r="H499" s="58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27.75" customHeight="1">
      <c r="A500" s="58"/>
      <c r="B500" s="149"/>
      <c r="C500" s="58"/>
      <c r="D500" s="58"/>
      <c r="E500" s="102" t="s">
        <v>144</v>
      </c>
      <c r="F500" s="150">
        <v>610.0</v>
      </c>
      <c r="G500" s="58"/>
      <c r="H500" s="58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27.75" customHeight="1">
      <c r="A501" s="58"/>
      <c r="B501" s="149"/>
      <c r="C501" s="58"/>
      <c r="D501" s="58"/>
      <c r="E501" s="102" t="s">
        <v>145</v>
      </c>
      <c r="F501" s="150">
        <v>1435.0</v>
      </c>
      <c r="G501" s="58"/>
      <c r="H501" s="58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27.75" customHeight="1">
      <c r="A502" s="58"/>
      <c r="B502" s="149"/>
      <c r="C502" s="58"/>
      <c r="D502" s="58"/>
      <c r="E502" s="102" t="s">
        <v>146</v>
      </c>
      <c r="F502" s="102"/>
      <c r="G502" s="58"/>
      <c r="H502" s="58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27.75" customHeight="1">
      <c r="A503" s="58"/>
      <c r="B503" s="149"/>
      <c r="C503" s="58"/>
      <c r="D503" s="58"/>
      <c r="E503" s="102" t="s">
        <v>147</v>
      </c>
      <c r="F503" s="150">
        <v>250.0</v>
      </c>
      <c r="G503" s="58"/>
      <c r="H503" s="58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27.75" customHeight="1">
      <c r="A504" s="58"/>
      <c r="B504" s="149"/>
      <c r="C504" s="58"/>
      <c r="D504" s="58"/>
      <c r="E504" s="102" t="s">
        <v>148</v>
      </c>
      <c r="F504" s="150">
        <v>1185.0</v>
      </c>
      <c r="G504" s="58"/>
      <c r="H504" s="58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27.75" customHeight="1">
      <c r="A505" s="115"/>
      <c r="B505" s="113"/>
      <c r="C505" s="114"/>
      <c r="D505" s="114"/>
      <c r="E505" s="146"/>
      <c r="F505" s="146"/>
      <c r="G505" s="114"/>
      <c r="H505" s="58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27.75" customHeight="1">
      <c r="A506" s="102" t="s">
        <v>4</v>
      </c>
      <c r="B506" s="102" t="s">
        <v>5</v>
      </c>
      <c r="C506" s="102" t="s">
        <v>126</v>
      </c>
      <c r="D506" s="102" t="s">
        <v>6</v>
      </c>
      <c r="E506" s="102" t="s">
        <v>7</v>
      </c>
      <c r="F506" s="102" t="s">
        <v>127</v>
      </c>
      <c r="G506" s="102" t="s">
        <v>128</v>
      </c>
      <c r="H506" s="58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27.75" customHeight="1">
      <c r="A507" s="102">
        <v>1.0</v>
      </c>
      <c r="B507" s="147">
        <v>46106.0</v>
      </c>
      <c r="C507" s="148" t="s">
        <v>299</v>
      </c>
      <c r="D507" s="107"/>
      <c r="E507" s="107"/>
      <c r="F507" s="111" t="s">
        <v>510</v>
      </c>
      <c r="G507" s="111" t="s">
        <v>511</v>
      </c>
      <c r="H507" s="58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27.75" customHeight="1">
      <c r="A508" s="102">
        <v>2.0</v>
      </c>
      <c r="B508" s="123"/>
      <c r="C508" s="123"/>
      <c r="D508" s="107"/>
      <c r="E508" s="107"/>
      <c r="F508" s="111" t="s">
        <v>512</v>
      </c>
      <c r="G508" s="111" t="s">
        <v>513</v>
      </c>
      <c r="H508" s="58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27.75" customHeight="1">
      <c r="A509" s="102">
        <v>3.0</v>
      </c>
      <c r="B509" s="123"/>
      <c r="C509" s="123"/>
      <c r="D509" s="107"/>
      <c r="E509" s="107"/>
      <c r="F509" s="111" t="s">
        <v>514</v>
      </c>
      <c r="G509" s="108"/>
      <c r="H509" s="58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27.75" customHeight="1">
      <c r="A510" s="102">
        <v>4.0</v>
      </c>
      <c r="B510" s="123"/>
      <c r="C510" s="123"/>
      <c r="D510" s="107"/>
      <c r="E510" s="107"/>
      <c r="F510" s="111" t="s">
        <v>515</v>
      </c>
      <c r="G510" s="108"/>
      <c r="H510" s="58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27.75" customHeight="1">
      <c r="A511" s="102">
        <v>5.0</v>
      </c>
      <c r="B511" s="123"/>
      <c r="C511" s="123"/>
      <c r="D511" s="107"/>
      <c r="E511" s="107"/>
      <c r="F511" s="111" t="s">
        <v>516</v>
      </c>
      <c r="G511" s="108"/>
      <c r="H511" s="58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27.75" customHeight="1">
      <c r="A512" s="102">
        <v>6.0</v>
      </c>
      <c r="B512" s="123"/>
      <c r="C512" s="123"/>
      <c r="D512" s="107"/>
      <c r="E512" s="107"/>
      <c r="F512" s="111" t="s">
        <v>517</v>
      </c>
      <c r="G512" s="108"/>
      <c r="H512" s="58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27.75" customHeight="1">
      <c r="A513" s="102">
        <v>7.0</v>
      </c>
      <c r="B513" s="123"/>
      <c r="C513" s="123"/>
      <c r="D513" s="107"/>
      <c r="E513" s="107"/>
      <c r="F513" s="111" t="s">
        <v>518</v>
      </c>
      <c r="G513" s="108"/>
      <c r="H513" s="58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27.75" customHeight="1">
      <c r="A514" s="102">
        <v>8.0</v>
      </c>
      <c r="B514" s="123"/>
      <c r="C514" s="123"/>
      <c r="D514" s="107"/>
      <c r="E514" s="107"/>
      <c r="F514" s="111" t="s">
        <v>519</v>
      </c>
      <c r="G514" s="108"/>
      <c r="H514" s="58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27.75" customHeight="1">
      <c r="A515" s="102">
        <v>9.0</v>
      </c>
      <c r="B515" s="123"/>
      <c r="C515" s="123"/>
      <c r="D515" s="107"/>
      <c r="E515" s="107"/>
      <c r="F515" s="111" t="s">
        <v>520</v>
      </c>
      <c r="G515" s="108"/>
      <c r="H515" s="58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27.75" customHeight="1">
      <c r="A516" s="102">
        <v>10.0</v>
      </c>
      <c r="B516" s="123"/>
      <c r="C516" s="123"/>
      <c r="D516" s="107"/>
      <c r="E516" s="107"/>
      <c r="F516" s="111" t="s">
        <v>142</v>
      </c>
      <c r="G516" s="108"/>
      <c r="H516" s="58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27.75" customHeight="1">
      <c r="A517" s="102">
        <v>11.0</v>
      </c>
      <c r="B517" s="123"/>
      <c r="C517" s="123"/>
      <c r="D517" s="107"/>
      <c r="E517" s="107"/>
      <c r="F517" s="108"/>
      <c r="G517" s="108"/>
      <c r="H517" s="58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27.75" customHeight="1">
      <c r="A518" s="102">
        <v>12.0</v>
      </c>
      <c r="B518" s="123"/>
      <c r="C518" s="123"/>
      <c r="D518" s="107"/>
      <c r="E518" s="107"/>
      <c r="F518" s="108"/>
      <c r="G518" s="108"/>
      <c r="H518" s="58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27.75" customHeight="1">
      <c r="A519" s="102">
        <v>13.0</v>
      </c>
      <c r="B519" s="123"/>
      <c r="C519" s="123"/>
      <c r="D519" s="107"/>
      <c r="E519" s="107"/>
      <c r="F519" s="108"/>
      <c r="G519" s="108"/>
      <c r="H519" s="58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27.75" customHeight="1">
      <c r="A520" s="102">
        <v>14.0</v>
      </c>
      <c r="B520" s="123"/>
      <c r="C520" s="123"/>
      <c r="D520" s="107"/>
      <c r="E520" s="107"/>
      <c r="F520" s="108"/>
      <c r="G520" s="108"/>
      <c r="H520" s="58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27.75" customHeight="1">
      <c r="A521" s="102">
        <v>15.0</v>
      </c>
      <c r="B521" s="123"/>
      <c r="C521" s="123"/>
      <c r="D521" s="107"/>
      <c r="E521" s="107"/>
      <c r="F521" s="108"/>
      <c r="G521" s="108"/>
      <c r="H521" s="58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27.75" customHeight="1">
      <c r="A522" s="58"/>
      <c r="B522" s="149"/>
      <c r="C522" s="58"/>
      <c r="D522" s="58"/>
      <c r="E522" s="102" t="s">
        <v>144</v>
      </c>
      <c r="F522" s="102"/>
      <c r="G522" s="58"/>
      <c r="H522" s="58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27.75" customHeight="1">
      <c r="A523" s="58"/>
      <c r="B523" s="149"/>
      <c r="C523" s="58"/>
      <c r="D523" s="58"/>
      <c r="E523" s="102" t="s">
        <v>145</v>
      </c>
      <c r="F523" s="150">
        <v>720.0</v>
      </c>
      <c r="G523" s="58"/>
      <c r="H523" s="58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27.75" customHeight="1">
      <c r="A524" s="58"/>
      <c r="B524" s="149"/>
      <c r="C524" s="58"/>
      <c r="D524" s="58"/>
      <c r="E524" s="102" t="s">
        <v>146</v>
      </c>
      <c r="F524" s="150">
        <v>0.0</v>
      </c>
      <c r="G524" s="58"/>
      <c r="H524" s="58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27.75" customHeight="1">
      <c r="A525" s="58"/>
      <c r="B525" s="149"/>
      <c r="C525" s="58"/>
      <c r="D525" s="58"/>
      <c r="E525" s="102" t="s">
        <v>147</v>
      </c>
      <c r="F525" s="150">
        <v>320.0</v>
      </c>
      <c r="G525" s="58"/>
      <c r="H525" s="58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27.75" customHeight="1">
      <c r="A526" s="58"/>
      <c r="B526" s="149"/>
      <c r="C526" s="58"/>
      <c r="D526" s="58"/>
      <c r="E526" s="102" t="s">
        <v>148</v>
      </c>
      <c r="F526" s="150">
        <v>400.0</v>
      </c>
      <c r="G526" s="58"/>
      <c r="H526" s="58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27.75" customHeight="1">
      <c r="A527" s="102" t="s">
        <v>4</v>
      </c>
      <c r="B527" s="102" t="s">
        <v>5</v>
      </c>
      <c r="C527" s="102" t="s">
        <v>126</v>
      </c>
      <c r="D527" s="102" t="s">
        <v>6</v>
      </c>
      <c r="E527" s="102" t="s">
        <v>7</v>
      </c>
      <c r="F527" s="102" t="s">
        <v>127</v>
      </c>
      <c r="G527" s="102" t="s">
        <v>128</v>
      </c>
      <c r="H527" s="58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27.75" customHeight="1">
      <c r="A528" s="102">
        <v>1.0</v>
      </c>
      <c r="B528" s="147">
        <v>46107.0</v>
      </c>
      <c r="C528" s="148" t="s">
        <v>211</v>
      </c>
      <c r="D528" s="107" t="s">
        <v>193</v>
      </c>
      <c r="E528" s="107" t="s">
        <v>521</v>
      </c>
      <c r="F528" s="108"/>
      <c r="G528" s="108"/>
      <c r="H528" s="58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27.75" customHeight="1">
      <c r="A529" s="102">
        <v>2.0</v>
      </c>
      <c r="B529" s="123"/>
      <c r="C529" s="123"/>
      <c r="D529" s="107"/>
      <c r="E529" s="107" t="s">
        <v>522</v>
      </c>
      <c r="F529" s="108"/>
      <c r="G529" s="108"/>
      <c r="H529" s="58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27.75" customHeight="1">
      <c r="A530" s="102">
        <v>3.0</v>
      </c>
      <c r="B530" s="123"/>
      <c r="C530" s="123"/>
      <c r="D530" s="107"/>
      <c r="E530" s="107" t="s">
        <v>523</v>
      </c>
      <c r="F530" s="108"/>
      <c r="G530" s="108"/>
      <c r="H530" s="58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27.75" customHeight="1">
      <c r="A531" s="102">
        <v>4.0</v>
      </c>
      <c r="B531" s="123"/>
      <c r="C531" s="123"/>
      <c r="D531" s="107"/>
      <c r="E531" s="107" t="s">
        <v>524</v>
      </c>
      <c r="F531" s="108"/>
      <c r="G531" s="108"/>
      <c r="H531" s="58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27.75" customHeight="1">
      <c r="A532" s="102">
        <v>5.0</v>
      </c>
      <c r="B532" s="123"/>
      <c r="C532" s="123"/>
      <c r="D532" s="107"/>
      <c r="E532" s="107" t="s">
        <v>525</v>
      </c>
      <c r="F532" s="108"/>
      <c r="G532" s="108"/>
      <c r="H532" s="58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27.75" customHeight="1">
      <c r="A533" s="102">
        <v>6.0</v>
      </c>
      <c r="B533" s="123"/>
      <c r="C533" s="123"/>
      <c r="D533" s="107"/>
      <c r="E533" s="107" t="s">
        <v>526</v>
      </c>
      <c r="F533" s="108"/>
      <c r="G533" s="108"/>
      <c r="H533" s="58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27.75" customHeight="1">
      <c r="A534" s="102">
        <v>7.0</v>
      </c>
      <c r="B534" s="123"/>
      <c r="C534" s="123"/>
      <c r="D534" s="107"/>
      <c r="E534" s="107" t="s">
        <v>527</v>
      </c>
      <c r="F534" s="108"/>
      <c r="G534" s="108"/>
      <c r="H534" s="58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27.75" customHeight="1">
      <c r="A535" s="102">
        <v>8.0</v>
      </c>
      <c r="B535" s="123"/>
      <c r="C535" s="123"/>
      <c r="D535" s="107"/>
      <c r="E535" s="107" t="s">
        <v>528</v>
      </c>
      <c r="F535" s="108"/>
      <c r="G535" s="108"/>
      <c r="H535" s="58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27.75" customHeight="1">
      <c r="A536" s="102">
        <v>9.0</v>
      </c>
      <c r="B536" s="123"/>
      <c r="C536" s="123"/>
      <c r="D536" s="107"/>
      <c r="E536" s="107" t="s">
        <v>529</v>
      </c>
      <c r="F536" s="108"/>
      <c r="G536" s="108"/>
      <c r="H536" s="58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27.75" customHeight="1">
      <c r="A537" s="102">
        <v>10.0</v>
      </c>
      <c r="B537" s="123"/>
      <c r="C537" s="123"/>
      <c r="D537" s="107"/>
      <c r="E537" s="107" t="s">
        <v>530</v>
      </c>
      <c r="F537" s="108"/>
      <c r="G537" s="108"/>
      <c r="H537" s="58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27.75" customHeight="1">
      <c r="A538" s="102">
        <v>11.0</v>
      </c>
      <c r="B538" s="123"/>
      <c r="C538" s="123"/>
      <c r="D538" s="107"/>
      <c r="E538" s="107" t="s">
        <v>531</v>
      </c>
      <c r="F538" s="108"/>
      <c r="G538" s="108"/>
      <c r="H538" s="58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27.75" customHeight="1">
      <c r="A539" s="102">
        <v>12.0</v>
      </c>
      <c r="B539" s="123"/>
      <c r="C539" s="123"/>
      <c r="D539" s="107"/>
      <c r="E539" s="107" t="s">
        <v>532</v>
      </c>
      <c r="F539" s="108"/>
      <c r="G539" s="108"/>
      <c r="H539" s="58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27.75" customHeight="1">
      <c r="A540" s="102">
        <v>13.0</v>
      </c>
      <c r="B540" s="123"/>
      <c r="C540" s="123"/>
      <c r="D540" s="107"/>
      <c r="E540" s="107" t="s">
        <v>533</v>
      </c>
      <c r="F540" s="108"/>
      <c r="G540" s="108"/>
      <c r="H540" s="58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27.75" customHeight="1">
      <c r="A541" s="102">
        <v>14.0</v>
      </c>
      <c r="B541" s="123"/>
      <c r="C541" s="123"/>
      <c r="D541" s="107"/>
      <c r="E541" s="107" t="s">
        <v>298</v>
      </c>
      <c r="F541" s="108"/>
      <c r="G541" s="108"/>
      <c r="H541" s="58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27.75" customHeight="1">
      <c r="A542" s="102">
        <v>15.0</v>
      </c>
      <c r="B542" s="123"/>
      <c r="C542" s="123"/>
      <c r="D542" s="107"/>
      <c r="E542" s="107" t="s">
        <v>534</v>
      </c>
      <c r="F542" s="108"/>
      <c r="G542" s="108"/>
      <c r="H542" s="58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27.75" customHeight="1">
      <c r="A543" s="58"/>
      <c r="B543" s="149"/>
      <c r="C543" s="58"/>
      <c r="D543" s="58"/>
      <c r="E543" s="102" t="s">
        <v>144</v>
      </c>
      <c r="F543" s="150">
        <v>400.0</v>
      </c>
      <c r="G543" s="58"/>
      <c r="H543" s="58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27.75" customHeight="1">
      <c r="A544" s="58"/>
      <c r="B544" s="149"/>
      <c r="C544" s="58"/>
      <c r="D544" s="58"/>
      <c r="E544" s="102" t="s">
        <v>145</v>
      </c>
      <c r="F544" s="150">
        <v>385.0</v>
      </c>
      <c r="G544" s="58"/>
      <c r="H544" s="58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27.75" customHeight="1">
      <c r="A545" s="58"/>
      <c r="B545" s="149"/>
      <c r="C545" s="58"/>
      <c r="D545" s="58"/>
      <c r="E545" s="102" t="s">
        <v>146</v>
      </c>
      <c r="F545" s="102"/>
      <c r="G545" s="58"/>
      <c r="H545" s="58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27.75" customHeight="1">
      <c r="A546" s="58"/>
      <c r="B546" s="149"/>
      <c r="C546" s="58"/>
      <c r="D546" s="58"/>
      <c r="E546" s="102" t="s">
        <v>147</v>
      </c>
      <c r="F546" s="150">
        <v>250.0</v>
      </c>
      <c r="G546" s="58"/>
      <c r="H546" s="58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27.75" customHeight="1">
      <c r="A547" s="58"/>
      <c r="B547" s="149"/>
      <c r="C547" s="58"/>
      <c r="D547" s="58"/>
      <c r="E547" s="102" t="s">
        <v>148</v>
      </c>
      <c r="F547" s="150">
        <v>135.0</v>
      </c>
      <c r="G547" s="58"/>
      <c r="H547" s="58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27.75" customHeight="1">
      <c r="A548" s="115"/>
      <c r="B548" s="113"/>
      <c r="C548" s="114"/>
      <c r="D548" s="114"/>
      <c r="E548" s="146"/>
      <c r="F548" s="146"/>
      <c r="G548" s="114"/>
      <c r="H548" s="58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27.75" customHeight="1">
      <c r="A549" s="102" t="s">
        <v>4</v>
      </c>
      <c r="B549" s="102" t="s">
        <v>5</v>
      </c>
      <c r="C549" s="102" t="s">
        <v>126</v>
      </c>
      <c r="D549" s="102" t="s">
        <v>6</v>
      </c>
      <c r="E549" s="102" t="s">
        <v>7</v>
      </c>
      <c r="F549" s="102" t="s">
        <v>127</v>
      </c>
      <c r="G549" s="102" t="s">
        <v>128</v>
      </c>
      <c r="H549" s="58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27.75" customHeight="1">
      <c r="A550" s="102">
        <v>1.0</v>
      </c>
      <c r="B550" s="147">
        <v>46108.0</v>
      </c>
      <c r="C550" s="148" t="s">
        <v>470</v>
      </c>
      <c r="D550" s="107" t="s">
        <v>193</v>
      </c>
      <c r="E550" s="107" t="s">
        <v>535</v>
      </c>
      <c r="F550" s="108">
        <v>-410.0</v>
      </c>
      <c r="G550" s="111" t="s">
        <v>536</v>
      </c>
      <c r="H550" s="58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27.75" customHeight="1">
      <c r="A551" s="102">
        <v>2.0</v>
      </c>
      <c r="B551" s="123"/>
      <c r="C551" s="123"/>
      <c r="D551" s="107"/>
      <c r="E551" s="107" t="s">
        <v>537</v>
      </c>
      <c r="F551" s="108" t="s">
        <v>538</v>
      </c>
      <c r="G551" s="108"/>
      <c r="H551" s="58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27.75" customHeight="1">
      <c r="A552" s="102">
        <v>3.0</v>
      </c>
      <c r="B552" s="123"/>
      <c r="C552" s="123"/>
      <c r="D552" s="107"/>
      <c r="E552" s="107" t="s">
        <v>539</v>
      </c>
      <c r="F552" s="111" t="s">
        <v>540</v>
      </c>
      <c r="G552" s="108"/>
      <c r="H552" s="58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27.75" customHeight="1">
      <c r="A553" s="102">
        <v>4.0</v>
      </c>
      <c r="B553" s="123"/>
      <c r="C553" s="123"/>
      <c r="D553" s="107"/>
      <c r="E553" s="107"/>
      <c r="F553" s="108" t="s">
        <v>541</v>
      </c>
      <c r="G553" s="108"/>
      <c r="H553" s="58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27.75" customHeight="1">
      <c r="A554" s="102">
        <v>5.0</v>
      </c>
      <c r="B554" s="123"/>
      <c r="C554" s="123"/>
      <c r="D554" s="107"/>
      <c r="E554" s="107"/>
      <c r="F554" s="111" t="s">
        <v>542</v>
      </c>
      <c r="G554" s="108"/>
      <c r="H554" s="58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27.75" customHeight="1">
      <c r="A555" s="102">
        <v>6.0</v>
      </c>
      <c r="B555" s="123"/>
      <c r="C555" s="123"/>
      <c r="D555" s="107"/>
      <c r="E555" s="107"/>
      <c r="F555" s="111" t="s">
        <v>543</v>
      </c>
      <c r="G555" s="108"/>
      <c r="H555" s="58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27.75" customHeight="1">
      <c r="A556" s="102">
        <v>7.0</v>
      </c>
      <c r="B556" s="123"/>
      <c r="C556" s="123"/>
      <c r="D556" s="107"/>
      <c r="E556" s="107"/>
      <c r="F556" s="108" t="s">
        <v>544</v>
      </c>
      <c r="G556" s="108"/>
      <c r="H556" s="58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27.75" customHeight="1">
      <c r="A557" s="102">
        <v>8.0</v>
      </c>
      <c r="B557" s="123"/>
      <c r="C557" s="123"/>
      <c r="D557" s="107"/>
      <c r="E557" s="107"/>
      <c r="F557" s="108" t="s">
        <v>545</v>
      </c>
      <c r="G557" s="108"/>
      <c r="H557" s="58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27.75" customHeight="1">
      <c r="A558" s="102">
        <v>9.0</v>
      </c>
      <c r="B558" s="123"/>
      <c r="C558" s="123"/>
      <c r="D558" s="107"/>
      <c r="E558" s="107" t="s">
        <v>546</v>
      </c>
      <c r="F558" s="108">
        <v>120.0</v>
      </c>
      <c r="G558" s="108"/>
      <c r="H558" s="58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27.75" customHeight="1">
      <c r="A559" s="102">
        <v>10.0</v>
      </c>
      <c r="B559" s="123"/>
      <c r="C559" s="123"/>
      <c r="D559" s="107"/>
      <c r="E559" s="107" t="s">
        <v>367</v>
      </c>
      <c r="F559" s="108" t="s">
        <v>547</v>
      </c>
      <c r="G559" s="108"/>
      <c r="H559" s="58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27.75" customHeight="1">
      <c r="A560" s="102">
        <v>11.0</v>
      </c>
      <c r="B560" s="123"/>
      <c r="C560" s="123"/>
      <c r="D560" s="107"/>
      <c r="E560" s="107" t="s">
        <v>199</v>
      </c>
      <c r="F560" s="108">
        <v>40.0</v>
      </c>
      <c r="G560" s="108">
        <v>11085.0</v>
      </c>
      <c r="H560" s="58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27.75" customHeight="1">
      <c r="A561" s="102">
        <v>12.0</v>
      </c>
      <c r="B561" s="123"/>
      <c r="C561" s="123"/>
      <c r="D561" s="107"/>
      <c r="E561" s="107" t="s">
        <v>548</v>
      </c>
      <c r="F561" s="108">
        <v>60.0</v>
      </c>
      <c r="G561" s="108"/>
      <c r="H561" s="58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27.75" customHeight="1">
      <c r="A562" s="102">
        <v>13.0</v>
      </c>
      <c r="B562" s="123"/>
      <c r="C562" s="123"/>
      <c r="D562" s="107"/>
      <c r="E562" s="107"/>
      <c r="F562" s="111" t="s">
        <v>549</v>
      </c>
      <c r="G562" s="108"/>
      <c r="H562" s="58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27.75" customHeight="1">
      <c r="A563" s="102">
        <v>14.0</v>
      </c>
      <c r="B563" s="123"/>
      <c r="C563" s="123"/>
      <c r="D563" s="107"/>
      <c r="E563" s="107"/>
      <c r="F563" s="108"/>
      <c r="G563" s="108"/>
      <c r="H563" s="58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27.75" customHeight="1">
      <c r="A564" s="102">
        <v>15.0</v>
      </c>
      <c r="B564" s="123"/>
      <c r="C564" s="123"/>
      <c r="D564" s="107"/>
      <c r="E564" s="107"/>
      <c r="F564" s="108"/>
      <c r="G564" s="108"/>
      <c r="H564" s="58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27.75" customHeight="1">
      <c r="A565" s="58"/>
      <c r="B565" s="149"/>
      <c r="C565" s="58"/>
      <c r="D565" s="58"/>
      <c r="E565" s="102" t="s">
        <v>144</v>
      </c>
      <c r="F565" s="150"/>
      <c r="G565" s="58"/>
      <c r="H565" s="58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27.75" customHeight="1">
      <c r="A566" s="58"/>
      <c r="B566" s="149"/>
      <c r="C566" s="58"/>
      <c r="D566" s="58"/>
      <c r="E566" s="102" t="s">
        <v>145</v>
      </c>
      <c r="F566" s="150">
        <v>10325.0</v>
      </c>
      <c r="G566" s="58"/>
      <c r="H566" s="58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27.75" customHeight="1">
      <c r="A567" s="58"/>
      <c r="B567" s="149"/>
      <c r="C567" s="58"/>
      <c r="D567" s="58"/>
      <c r="E567" s="102" t="s">
        <v>146</v>
      </c>
      <c r="F567" s="150">
        <v>925.0</v>
      </c>
      <c r="G567" s="58"/>
      <c r="H567" s="58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27.75" customHeight="1">
      <c r="A568" s="58"/>
      <c r="B568" s="149"/>
      <c r="C568" s="58"/>
      <c r="D568" s="58"/>
      <c r="E568" s="102" t="s">
        <v>147</v>
      </c>
      <c r="F568" s="150">
        <v>450.0</v>
      </c>
      <c r="G568" s="58"/>
      <c r="H568" s="58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27.75" customHeight="1">
      <c r="A569" s="58"/>
      <c r="B569" s="149"/>
      <c r="C569" s="58"/>
      <c r="D569" s="58"/>
      <c r="E569" s="102" t="s">
        <v>148</v>
      </c>
      <c r="F569" s="150">
        <v>9875.0</v>
      </c>
      <c r="G569" s="58"/>
      <c r="H569" s="58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27.75" customHeight="1">
      <c r="A570" s="115"/>
      <c r="B570" s="113"/>
      <c r="C570" s="114"/>
      <c r="D570" s="114"/>
      <c r="E570" s="146"/>
      <c r="F570" s="146"/>
      <c r="G570" s="114"/>
      <c r="H570" s="58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27.75" customHeight="1">
      <c r="A571" s="102" t="s">
        <v>4</v>
      </c>
      <c r="B571" s="102" t="s">
        <v>5</v>
      </c>
      <c r="C571" s="102" t="s">
        <v>126</v>
      </c>
      <c r="D571" s="102" t="s">
        <v>6</v>
      </c>
      <c r="E571" s="102" t="s">
        <v>7</v>
      </c>
      <c r="F571" s="102" t="s">
        <v>127</v>
      </c>
      <c r="G571" s="102" t="s">
        <v>128</v>
      </c>
      <c r="H571" s="58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27.75" customHeight="1">
      <c r="A572" s="102">
        <v>1.0</v>
      </c>
      <c r="B572" s="147">
        <v>46109.0</v>
      </c>
      <c r="C572" s="148" t="s">
        <v>341</v>
      </c>
      <c r="D572" s="107" t="s">
        <v>193</v>
      </c>
      <c r="E572" s="107" t="s">
        <v>60</v>
      </c>
      <c r="F572" s="108"/>
      <c r="G572" s="111"/>
      <c r="H572" s="58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27.75" customHeight="1">
      <c r="A573" s="102">
        <v>2.0</v>
      </c>
      <c r="B573" s="123"/>
      <c r="C573" s="123"/>
      <c r="D573" s="107"/>
      <c r="E573" s="107" t="s">
        <v>550</v>
      </c>
      <c r="F573" s="108"/>
      <c r="G573" s="108"/>
      <c r="H573" s="58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27.75" customHeight="1">
      <c r="A574" s="102">
        <v>3.0</v>
      </c>
      <c r="B574" s="123"/>
      <c r="C574" s="123"/>
      <c r="D574" s="107"/>
      <c r="E574" s="107" t="s">
        <v>551</v>
      </c>
      <c r="F574" s="111"/>
      <c r="G574" s="108"/>
      <c r="H574" s="58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27.75" customHeight="1">
      <c r="A575" s="102">
        <v>4.0</v>
      </c>
      <c r="B575" s="123"/>
      <c r="C575" s="123"/>
      <c r="D575" s="107"/>
      <c r="E575" s="107" t="s">
        <v>552</v>
      </c>
      <c r="F575" s="108"/>
      <c r="G575" s="108"/>
      <c r="H575" s="58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27.75" customHeight="1">
      <c r="A576" s="102">
        <v>5.0</v>
      </c>
      <c r="B576" s="123"/>
      <c r="C576" s="123"/>
      <c r="D576" s="107"/>
      <c r="E576" s="107" t="s">
        <v>553</v>
      </c>
      <c r="F576" s="111"/>
      <c r="G576" s="108"/>
      <c r="H576" s="58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27.75" customHeight="1">
      <c r="A577" s="102">
        <v>6.0</v>
      </c>
      <c r="B577" s="123"/>
      <c r="C577" s="123"/>
      <c r="D577" s="107"/>
      <c r="E577" s="107" t="s">
        <v>554</v>
      </c>
      <c r="F577" s="111"/>
      <c r="G577" s="108"/>
      <c r="H577" s="58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27.75" customHeight="1">
      <c r="A578" s="102">
        <v>7.0</v>
      </c>
      <c r="B578" s="123"/>
      <c r="C578" s="123"/>
      <c r="D578" s="107"/>
      <c r="E578" s="107" t="s">
        <v>555</v>
      </c>
      <c r="F578" s="108"/>
      <c r="G578" s="108"/>
      <c r="H578" s="58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27.75" customHeight="1">
      <c r="A579" s="102">
        <v>8.0</v>
      </c>
      <c r="B579" s="123"/>
      <c r="C579" s="123"/>
      <c r="D579" s="107"/>
      <c r="E579" s="107" t="s">
        <v>556</v>
      </c>
      <c r="F579" s="108"/>
      <c r="G579" s="108"/>
      <c r="H579" s="58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27.75" customHeight="1">
      <c r="A580" s="102">
        <v>9.0</v>
      </c>
      <c r="B580" s="123"/>
      <c r="C580" s="123"/>
      <c r="D580" s="107"/>
      <c r="E580" s="107" t="s">
        <v>298</v>
      </c>
      <c r="F580" s="108"/>
      <c r="G580" s="108"/>
      <c r="H580" s="58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27.75" customHeight="1">
      <c r="A581" s="102">
        <v>10.0</v>
      </c>
      <c r="B581" s="123"/>
      <c r="C581" s="123"/>
      <c r="D581" s="107"/>
      <c r="E581" s="107" t="s">
        <v>557</v>
      </c>
      <c r="F581" s="108"/>
      <c r="G581" s="108"/>
      <c r="H581" s="58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27.75" customHeight="1">
      <c r="A582" s="102">
        <v>11.0</v>
      </c>
      <c r="B582" s="123"/>
      <c r="C582" s="123"/>
      <c r="D582" s="107"/>
      <c r="E582" s="107" t="s">
        <v>558</v>
      </c>
      <c r="F582" s="108"/>
      <c r="G582" s="108"/>
      <c r="H582" s="58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27.75" customHeight="1">
      <c r="A583" s="102">
        <v>12.0</v>
      </c>
      <c r="B583" s="123"/>
      <c r="C583" s="123"/>
      <c r="D583" s="107"/>
      <c r="E583" s="107" t="s">
        <v>559</v>
      </c>
      <c r="F583" s="108"/>
      <c r="G583" s="108"/>
      <c r="H583" s="58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27.75" customHeight="1">
      <c r="A584" s="102">
        <v>13.0</v>
      </c>
      <c r="B584" s="123"/>
      <c r="C584" s="123"/>
      <c r="D584" s="107"/>
      <c r="E584" s="107" t="s">
        <v>560</v>
      </c>
      <c r="F584" s="111"/>
      <c r="G584" s="108"/>
      <c r="H584" s="58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27.75" customHeight="1">
      <c r="A585" s="102">
        <v>14.0</v>
      </c>
      <c r="B585" s="123"/>
      <c r="C585" s="123"/>
      <c r="D585" s="107"/>
      <c r="E585" s="107"/>
      <c r="F585" s="108"/>
      <c r="G585" s="108"/>
      <c r="H585" s="58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27.75" customHeight="1">
      <c r="A586" s="102">
        <v>15.0</v>
      </c>
      <c r="B586" s="123"/>
      <c r="C586" s="123"/>
      <c r="D586" s="107"/>
      <c r="E586" s="107"/>
      <c r="F586" s="108"/>
      <c r="G586" s="108"/>
      <c r="H586" s="58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27.75" customHeight="1">
      <c r="A587" s="58"/>
      <c r="B587" s="149"/>
      <c r="C587" s="58"/>
      <c r="D587" s="58"/>
      <c r="E587" s="102" t="s">
        <v>144</v>
      </c>
      <c r="F587" s="150"/>
      <c r="G587" s="58"/>
      <c r="H587" s="58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27.75" customHeight="1">
      <c r="A588" s="58"/>
      <c r="B588" s="149"/>
      <c r="C588" s="58"/>
      <c r="D588" s="58"/>
      <c r="E588" s="102" t="s">
        <v>145</v>
      </c>
      <c r="F588" s="150">
        <v>825.0</v>
      </c>
      <c r="G588" s="58"/>
      <c r="H588" s="58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27.75" customHeight="1">
      <c r="A589" s="58"/>
      <c r="B589" s="149"/>
      <c r="C589" s="58"/>
      <c r="D589" s="58"/>
      <c r="E589" s="102" t="s">
        <v>146</v>
      </c>
      <c r="F589" s="150"/>
      <c r="G589" s="58"/>
      <c r="H589" s="58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27.75" customHeight="1">
      <c r="A590" s="58"/>
      <c r="B590" s="149"/>
      <c r="C590" s="58"/>
      <c r="D590" s="58"/>
      <c r="E590" s="102" t="s">
        <v>147</v>
      </c>
      <c r="F590" s="150">
        <v>250.0</v>
      </c>
      <c r="G590" s="58"/>
      <c r="H590" s="58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27.75" customHeight="1">
      <c r="A591" s="58"/>
      <c r="B591" s="149"/>
      <c r="C591" s="58"/>
      <c r="D591" s="58"/>
      <c r="E591" s="102" t="s">
        <v>148</v>
      </c>
      <c r="F591" s="150">
        <v>575.0</v>
      </c>
      <c r="G591" s="58"/>
      <c r="H591" s="58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27.75" customHeight="1">
      <c r="A592" s="115"/>
      <c r="B592" s="113"/>
      <c r="C592" s="114"/>
      <c r="D592" s="114"/>
      <c r="E592" s="146"/>
      <c r="F592" s="146"/>
      <c r="G592" s="114"/>
      <c r="H592" s="58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27.75" customHeight="1">
      <c r="A593" s="102" t="s">
        <v>4</v>
      </c>
      <c r="B593" s="102" t="s">
        <v>5</v>
      </c>
      <c r="C593" s="102" t="s">
        <v>126</v>
      </c>
      <c r="D593" s="102" t="s">
        <v>6</v>
      </c>
      <c r="E593" s="102" t="s">
        <v>7</v>
      </c>
      <c r="F593" s="102" t="s">
        <v>127</v>
      </c>
      <c r="G593" s="102" t="s">
        <v>128</v>
      </c>
      <c r="H593" s="58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27.75" customHeight="1">
      <c r="A594" s="102">
        <v>1.0</v>
      </c>
      <c r="B594" s="147">
        <v>46110.0</v>
      </c>
      <c r="C594" s="148" t="s">
        <v>561</v>
      </c>
      <c r="D594" s="107" t="s">
        <v>193</v>
      </c>
      <c r="E594" s="107" t="s">
        <v>105</v>
      </c>
      <c r="F594" s="108">
        <v>-200.0</v>
      </c>
      <c r="G594" s="111"/>
      <c r="H594" s="58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27.75" customHeight="1">
      <c r="A595" s="102">
        <v>2.0</v>
      </c>
      <c r="B595" s="123"/>
      <c r="C595" s="123"/>
      <c r="D595" s="107"/>
      <c r="E595" s="107" t="s">
        <v>562</v>
      </c>
      <c r="F595" s="108">
        <v>35.0</v>
      </c>
      <c r="G595" s="108"/>
      <c r="H595" s="58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27.75" customHeight="1">
      <c r="A596" s="102">
        <v>3.0</v>
      </c>
      <c r="B596" s="123"/>
      <c r="C596" s="123"/>
      <c r="D596" s="107"/>
      <c r="E596" s="107" t="s">
        <v>563</v>
      </c>
      <c r="F596" s="108">
        <v>35.0</v>
      </c>
      <c r="G596" s="108"/>
      <c r="H596" s="58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27.75" customHeight="1">
      <c r="A597" s="102">
        <v>4.0</v>
      </c>
      <c r="B597" s="123"/>
      <c r="C597" s="123"/>
      <c r="D597" s="107"/>
      <c r="E597" s="107" t="s">
        <v>459</v>
      </c>
      <c r="F597" s="111" t="s">
        <v>564</v>
      </c>
      <c r="G597" s="108"/>
      <c r="H597" s="58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27.75" customHeight="1">
      <c r="A598" s="102">
        <v>5.0</v>
      </c>
      <c r="B598" s="123"/>
      <c r="C598" s="123"/>
      <c r="D598" s="107"/>
      <c r="E598" s="107" t="s">
        <v>268</v>
      </c>
      <c r="F598" s="108">
        <v>70.0</v>
      </c>
      <c r="G598" s="108"/>
      <c r="H598" s="58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27.75" customHeight="1">
      <c r="A599" s="102">
        <v>6.0</v>
      </c>
      <c r="B599" s="123"/>
      <c r="C599" s="123"/>
      <c r="D599" s="107"/>
      <c r="E599" s="107" t="s">
        <v>565</v>
      </c>
      <c r="F599" s="108">
        <v>35.0</v>
      </c>
      <c r="G599" s="108"/>
      <c r="H599" s="58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27.75" customHeight="1">
      <c r="A600" s="102">
        <v>7.0</v>
      </c>
      <c r="B600" s="123"/>
      <c r="C600" s="123"/>
      <c r="D600" s="107"/>
      <c r="E600" s="107" t="s">
        <v>566</v>
      </c>
      <c r="F600" s="108">
        <v>35.0</v>
      </c>
      <c r="G600" s="108"/>
      <c r="H600" s="58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27.75" customHeight="1">
      <c r="A601" s="102">
        <v>8.0</v>
      </c>
      <c r="B601" s="123"/>
      <c r="C601" s="123"/>
      <c r="D601" s="107"/>
      <c r="E601" s="107" t="s">
        <v>567</v>
      </c>
      <c r="F601" s="108"/>
      <c r="G601" s="108"/>
      <c r="H601" s="58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27.75" customHeight="1">
      <c r="A602" s="102">
        <v>9.0</v>
      </c>
      <c r="B602" s="123"/>
      <c r="C602" s="123"/>
      <c r="D602" s="107"/>
      <c r="E602" s="107" t="s">
        <v>298</v>
      </c>
      <c r="F602" s="108"/>
      <c r="G602" s="108"/>
      <c r="H602" s="58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27.75" customHeight="1">
      <c r="A603" s="102">
        <v>10.0</v>
      </c>
      <c r="B603" s="123"/>
      <c r="C603" s="123"/>
      <c r="D603" s="107"/>
      <c r="E603" s="107" t="s">
        <v>568</v>
      </c>
      <c r="F603" s="108"/>
      <c r="G603" s="108"/>
      <c r="H603" s="58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27.75" customHeight="1">
      <c r="A604" s="102">
        <v>11.0</v>
      </c>
      <c r="B604" s="123"/>
      <c r="C604" s="123"/>
      <c r="D604" s="107"/>
      <c r="E604" s="107"/>
      <c r="F604" s="108"/>
      <c r="G604" s="108"/>
      <c r="H604" s="58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27.75" customHeight="1">
      <c r="A605" s="102">
        <v>12.0</v>
      </c>
      <c r="B605" s="123"/>
      <c r="C605" s="123"/>
      <c r="D605" s="107"/>
      <c r="E605" s="107"/>
      <c r="F605" s="108"/>
      <c r="G605" s="108"/>
      <c r="H605" s="58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27.75" customHeight="1">
      <c r="A606" s="102">
        <v>13.0</v>
      </c>
      <c r="B606" s="123"/>
      <c r="C606" s="123"/>
      <c r="D606" s="107"/>
      <c r="E606" s="107"/>
      <c r="F606" s="111"/>
      <c r="G606" s="108"/>
      <c r="H606" s="58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27.75" customHeight="1">
      <c r="A607" s="102">
        <v>14.0</v>
      </c>
      <c r="B607" s="123"/>
      <c r="C607" s="123"/>
      <c r="D607" s="107"/>
      <c r="E607" s="107"/>
      <c r="F607" s="108"/>
      <c r="G607" s="108"/>
      <c r="H607" s="58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27.75" customHeight="1">
      <c r="A608" s="102">
        <v>15.0</v>
      </c>
      <c r="B608" s="123"/>
      <c r="C608" s="123"/>
      <c r="D608" s="107"/>
      <c r="E608" s="107"/>
      <c r="F608" s="108"/>
      <c r="G608" s="108"/>
      <c r="H608" s="58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27.75" customHeight="1">
      <c r="A609" s="58"/>
      <c r="B609" s="149"/>
      <c r="C609" s="58"/>
      <c r="D609" s="58"/>
      <c r="E609" s="102" t="s">
        <v>144</v>
      </c>
      <c r="F609" s="150">
        <v>575.0</v>
      </c>
      <c r="G609" s="58"/>
      <c r="H609" s="58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27.75" customHeight="1">
      <c r="A610" s="58"/>
      <c r="B610" s="149"/>
      <c r="C610" s="58"/>
      <c r="D610" s="58"/>
      <c r="E610" s="102" t="s">
        <v>145</v>
      </c>
      <c r="F610" s="150">
        <v>135.0</v>
      </c>
      <c r="G610" s="58"/>
      <c r="H610" s="58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27.75" customHeight="1">
      <c r="A611" s="58"/>
      <c r="B611" s="149"/>
      <c r="C611" s="58"/>
      <c r="D611" s="58"/>
      <c r="E611" s="102" t="s">
        <v>146</v>
      </c>
      <c r="F611" s="150"/>
      <c r="G611" s="58"/>
      <c r="H611" s="58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27.75" customHeight="1">
      <c r="A612" s="58"/>
      <c r="B612" s="149"/>
      <c r="C612" s="58"/>
      <c r="D612" s="58"/>
      <c r="E612" s="102" t="s">
        <v>147</v>
      </c>
      <c r="F612" s="150">
        <v>250.0</v>
      </c>
      <c r="G612" s="58"/>
      <c r="H612" s="58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27.75" customHeight="1">
      <c r="A613" s="58"/>
      <c r="B613" s="149"/>
      <c r="C613" s="58"/>
      <c r="D613" s="58"/>
      <c r="E613" s="102" t="s">
        <v>148</v>
      </c>
      <c r="F613" s="151" t="s">
        <v>569</v>
      </c>
      <c r="G613" s="58"/>
      <c r="H613" s="58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27.75" customHeight="1">
      <c r="A614" s="115"/>
      <c r="B614" s="113"/>
      <c r="C614" s="114"/>
      <c r="D614" s="114"/>
      <c r="E614" s="146"/>
      <c r="F614" s="146"/>
      <c r="G614" s="152"/>
      <c r="H614" s="58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27.75" customHeight="1">
      <c r="A615" s="102" t="s">
        <v>4</v>
      </c>
      <c r="B615" s="102" t="s">
        <v>5</v>
      </c>
      <c r="C615" s="102" t="s">
        <v>126</v>
      </c>
      <c r="D615" s="102" t="s">
        <v>6</v>
      </c>
      <c r="E615" s="102" t="s">
        <v>7</v>
      </c>
      <c r="F615" s="102" t="s">
        <v>127</v>
      </c>
      <c r="G615" s="102" t="s">
        <v>128</v>
      </c>
      <c r="H615" s="58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27.75" customHeight="1">
      <c r="A616" s="102">
        <v>1.0</v>
      </c>
      <c r="B616" s="147">
        <v>46111.0</v>
      </c>
      <c r="C616" s="148" t="s">
        <v>149</v>
      </c>
      <c r="D616" s="107" t="s">
        <v>193</v>
      </c>
      <c r="E616" s="107" t="s">
        <v>570</v>
      </c>
      <c r="F616" s="111" t="s">
        <v>571</v>
      </c>
      <c r="G616" s="111"/>
      <c r="H616" s="58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27.75" customHeight="1">
      <c r="A617" s="102">
        <v>2.0</v>
      </c>
      <c r="B617" s="123"/>
      <c r="C617" s="123"/>
      <c r="D617" s="107"/>
      <c r="E617" s="107" t="s">
        <v>572</v>
      </c>
      <c r="F617" s="108">
        <v>40.0</v>
      </c>
      <c r="G617" s="108"/>
      <c r="H617" s="58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27.75" customHeight="1">
      <c r="A618" s="102">
        <v>3.0</v>
      </c>
      <c r="B618" s="123"/>
      <c r="C618" s="123"/>
      <c r="D618" s="107"/>
      <c r="E618" s="107" t="s">
        <v>573</v>
      </c>
      <c r="F618" s="108" t="s">
        <v>574</v>
      </c>
      <c r="G618" s="108"/>
      <c r="H618" s="58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27.75" customHeight="1">
      <c r="A619" s="102">
        <v>4.0</v>
      </c>
      <c r="B619" s="123"/>
      <c r="C619" s="123"/>
      <c r="D619" s="107"/>
      <c r="E619" s="107" t="s">
        <v>199</v>
      </c>
      <c r="F619" s="108">
        <v>40.0</v>
      </c>
      <c r="G619" s="108"/>
      <c r="H619" s="58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27.75" customHeight="1">
      <c r="A620" s="102">
        <v>5.0</v>
      </c>
      <c r="B620" s="123"/>
      <c r="C620" s="123"/>
      <c r="D620" s="107"/>
      <c r="E620" s="107" t="s">
        <v>575</v>
      </c>
      <c r="F620" s="108">
        <v>35.0</v>
      </c>
      <c r="G620" s="108"/>
      <c r="H620" s="58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27.75" customHeight="1">
      <c r="A621" s="102">
        <v>6.0</v>
      </c>
      <c r="B621" s="123"/>
      <c r="C621" s="123"/>
      <c r="D621" s="107"/>
      <c r="E621" s="107" t="s">
        <v>576</v>
      </c>
      <c r="F621" s="108">
        <v>35.0</v>
      </c>
      <c r="G621" s="108"/>
      <c r="H621" s="58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27.75" customHeight="1">
      <c r="A622" s="102">
        <v>7.0</v>
      </c>
      <c r="B622" s="123"/>
      <c r="C622" s="123"/>
      <c r="D622" s="107"/>
      <c r="E622" s="107" t="s">
        <v>495</v>
      </c>
      <c r="F622" s="108">
        <v>-270.0</v>
      </c>
      <c r="G622" s="108"/>
      <c r="H622" s="58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27.75" customHeight="1">
      <c r="A623" s="102">
        <v>8.0</v>
      </c>
      <c r="B623" s="123"/>
      <c r="C623" s="123"/>
      <c r="D623" s="107"/>
      <c r="E623" s="107" t="s">
        <v>577</v>
      </c>
      <c r="F623" s="108">
        <v>-300.0</v>
      </c>
      <c r="G623" s="108"/>
      <c r="H623" s="58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27.75" customHeight="1">
      <c r="A624" s="102">
        <v>9.0</v>
      </c>
      <c r="B624" s="123"/>
      <c r="C624" s="123"/>
      <c r="D624" s="107"/>
      <c r="E624" s="107" t="s">
        <v>578</v>
      </c>
      <c r="F624" s="108">
        <v>-50.0</v>
      </c>
      <c r="G624" s="108"/>
      <c r="H624" s="58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27.75" customHeight="1">
      <c r="A625" s="102">
        <v>10.0</v>
      </c>
      <c r="B625" s="123"/>
      <c r="C625" s="123"/>
      <c r="D625" s="107"/>
      <c r="E625" s="107"/>
      <c r="F625" s="108"/>
      <c r="G625" s="108"/>
      <c r="H625" s="58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27.75" customHeight="1">
      <c r="A626" s="102">
        <v>11.0</v>
      </c>
      <c r="B626" s="123"/>
      <c r="C626" s="123"/>
      <c r="D626" s="107"/>
      <c r="E626" s="107"/>
      <c r="F626" s="108"/>
      <c r="G626" s="108"/>
      <c r="H626" s="58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27.75" customHeight="1">
      <c r="A627" s="102">
        <v>12.0</v>
      </c>
      <c r="B627" s="123"/>
      <c r="C627" s="123"/>
      <c r="D627" s="107"/>
      <c r="E627" s="107"/>
      <c r="F627" s="108"/>
      <c r="G627" s="108"/>
      <c r="H627" s="58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27.75" customHeight="1">
      <c r="A628" s="102">
        <v>13.0</v>
      </c>
      <c r="B628" s="123"/>
      <c r="C628" s="123"/>
      <c r="D628" s="107"/>
      <c r="E628" s="107"/>
      <c r="F628" s="111"/>
      <c r="G628" s="108"/>
      <c r="H628" s="58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27.75" customHeight="1">
      <c r="A629" s="102">
        <v>14.0</v>
      </c>
      <c r="B629" s="123"/>
      <c r="C629" s="123"/>
      <c r="D629" s="107"/>
      <c r="E629" s="107"/>
      <c r="F629" s="108"/>
      <c r="G629" s="108"/>
      <c r="H629" s="58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27.75" customHeight="1">
      <c r="A630" s="102">
        <v>15.0</v>
      </c>
      <c r="B630" s="123"/>
      <c r="C630" s="123"/>
      <c r="D630" s="107"/>
      <c r="E630" s="107"/>
      <c r="F630" s="108"/>
      <c r="G630" s="108"/>
      <c r="H630" s="58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27.75" customHeight="1">
      <c r="A631" s="58"/>
      <c r="B631" s="149"/>
      <c r="C631" s="58"/>
      <c r="D631" s="58"/>
      <c r="E631" s="102" t="s">
        <v>144</v>
      </c>
      <c r="F631" s="150">
        <v>2000.0</v>
      </c>
      <c r="G631" s="58"/>
      <c r="H631" s="58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27.75" customHeight="1">
      <c r="A632" s="58"/>
      <c r="B632" s="149"/>
      <c r="C632" s="58"/>
      <c r="D632" s="58"/>
      <c r="E632" s="102" t="s">
        <v>145</v>
      </c>
      <c r="F632" s="150">
        <v>1300.0</v>
      </c>
      <c r="G632" s="58"/>
      <c r="H632" s="58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27.75" customHeight="1">
      <c r="A633" s="58"/>
      <c r="B633" s="149"/>
      <c r="C633" s="58"/>
      <c r="D633" s="58"/>
      <c r="E633" s="102" t="s">
        <v>146</v>
      </c>
      <c r="F633" s="150"/>
      <c r="G633" s="58"/>
      <c r="H633" s="58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27.75" customHeight="1">
      <c r="A634" s="58"/>
      <c r="B634" s="149"/>
      <c r="C634" s="58"/>
      <c r="D634" s="58"/>
      <c r="E634" s="102" t="s">
        <v>147</v>
      </c>
      <c r="F634" s="150">
        <v>250.0</v>
      </c>
      <c r="G634" s="58"/>
      <c r="H634" s="58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27.75" customHeight="1">
      <c r="A635" s="58"/>
      <c r="B635" s="149"/>
      <c r="C635" s="58"/>
      <c r="D635" s="58"/>
      <c r="E635" s="102" t="s">
        <v>148</v>
      </c>
      <c r="F635" s="150">
        <v>1050.0</v>
      </c>
      <c r="G635" s="153" t="s">
        <v>579</v>
      </c>
      <c r="H635" s="58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27.75" customHeight="1">
      <c r="A636" s="115"/>
      <c r="B636" s="113"/>
      <c r="C636" s="114"/>
      <c r="D636" s="114"/>
      <c r="E636" s="146"/>
      <c r="F636" s="146"/>
      <c r="G636" s="114"/>
      <c r="H636" s="58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27.75" customHeight="1">
      <c r="A637" s="102" t="s">
        <v>4</v>
      </c>
      <c r="B637" s="102" t="s">
        <v>5</v>
      </c>
      <c r="C637" s="102" t="s">
        <v>126</v>
      </c>
      <c r="D637" s="102" t="s">
        <v>6</v>
      </c>
      <c r="E637" s="102" t="s">
        <v>7</v>
      </c>
      <c r="F637" s="102" t="s">
        <v>127</v>
      </c>
      <c r="G637" s="102" t="s">
        <v>128</v>
      </c>
      <c r="H637" s="58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27.75" customHeight="1">
      <c r="A638" s="102">
        <v>1.0</v>
      </c>
      <c r="B638" s="147">
        <v>46112.0</v>
      </c>
      <c r="C638" s="148" t="s">
        <v>169</v>
      </c>
      <c r="D638" s="107" t="s">
        <v>193</v>
      </c>
      <c r="E638" s="107" t="s">
        <v>580</v>
      </c>
      <c r="F638" s="108"/>
      <c r="G638" s="111"/>
      <c r="H638" s="58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27.75" customHeight="1">
      <c r="A639" s="102">
        <v>2.0</v>
      </c>
      <c r="B639" s="123"/>
      <c r="C639" s="123"/>
      <c r="D639" s="107"/>
      <c r="E639" s="107" t="s">
        <v>581</v>
      </c>
      <c r="F639" s="108"/>
      <c r="G639" s="108"/>
      <c r="H639" s="58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27.75" customHeight="1">
      <c r="A640" s="102">
        <v>3.0</v>
      </c>
      <c r="B640" s="123"/>
      <c r="C640" s="123"/>
      <c r="D640" s="107"/>
      <c r="E640" s="107" t="s">
        <v>582</v>
      </c>
      <c r="F640" s="108">
        <v>50.0</v>
      </c>
      <c r="G640" s="108"/>
      <c r="H640" s="58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27.75" customHeight="1">
      <c r="A641" s="102">
        <v>4.0</v>
      </c>
      <c r="B641" s="123"/>
      <c r="C641" s="123"/>
      <c r="D641" s="107"/>
      <c r="E641" s="107" t="s">
        <v>399</v>
      </c>
      <c r="F641" s="108">
        <v>35.0</v>
      </c>
      <c r="G641" s="108"/>
      <c r="H641" s="58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27.75" customHeight="1">
      <c r="A642" s="102">
        <v>5.0</v>
      </c>
      <c r="B642" s="123"/>
      <c r="C642" s="123"/>
      <c r="D642" s="107"/>
      <c r="E642" s="107" t="s">
        <v>293</v>
      </c>
      <c r="F642" s="108">
        <v>35.0</v>
      </c>
      <c r="G642" s="108"/>
      <c r="H642" s="58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27.75" customHeight="1">
      <c r="A643" s="102">
        <v>6.0</v>
      </c>
      <c r="B643" s="123"/>
      <c r="C643" s="123"/>
      <c r="D643" s="107"/>
      <c r="E643" s="107" t="s">
        <v>583</v>
      </c>
      <c r="F643" s="108">
        <v>-122.0</v>
      </c>
      <c r="G643" s="108"/>
      <c r="H643" s="58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27.75" customHeight="1">
      <c r="A644" s="102">
        <v>7.0</v>
      </c>
      <c r="B644" s="123"/>
      <c r="C644" s="123"/>
      <c r="D644" s="107"/>
      <c r="E644" s="107" t="s">
        <v>584</v>
      </c>
      <c r="F644" s="108">
        <v>50.0</v>
      </c>
      <c r="G644" s="108"/>
      <c r="H644" s="58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27.75" customHeight="1">
      <c r="A645" s="102">
        <v>8.0</v>
      </c>
      <c r="B645" s="123"/>
      <c r="C645" s="123"/>
      <c r="D645" s="107"/>
      <c r="E645" s="107" t="s">
        <v>585</v>
      </c>
      <c r="F645" s="108"/>
      <c r="G645" s="108"/>
      <c r="H645" s="58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27.75" customHeight="1">
      <c r="A646" s="102">
        <v>9.0</v>
      </c>
      <c r="B646" s="123"/>
      <c r="C646" s="123"/>
      <c r="D646" s="107"/>
      <c r="E646" s="107" t="s">
        <v>578</v>
      </c>
      <c r="F646" s="108">
        <v>-50.0</v>
      </c>
      <c r="G646" s="108"/>
      <c r="H646" s="58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27.75" customHeight="1">
      <c r="A647" s="102">
        <v>10.0</v>
      </c>
      <c r="B647" s="123"/>
      <c r="C647" s="123"/>
      <c r="D647" s="107"/>
      <c r="E647" s="107"/>
      <c r="F647" s="108"/>
      <c r="G647" s="108"/>
      <c r="H647" s="58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27.75" customHeight="1">
      <c r="A648" s="102">
        <v>11.0</v>
      </c>
      <c r="B648" s="123"/>
      <c r="C648" s="123"/>
      <c r="D648" s="107"/>
      <c r="E648" s="107"/>
      <c r="F648" s="108"/>
      <c r="G648" s="108"/>
      <c r="H648" s="58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27.75" customHeight="1">
      <c r="A649" s="102">
        <v>12.0</v>
      </c>
      <c r="B649" s="123"/>
      <c r="C649" s="123"/>
      <c r="D649" s="107"/>
      <c r="E649" s="107"/>
      <c r="F649" s="108"/>
      <c r="G649" s="108"/>
      <c r="H649" s="58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27.75" customHeight="1">
      <c r="A650" s="102">
        <v>13.0</v>
      </c>
      <c r="B650" s="123"/>
      <c r="C650" s="123"/>
      <c r="D650" s="107"/>
      <c r="E650" s="107"/>
      <c r="F650" s="111"/>
      <c r="G650" s="108"/>
      <c r="H650" s="58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27.75" customHeight="1">
      <c r="A651" s="102">
        <v>14.0</v>
      </c>
      <c r="B651" s="123"/>
      <c r="C651" s="123"/>
      <c r="D651" s="107"/>
      <c r="E651" s="107"/>
      <c r="F651" s="108"/>
      <c r="G651" s="108"/>
      <c r="H651" s="58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27.75" customHeight="1">
      <c r="A652" s="102">
        <v>15.0</v>
      </c>
      <c r="B652" s="123"/>
      <c r="C652" s="123"/>
      <c r="D652" s="107"/>
      <c r="E652" s="107"/>
      <c r="F652" s="108"/>
      <c r="G652" s="108"/>
      <c r="H652" s="58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27.75" customHeight="1">
      <c r="A653" s="58"/>
      <c r="B653" s="149"/>
      <c r="C653" s="58"/>
      <c r="D653" s="58"/>
      <c r="E653" s="102" t="s">
        <v>144</v>
      </c>
      <c r="F653" s="150"/>
      <c r="G653" s="58"/>
      <c r="H653" s="58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27.75" customHeight="1">
      <c r="A654" s="58"/>
      <c r="B654" s="149"/>
      <c r="C654" s="58"/>
      <c r="D654" s="58"/>
      <c r="E654" s="102" t="s">
        <v>145</v>
      </c>
      <c r="F654" s="151" t="s">
        <v>586</v>
      </c>
      <c r="G654" s="58"/>
      <c r="H654" s="58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27.75" customHeight="1">
      <c r="A655" s="58"/>
      <c r="B655" s="149"/>
      <c r="C655" s="58"/>
      <c r="D655" s="58"/>
      <c r="E655" s="102" t="s">
        <v>146</v>
      </c>
      <c r="F655" s="150"/>
      <c r="G655" s="58"/>
      <c r="H655" s="58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27.75" customHeight="1">
      <c r="A656" s="58"/>
      <c r="B656" s="149"/>
      <c r="C656" s="58"/>
      <c r="D656" s="58"/>
      <c r="E656" s="102" t="s">
        <v>147</v>
      </c>
      <c r="F656" s="150">
        <v>250.0</v>
      </c>
      <c r="G656" s="58"/>
      <c r="H656" s="58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27.75" customHeight="1">
      <c r="A657" s="58"/>
      <c r="B657" s="149"/>
      <c r="C657" s="58"/>
      <c r="D657" s="58"/>
      <c r="E657" s="102" t="s">
        <v>148</v>
      </c>
      <c r="F657" s="151" t="s">
        <v>587</v>
      </c>
      <c r="G657" s="58"/>
      <c r="H657" s="58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27.75" customHeight="1">
      <c r="A658" s="115"/>
      <c r="B658" s="113"/>
      <c r="C658" s="114"/>
      <c r="D658" s="114"/>
      <c r="E658" s="146"/>
      <c r="F658" s="146"/>
      <c r="G658" s="114"/>
      <c r="H658" s="58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27.75" customHeight="1">
      <c r="A659" s="102" t="s">
        <v>4</v>
      </c>
      <c r="B659" s="102" t="s">
        <v>5</v>
      </c>
      <c r="C659" s="102" t="s">
        <v>126</v>
      </c>
      <c r="D659" s="102" t="s">
        <v>6</v>
      </c>
      <c r="E659" s="102" t="s">
        <v>7</v>
      </c>
      <c r="F659" s="102" t="s">
        <v>127</v>
      </c>
      <c r="G659" s="102" t="s">
        <v>128</v>
      </c>
      <c r="H659" s="58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27.75" customHeight="1">
      <c r="A660" s="102">
        <v>1.0</v>
      </c>
      <c r="B660" s="147">
        <v>46113.0</v>
      </c>
      <c r="C660" s="148" t="s">
        <v>588</v>
      </c>
      <c r="D660" s="107" t="s">
        <v>193</v>
      </c>
      <c r="E660" s="107" t="s">
        <v>589</v>
      </c>
      <c r="F660" s="111" t="s">
        <v>590</v>
      </c>
      <c r="G660" s="111"/>
      <c r="H660" s="58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27.75" customHeight="1">
      <c r="A661" s="102">
        <v>2.0</v>
      </c>
      <c r="B661" s="123"/>
      <c r="C661" s="123"/>
      <c r="D661" s="107"/>
      <c r="E661" s="107" t="s">
        <v>591</v>
      </c>
      <c r="F661" s="108">
        <v>35.0</v>
      </c>
      <c r="G661" s="108"/>
      <c r="H661" s="58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27.75" customHeight="1">
      <c r="A662" s="102">
        <v>3.0</v>
      </c>
      <c r="B662" s="123"/>
      <c r="C662" s="123"/>
      <c r="D662" s="107"/>
      <c r="E662" s="107" t="s">
        <v>592</v>
      </c>
      <c r="F662" s="108">
        <v>35.0</v>
      </c>
      <c r="G662" s="108"/>
      <c r="H662" s="58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27.75" customHeight="1">
      <c r="A663" s="102">
        <v>4.0</v>
      </c>
      <c r="B663" s="123"/>
      <c r="C663" s="123"/>
      <c r="D663" s="107"/>
      <c r="E663" s="107" t="s">
        <v>593</v>
      </c>
      <c r="F663" s="108">
        <v>35.0</v>
      </c>
      <c r="G663" s="108"/>
      <c r="H663" s="58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27.75" customHeight="1">
      <c r="A664" s="102">
        <v>5.0</v>
      </c>
      <c r="B664" s="123"/>
      <c r="C664" s="123"/>
      <c r="D664" s="107"/>
      <c r="E664" s="107" t="s">
        <v>566</v>
      </c>
      <c r="F664" s="108">
        <v>30.0</v>
      </c>
      <c r="G664" s="108" t="s">
        <v>61</v>
      </c>
      <c r="H664" s="58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27.75" customHeight="1">
      <c r="A665" s="102">
        <v>6.0</v>
      </c>
      <c r="B665" s="123"/>
      <c r="C665" s="123"/>
      <c r="D665" s="107"/>
      <c r="E665" s="107" t="s">
        <v>594</v>
      </c>
      <c r="F665" s="108">
        <v>35.0</v>
      </c>
      <c r="G665" s="108"/>
      <c r="H665" s="58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27.75" customHeight="1">
      <c r="A666" s="102">
        <v>7.0</v>
      </c>
      <c r="B666" s="123"/>
      <c r="C666" s="123"/>
      <c r="D666" s="107"/>
      <c r="E666" s="107" t="s">
        <v>595</v>
      </c>
      <c r="F666" s="108">
        <v>40.0</v>
      </c>
      <c r="G666" s="108"/>
      <c r="H666" s="58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27.75" customHeight="1">
      <c r="A667" s="102">
        <v>8.0</v>
      </c>
      <c r="B667" s="123"/>
      <c r="C667" s="123"/>
      <c r="D667" s="107"/>
      <c r="E667" s="107" t="s">
        <v>596</v>
      </c>
      <c r="F667" s="111" t="s">
        <v>597</v>
      </c>
      <c r="G667" s="108" t="s">
        <v>598</v>
      </c>
      <c r="H667" s="58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27.75" customHeight="1">
      <c r="A668" s="102">
        <v>9.0</v>
      </c>
      <c r="B668" s="123"/>
      <c r="C668" s="123"/>
      <c r="D668" s="107"/>
      <c r="E668" s="107" t="s">
        <v>578</v>
      </c>
      <c r="F668" s="108">
        <v>-50.0</v>
      </c>
      <c r="G668" s="108"/>
      <c r="H668" s="58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27.75" customHeight="1">
      <c r="A669" s="102">
        <v>10.0</v>
      </c>
      <c r="B669" s="123"/>
      <c r="C669" s="123"/>
      <c r="D669" s="107"/>
      <c r="E669" s="107" t="s">
        <v>599</v>
      </c>
      <c r="F669" s="108">
        <v>500.0</v>
      </c>
      <c r="G669" s="108"/>
      <c r="H669" s="58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27.75" customHeight="1">
      <c r="A670" s="102">
        <v>11.0</v>
      </c>
      <c r="B670" s="123"/>
      <c r="C670" s="123"/>
      <c r="D670" s="107"/>
      <c r="E670" s="107"/>
      <c r="F670" s="108"/>
      <c r="G670" s="108"/>
      <c r="H670" s="58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27.75" customHeight="1">
      <c r="A671" s="102">
        <v>12.0</v>
      </c>
      <c r="B671" s="123"/>
      <c r="C671" s="123"/>
      <c r="D671" s="107"/>
      <c r="E671" s="107"/>
      <c r="F671" s="108"/>
      <c r="G671" s="108"/>
      <c r="H671" s="58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27.75" customHeight="1">
      <c r="A672" s="102">
        <v>13.0</v>
      </c>
      <c r="B672" s="123"/>
      <c r="C672" s="123"/>
      <c r="D672" s="107"/>
      <c r="E672" s="107"/>
      <c r="F672" s="111"/>
      <c r="G672" s="108"/>
      <c r="H672" s="58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27.75" customHeight="1">
      <c r="A673" s="102">
        <v>14.0</v>
      </c>
      <c r="B673" s="123"/>
      <c r="C673" s="123"/>
      <c r="D673" s="107"/>
      <c r="E673" s="107"/>
      <c r="F673" s="108"/>
      <c r="G673" s="108"/>
      <c r="H673" s="58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27.75" customHeight="1">
      <c r="A674" s="102">
        <v>15.0</v>
      </c>
      <c r="B674" s="123"/>
      <c r="C674" s="123"/>
      <c r="D674" s="107"/>
      <c r="E674" s="107"/>
      <c r="F674" s="108"/>
      <c r="G674" s="108"/>
      <c r="H674" s="58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27.75" customHeight="1">
      <c r="A675" s="58"/>
      <c r="B675" s="149"/>
      <c r="C675" s="58"/>
      <c r="D675" s="58"/>
      <c r="E675" s="102" t="s">
        <v>144</v>
      </c>
      <c r="F675" s="150">
        <v>1020.0</v>
      </c>
      <c r="G675" s="58"/>
      <c r="H675" s="58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27.75" customHeight="1">
      <c r="A676" s="58"/>
      <c r="B676" s="149"/>
      <c r="C676" s="58"/>
      <c r="D676" s="58"/>
      <c r="E676" s="102" t="s">
        <v>145</v>
      </c>
      <c r="F676" s="151"/>
      <c r="G676" s="58"/>
      <c r="H676" s="58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27.75" customHeight="1">
      <c r="A677" s="58"/>
      <c r="B677" s="149"/>
      <c r="C677" s="58"/>
      <c r="D677" s="58"/>
      <c r="E677" s="102" t="s">
        <v>146</v>
      </c>
      <c r="F677" s="150"/>
      <c r="G677" s="58"/>
      <c r="H677" s="58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27.75" customHeight="1">
      <c r="A678" s="58"/>
      <c r="B678" s="149"/>
      <c r="C678" s="58"/>
      <c r="D678" s="58"/>
      <c r="E678" s="102" t="s">
        <v>147</v>
      </c>
      <c r="F678" s="150">
        <v>250.0</v>
      </c>
      <c r="G678" s="58"/>
      <c r="H678" s="58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27.75" customHeight="1">
      <c r="A679" s="58"/>
      <c r="B679" s="149"/>
      <c r="C679" s="58"/>
      <c r="D679" s="58"/>
      <c r="E679" s="102" t="s">
        <v>148</v>
      </c>
      <c r="F679" s="151" t="s">
        <v>600</v>
      </c>
      <c r="G679" s="58"/>
      <c r="H679" s="58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27.75" customHeight="1">
      <c r="A680" s="102" t="s">
        <v>4</v>
      </c>
      <c r="B680" s="102" t="s">
        <v>5</v>
      </c>
      <c r="C680" s="102" t="s">
        <v>126</v>
      </c>
      <c r="D680" s="102" t="s">
        <v>6</v>
      </c>
      <c r="E680" s="102" t="s">
        <v>7</v>
      </c>
      <c r="F680" s="102" t="s">
        <v>127</v>
      </c>
      <c r="G680" s="102" t="s">
        <v>128</v>
      </c>
      <c r="H680" s="58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27.75" customHeight="1">
      <c r="A681" s="102">
        <v>1.0</v>
      </c>
      <c r="B681" s="147">
        <v>46114.0</v>
      </c>
      <c r="C681" s="148" t="s">
        <v>310</v>
      </c>
      <c r="D681" s="107" t="s">
        <v>193</v>
      </c>
      <c r="E681" s="107" t="s">
        <v>601</v>
      </c>
      <c r="F681" s="108" t="s">
        <v>602</v>
      </c>
      <c r="G681" s="111"/>
      <c r="H681" s="58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27.75" customHeight="1">
      <c r="A682" s="102">
        <v>2.0</v>
      </c>
      <c r="B682" s="123"/>
      <c r="C682" s="123"/>
      <c r="D682" s="107"/>
      <c r="E682" s="107" t="s">
        <v>603</v>
      </c>
      <c r="F682" s="108">
        <v>35.0</v>
      </c>
      <c r="G682" s="108"/>
      <c r="H682" s="58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27.75" customHeight="1">
      <c r="A683" s="102">
        <v>3.0</v>
      </c>
      <c r="B683" s="123"/>
      <c r="C683" s="123"/>
      <c r="D683" s="107"/>
      <c r="E683" s="107" t="s">
        <v>604</v>
      </c>
      <c r="F683" s="108"/>
      <c r="G683" s="108"/>
      <c r="H683" s="58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27.75" customHeight="1">
      <c r="A684" s="102">
        <v>4.0</v>
      </c>
      <c r="B684" s="123"/>
      <c r="C684" s="123"/>
      <c r="D684" s="107"/>
      <c r="E684" s="107" t="s">
        <v>605</v>
      </c>
      <c r="F684" s="108">
        <v>20.0</v>
      </c>
      <c r="G684" s="108"/>
      <c r="H684" s="58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27.75" customHeight="1">
      <c r="A685" s="102">
        <v>5.0</v>
      </c>
      <c r="B685" s="123"/>
      <c r="C685" s="123"/>
      <c r="D685" s="107"/>
      <c r="E685" s="107" t="s">
        <v>606</v>
      </c>
      <c r="F685" s="108"/>
      <c r="G685" s="108"/>
      <c r="H685" s="58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27.75" customHeight="1">
      <c r="A686" s="102">
        <v>6.0</v>
      </c>
      <c r="B686" s="123"/>
      <c r="C686" s="123"/>
      <c r="D686" s="107"/>
      <c r="E686" s="107" t="s">
        <v>607</v>
      </c>
      <c r="F686" s="108">
        <v>35.0</v>
      </c>
      <c r="G686" s="108"/>
      <c r="H686" s="58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27.75" customHeight="1">
      <c r="A687" s="102">
        <v>7.0</v>
      </c>
      <c r="B687" s="123"/>
      <c r="C687" s="123"/>
      <c r="D687" s="107"/>
      <c r="E687" s="107" t="s">
        <v>608</v>
      </c>
      <c r="F687" s="111" t="s">
        <v>609</v>
      </c>
      <c r="G687" s="108"/>
      <c r="H687" s="58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27.75" customHeight="1">
      <c r="A688" s="102">
        <v>8.0</v>
      </c>
      <c r="B688" s="123"/>
      <c r="C688" s="123"/>
      <c r="D688" s="107"/>
      <c r="E688" s="107" t="s">
        <v>610</v>
      </c>
      <c r="F688" s="111"/>
      <c r="G688" s="108"/>
      <c r="H688" s="58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27.75" customHeight="1">
      <c r="A689" s="102">
        <v>9.0</v>
      </c>
      <c r="B689" s="123"/>
      <c r="C689" s="123"/>
      <c r="D689" s="107"/>
      <c r="E689" s="107" t="s">
        <v>611</v>
      </c>
      <c r="F689" s="108"/>
      <c r="G689" s="108"/>
      <c r="H689" s="58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27.75" customHeight="1">
      <c r="A690" s="102">
        <v>10.0</v>
      </c>
      <c r="B690" s="123"/>
      <c r="C690" s="123"/>
      <c r="D690" s="107"/>
      <c r="E690" s="107" t="s">
        <v>612</v>
      </c>
      <c r="F690" s="108">
        <v>305.0</v>
      </c>
      <c r="G690" s="108"/>
      <c r="H690" s="58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27.75" customHeight="1">
      <c r="A691" s="102">
        <v>11.0</v>
      </c>
      <c r="B691" s="123"/>
      <c r="C691" s="123"/>
      <c r="D691" s="107"/>
      <c r="E691" s="107" t="s">
        <v>613</v>
      </c>
      <c r="F691" s="108"/>
      <c r="G691" s="108"/>
      <c r="H691" s="58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27.75" customHeight="1">
      <c r="A692" s="102">
        <v>12.0</v>
      </c>
      <c r="B692" s="123"/>
      <c r="C692" s="123"/>
      <c r="D692" s="107"/>
      <c r="E692" s="107" t="s">
        <v>614</v>
      </c>
      <c r="F692" s="108"/>
      <c r="G692" s="111" t="s">
        <v>298</v>
      </c>
      <c r="H692" s="58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27.75" customHeight="1">
      <c r="A693" s="102">
        <v>13.0</v>
      </c>
      <c r="B693" s="123"/>
      <c r="C693" s="123"/>
      <c r="D693" s="107"/>
      <c r="E693" s="107" t="s">
        <v>615</v>
      </c>
      <c r="F693" s="111"/>
      <c r="G693" s="108"/>
      <c r="H693" s="58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27.75" customHeight="1">
      <c r="A694" s="102">
        <v>14.0</v>
      </c>
      <c r="B694" s="123"/>
      <c r="C694" s="123"/>
      <c r="D694" s="107"/>
      <c r="E694" s="107" t="s">
        <v>616</v>
      </c>
      <c r="F694" s="108"/>
      <c r="G694" s="108"/>
      <c r="H694" s="58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27.75" customHeight="1">
      <c r="A695" s="102">
        <v>15.0</v>
      </c>
      <c r="B695" s="123"/>
      <c r="C695" s="123"/>
      <c r="D695" s="107"/>
      <c r="E695" s="107" t="s">
        <v>617</v>
      </c>
      <c r="F695" s="108"/>
      <c r="G695" s="108"/>
      <c r="H695" s="58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27.75" customHeight="1">
      <c r="A696" s="154"/>
      <c r="B696" s="155"/>
      <c r="C696" s="155"/>
      <c r="D696" s="156"/>
      <c r="E696" s="107" t="s">
        <v>507</v>
      </c>
      <c r="F696" s="108">
        <v>40.0</v>
      </c>
      <c r="G696" s="135"/>
      <c r="H696" s="58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27.75" customHeight="1">
      <c r="A697" s="58"/>
      <c r="B697" s="149"/>
      <c r="C697" s="58"/>
      <c r="D697" s="58"/>
      <c r="E697" s="102" t="s">
        <v>144</v>
      </c>
      <c r="F697" s="150">
        <v>1000.0</v>
      </c>
      <c r="G697" s="58"/>
      <c r="H697" s="58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27.75" customHeight="1">
      <c r="A698" s="58"/>
      <c r="B698" s="149"/>
      <c r="C698" s="58"/>
      <c r="D698" s="58"/>
      <c r="E698" s="102" t="s">
        <v>145</v>
      </c>
      <c r="F698" s="150">
        <v>2120.0</v>
      </c>
      <c r="G698" s="58"/>
      <c r="H698" s="58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27.75" customHeight="1">
      <c r="A699" s="58"/>
      <c r="B699" s="149"/>
      <c r="C699" s="58"/>
      <c r="D699" s="58"/>
      <c r="E699" s="102" t="s">
        <v>146</v>
      </c>
      <c r="F699" s="150"/>
      <c r="G699" s="58"/>
      <c r="H699" s="58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27.75" customHeight="1">
      <c r="A700" s="58"/>
      <c r="B700" s="149"/>
      <c r="C700" s="58"/>
      <c r="D700" s="58"/>
      <c r="E700" s="102" t="s">
        <v>147</v>
      </c>
      <c r="F700" s="150">
        <v>250.0</v>
      </c>
      <c r="G700" s="58"/>
      <c r="H700" s="58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27.75" customHeight="1">
      <c r="A701" s="58"/>
      <c r="B701" s="149"/>
      <c r="C701" s="58"/>
      <c r="D701" s="58"/>
      <c r="E701" s="102" t="s">
        <v>148</v>
      </c>
      <c r="F701" s="150">
        <v>1870.0</v>
      </c>
      <c r="G701" s="58"/>
      <c r="H701" s="58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27.75" customHeight="1">
      <c r="A702" s="58"/>
      <c r="B702" s="149"/>
      <c r="C702" s="58"/>
      <c r="D702" s="58"/>
      <c r="E702" s="58"/>
      <c r="F702" s="58"/>
      <c r="G702" s="58"/>
      <c r="H702" s="58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27.75" customHeight="1">
      <c r="A703" s="102" t="s">
        <v>4</v>
      </c>
      <c r="B703" s="102" t="s">
        <v>5</v>
      </c>
      <c r="C703" s="102" t="s">
        <v>126</v>
      </c>
      <c r="D703" s="102" t="s">
        <v>6</v>
      </c>
      <c r="E703" s="102" t="s">
        <v>7</v>
      </c>
      <c r="F703" s="102" t="s">
        <v>127</v>
      </c>
      <c r="G703" s="102" t="s">
        <v>128</v>
      </c>
      <c r="H703" s="58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27.75" customHeight="1">
      <c r="A704" s="102">
        <v>1.0</v>
      </c>
      <c r="B704" s="147">
        <v>46115.0</v>
      </c>
      <c r="C704" s="148" t="s">
        <v>618</v>
      </c>
      <c r="D704" s="107" t="s">
        <v>193</v>
      </c>
      <c r="E704" s="107" t="s">
        <v>619</v>
      </c>
      <c r="F704" s="111" t="s">
        <v>620</v>
      </c>
      <c r="G704" s="111"/>
      <c r="H704" s="58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27.75" customHeight="1">
      <c r="A705" s="102">
        <v>2.0</v>
      </c>
      <c r="B705" s="123"/>
      <c r="C705" s="123"/>
      <c r="D705" s="107"/>
      <c r="E705" s="107" t="s">
        <v>621</v>
      </c>
      <c r="F705" s="108" t="s">
        <v>622</v>
      </c>
      <c r="G705" s="108"/>
      <c r="H705" s="58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27.75" customHeight="1">
      <c r="A706" s="102">
        <v>3.0</v>
      </c>
      <c r="B706" s="123"/>
      <c r="C706" s="123"/>
      <c r="D706" s="107"/>
      <c r="E706" s="107" t="s">
        <v>414</v>
      </c>
      <c r="F706" s="108"/>
      <c r="G706" s="108"/>
      <c r="H706" s="58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27.75" customHeight="1">
      <c r="A707" s="102">
        <v>4.0</v>
      </c>
      <c r="B707" s="123"/>
      <c r="C707" s="123"/>
      <c r="D707" s="107"/>
      <c r="E707" s="107" t="s">
        <v>623</v>
      </c>
      <c r="F707" s="111" t="s">
        <v>624</v>
      </c>
      <c r="G707" s="108"/>
      <c r="H707" s="58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27.75" customHeight="1">
      <c r="A708" s="102">
        <v>5.0</v>
      </c>
      <c r="B708" s="123"/>
      <c r="C708" s="123"/>
      <c r="D708" s="107"/>
      <c r="E708" s="107" t="s">
        <v>625</v>
      </c>
      <c r="F708" s="108">
        <v>35.0</v>
      </c>
      <c r="G708" s="108" t="s">
        <v>61</v>
      </c>
      <c r="H708" s="58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27.75" customHeight="1">
      <c r="A709" s="102">
        <v>6.0</v>
      </c>
      <c r="B709" s="123"/>
      <c r="C709" s="123"/>
      <c r="D709" s="107"/>
      <c r="E709" s="107" t="s">
        <v>626</v>
      </c>
      <c r="F709" s="108">
        <v>35.0</v>
      </c>
      <c r="G709" s="108"/>
      <c r="H709" s="58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27.75" customHeight="1">
      <c r="A710" s="102">
        <v>7.0</v>
      </c>
      <c r="B710" s="123"/>
      <c r="C710" s="123"/>
      <c r="D710" s="107"/>
      <c r="E710" s="107" t="s">
        <v>399</v>
      </c>
      <c r="F710" s="108">
        <v>50.0</v>
      </c>
      <c r="G710" s="108"/>
      <c r="H710" s="58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27.75" customHeight="1">
      <c r="A711" s="102">
        <v>8.0</v>
      </c>
      <c r="B711" s="123"/>
      <c r="C711" s="123"/>
      <c r="D711" s="107"/>
      <c r="E711" s="107" t="s">
        <v>627</v>
      </c>
      <c r="F711" s="111"/>
      <c r="G711" s="108" t="s">
        <v>598</v>
      </c>
      <c r="H711" s="58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27.75" customHeight="1">
      <c r="A712" s="102">
        <v>9.0</v>
      </c>
      <c r="B712" s="123"/>
      <c r="C712" s="123"/>
      <c r="D712" s="107"/>
      <c r="E712" s="107" t="s">
        <v>566</v>
      </c>
      <c r="F712" s="108">
        <v>35.0</v>
      </c>
      <c r="G712" s="108"/>
      <c r="H712" s="58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27.75" customHeight="1">
      <c r="A713" s="102">
        <v>10.0</v>
      </c>
      <c r="B713" s="123"/>
      <c r="C713" s="123"/>
      <c r="D713" s="107"/>
      <c r="E713" s="107" t="s">
        <v>628</v>
      </c>
      <c r="F713" s="108"/>
      <c r="G713" s="108"/>
      <c r="H713" s="58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27.75" customHeight="1">
      <c r="A714" s="102">
        <v>11.0</v>
      </c>
      <c r="B714" s="123"/>
      <c r="C714" s="123"/>
      <c r="D714" s="107"/>
      <c r="E714" s="107"/>
      <c r="F714" s="108"/>
      <c r="G714" s="108"/>
      <c r="H714" s="58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27.75" customHeight="1">
      <c r="A715" s="102">
        <v>12.0</v>
      </c>
      <c r="B715" s="123"/>
      <c r="C715" s="123"/>
      <c r="D715" s="107"/>
      <c r="E715" s="107"/>
      <c r="F715" s="108"/>
      <c r="G715" s="108"/>
      <c r="H715" s="58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27.75" customHeight="1">
      <c r="A716" s="102">
        <v>13.0</v>
      </c>
      <c r="B716" s="123"/>
      <c r="C716" s="123"/>
      <c r="D716" s="107"/>
      <c r="E716" s="107"/>
      <c r="F716" s="111"/>
      <c r="G716" s="108"/>
      <c r="H716" s="58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27.75" customHeight="1">
      <c r="A717" s="102">
        <v>14.0</v>
      </c>
      <c r="B717" s="123"/>
      <c r="C717" s="123"/>
      <c r="D717" s="107"/>
      <c r="E717" s="107"/>
      <c r="F717" s="108"/>
      <c r="G717" s="108"/>
      <c r="H717" s="58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27.75" customHeight="1">
      <c r="A718" s="102">
        <v>15.0</v>
      </c>
      <c r="B718" s="123"/>
      <c r="C718" s="123"/>
      <c r="D718" s="107"/>
      <c r="E718" s="107"/>
      <c r="F718" s="108"/>
      <c r="G718" s="108"/>
      <c r="H718" s="58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27.75" customHeight="1">
      <c r="A719" s="58"/>
      <c r="B719" s="149"/>
      <c r="C719" s="58"/>
      <c r="D719" s="58"/>
      <c r="E719" s="102" t="s">
        <v>144</v>
      </c>
      <c r="F719" s="150">
        <v>1870.0</v>
      </c>
      <c r="G719" s="58"/>
      <c r="H719" s="58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27.75" customHeight="1">
      <c r="A720" s="58"/>
      <c r="B720" s="149"/>
      <c r="C720" s="58"/>
      <c r="D720" s="58"/>
      <c r="E720" s="102" t="s">
        <v>145</v>
      </c>
      <c r="F720" s="150">
        <v>4870.0</v>
      </c>
      <c r="G720" s="58"/>
      <c r="H720" s="58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27.75" customHeight="1">
      <c r="A721" s="58"/>
      <c r="B721" s="149"/>
      <c r="C721" s="58"/>
      <c r="D721" s="58"/>
      <c r="E721" s="102" t="s">
        <v>146</v>
      </c>
      <c r="F721" s="150"/>
      <c r="G721" s="58"/>
      <c r="H721" s="58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27.75" customHeight="1">
      <c r="A722" s="58"/>
      <c r="B722" s="149"/>
      <c r="C722" s="58"/>
      <c r="D722" s="58"/>
      <c r="E722" s="102" t="s">
        <v>147</v>
      </c>
      <c r="F722" s="150">
        <v>300.0</v>
      </c>
      <c r="G722" s="58"/>
      <c r="H722" s="58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27.75" customHeight="1">
      <c r="A723" s="58"/>
      <c r="B723" s="149"/>
      <c r="C723" s="58"/>
      <c r="D723" s="58"/>
      <c r="E723" s="102" t="s">
        <v>148</v>
      </c>
      <c r="F723" s="150">
        <v>4570.0</v>
      </c>
      <c r="G723" s="58"/>
      <c r="H723" s="58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27.75" customHeight="1">
      <c r="A724" s="58"/>
      <c r="B724" s="149"/>
      <c r="C724" s="58"/>
      <c r="D724" s="58"/>
      <c r="E724" s="58"/>
      <c r="F724" s="153" t="s">
        <v>629</v>
      </c>
      <c r="G724" s="58"/>
      <c r="H724" s="58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27.75" customHeight="1">
      <c r="A725" s="102" t="s">
        <v>4</v>
      </c>
      <c r="B725" s="102" t="s">
        <v>5</v>
      </c>
      <c r="C725" s="102" t="s">
        <v>126</v>
      </c>
      <c r="D725" s="102" t="s">
        <v>6</v>
      </c>
      <c r="E725" s="102" t="s">
        <v>7</v>
      </c>
      <c r="F725" s="102" t="s">
        <v>127</v>
      </c>
      <c r="G725" s="102" t="s">
        <v>128</v>
      </c>
      <c r="H725" s="58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27.75" customHeight="1">
      <c r="A726" s="102">
        <v>1.0</v>
      </c>
      <c r="B726" s="147">
        <v>46116.0</v>
      </c>
      <c r="C726" s="148" t="s">
        <v>341</v>
      </c>
      <c r="D726" s="107" t="s">
        <v>193</v>
      </c>
      <c r="E726" s="107" t="s">
        <v>630</v>
      </c>
      <c r="F726" s="111"/>
      <c r="G726" s="111"/>
      <c r="H726" s="58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27.75" customHeight="1">
      <c r="A727" s="102">
        <v>2.0</v>
      </c>
      <c r="B727" s="123"/>
      <c r="C727" s="123"/>
      <c r="D727" s="107"/>
      <c r="E727" s="107" t="s">
        <v>631</v>
      </c>
      <c r="F727" s="108"/>
      <c r="G727" s="108"/>
      <c r="H727" s="58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27.75" customHeight="1">
      <c r="A728" s="102">
        <v>3.0</v>
      </c>
      <c r="B728" s="123"/>
      <c r="C728" s="123"/>
      <c r="D728" s="107"/>
      <c r="E728" s="107" t="s">
        <v>632</v>
      </c>
      <c r="F728" s="108"/>
      <c r="G728" s="108"/>
      <c r="H728" s="58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27.75" customHeight="1">
      <c r="A729" s="102">
        <v>4.0</v>
      </c>
      <c r="B729" s="123"/>
      <c r="C729" s="123"/>
      <c r="D729" s="107"/>
      <c r="E729" s="107" t="s">
        <v>633</v>
      </c>
      <c r="F729" s="111"/>
      <c r="G729" s="108"/>
      <c r="H729" s="58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27.75" customHeight="1">
      <c r="A730" s="102">
        <v>5.0</v>
      </c>
      <c r="B730" s="123"/>
      <c r="C730" s="123"/>
      <c r="D730" s="107"/>
      <c r="E730" s="107" t="s">
        <v>634</v>
      </c>
      <c r="F730" s="108"/>
      <c r="G730" s="108" t="s">
        <v>61</v>
      </c>
      <c r="H730" s="58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27.75" customHeight="1">
      <c r="A731" s="102">
        <v>6.0</v>
      </c>
      <c r="B731" s="123"/>
      <c r="C731" s="123"/>
      <c r="D731" s="107"/>
      <c r="E731" s="107" t="s">
        <v>635</v>
      </c>
      <c r="F731" s="108"/>
      <c r="G731" s="108"/>
      <c r="H731" s="58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27.75" customHeight="1">
      <c r="A732" s="102">
        <v>7.0</v>
      </c>
      <c r="B732" s="123"/>
      <c r="C732" s="123"/>
      <c r="D732" s="107"/>
      <c r="E732" s="107" t="s">
        <v>636</v>
      </c>
      <c r="F732" s="108"/>
      <c r="G732" s="108"/>
      <c r="H732" s="58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27.75" customHeight="1">
      <c r="A733" s="102">
        <v>8.0</v>
      </c>
      <c r="B733" s="123"/>
      <c r="C733" s="123"/>
      <c r="D733" s="107"/>
      <c r="E733" s="107" t="s">
        <v>298</v>
      </c>
      <c r="F733" s="111"/>
      <c r="G733" s="108" t="s">
        <v>598</v>
      </c>
      <c r="H733" s="58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27.75" customHeight="1">
      <c r="A734" s="102">
        <v>9.0</v>
      </c>
      <c r="B734" s="123"/>
      <c r="C734" s="123"/>
      <c r="D734" s="107"/>
      <c r="E734" s="107"/>
      <c r="F734" s="108"/>
      <c r="G734" s="108"/>
      <c r="H734" s="58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27.75" customHeight="1">
      <c r="A735" s="102">
        <v>10.0</v>
      </c>
      <c r="B735" s="123"/>
      <c r="C735" s="123"/>
      <c r="D735" s="107"/>
      <c r="E735" s="107"/>
      <c r="F735" s="108"/>
      <c r="G735" s="108"/>
      <c r="H735" s="58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27.75" customHeight="1">
      <c r="A736" s="102">
        <v>11.0</v>
      </c>
      <c r="B736" s="123"/>
      <c r="C736" s="123"/>
      <c r="D736" s="107"/>
      <c r="E736" s="107"/>
      <c r="F736" s="108"/>
      <c r="G736" s="108"/>
      <c r="H736" s="58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27.75" customHeight="1">
      <c r="A737" s="102">
        <v>12.0</v>
      </c>
      <c r="B737" s="123"/>
      <c r="C737" s="123"/>
      <c r="D737" s="107"/>
      <c r="E737" s="107"/>
      <c r="F737" s="108"/>
      <c r="G737" s="108"/>
      <c r="H737" s="58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27.75" customHeight="1">
      <c r="A738" s="102">
        <v>13.0</v>
      </c>
      <c r="B738" s="123"/>
      <c r="C738" s="123"/>
      <c r="D738" s="107"/>
      <c r="E738" s="107"/>
      <c r="F738" s="111"/>
      <c r="G738" s="108"/>
      <c r="H738" s="58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27.75" customHeight="1">
      <c r="A739" s="102">
        <v>14.0</v>
      </c>
      <c r="B739" s="123"/>
      <c r="C739" s="123"/>
      <c r="D739" s="107"/>
      <c r="E739" s="107"/>
      <c r="F739" s="108"/>
      <c r="G739" s="108"/>
      <c r="H739" s="58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27.75" customHeight="1">
      <c r="A740" s="102">
        <v>15.0</v>
      </c>
      <c r="B740" s="123"/>
      <c r="C740" s="123"/>
      <c r="D740" s="107"/>
      <c r="E740" s="107"/>
      <c r="F740" s="108"/>
      <c r="G740" s="108"/>
      <c r="H740" s="58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27.75" customHeight="1">
      <c r="A741" s="58"/>
      <c r="B741" s="149"/>
      <c r="C741" s="58"/>
      <c r="D741" s="58"/>
      <c r="E741" s="102" t="s">
        <v>144</v>
      </c>
      <c r="F741" s="150">
        <v>1000.0</v>
      </c>
      <c r="G741" s="58"/>
      <c r="H741" s="58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27.75" customHeight="1">
      <c r="A742" s="58"/>
      <c r="B742" s="149"/>
      <c r="C742" s="58"/>
      <c r="D742" s="58"/>
      <c r="E742" s="102" t="s">
        <v>145</v>
      </c>
      <c r="F742" s="150">
        <v>580.0</v>
      </c>
      <c r="G742" s="58"/>
      <c r="H742" s="58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27.75" customHeight="1">
      <c r="A743" s="58"/>
      <c r="B743" s="149"/>
      <c r="C743" s="58"/>
      <c r="D743" s="58"/>
      <c r="E743" s="102" t="s">
        <v>146</v>
      </c>
      <c r="F743" s="150"/>
      <c r="G743" s="58"/>
      <c r="H743" s="58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27.75" customHeight="1">
      <c r="A744" s="58"/>
      <c r="B744" s="149"/>
      <c r="C744" s="58"/>
      <c r="D744" s="58"/>
      <c r="E744" s="102" t="s">
        <v>147</v>
      </c>
      <c r="F744" s="150">
        <v>250.0</v>
      </c>
      <c r="G744" s="58"/>
      <c r="H744" s="58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27.75" customHeight="1">
      <c r="A745" s="58"/>
      <c r="B745" s="149"/>
      <c r="C745" s="58"/>
      <c r="D745" s="58"/>
      <c r="E745" s="102" t="s">
        <v>148</v>
      </c>
      <c r="F745" s="150">
        <v>330.0</v>
      </c>
      <c r="G745" s="58"/>
      <c r="H745" s="58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27.75" customHeight="1">
      <c r="A746" s="58"/>
      <c r="B746" s="149"/>
      <c r="C746" s="58"/>
      <c r="D746" s="58"/>
      <c r="E746" s="58"/>
      <c r="F746" s="58"/>
      <c r="G746" s="58"/>
      <c r="H746" s="58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27.75" customHeight="1">
      <c r="A747" s="102" t="s">
        <v>4</v>
      </c>
      <c r="B747" s="102" t="s">
        <v>5</v>
      </c>
      <c r="C747" s="102" t="s">
        <v>126</v>
      </c>
      <c r="D747" s="102" t="s">
        <v>6</v>
      </c>
      <c r="E747" s="102" t="s">
        <v>7</v>
      </c>
      <c r="F747" s="102" t="s">
        <v>127</v>
      </c>
      <c r="G747" s="102" t="s">
        <v>128</v>
      </c>
      <c r="H747" s="58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27.75" customHeight="1">
      <c r="A748" s="102">
        <v>1.0</v>
      </c>
      <c r="B748" s="147">
        <v>46117.0</v>
      </c>
      <c r="C748" s="148" t="s">
        <v>561</v>
      </c>
      <c r="D748" s="107" t="s">
        <v>193</v>
      </c>
      <c r="E748" s="107" t="s">
        <v>199</v>
      </c>
      <c r="F748" s="108" t="s">
        <v>637</v>
      </c>
      <c r="G748" s="111"/>
      <c r="H748" s="58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27.75" customHeight="1">
      <c r="A749" s="102">
        <v>2.0</v>
      </c>
      <c r="B749" s="123"/>
      <c r="C749" s="123"/>
      <c r="D749" s="107"/>
      <c r="E749" s="107" t="s">
        <v>638</v>
      </c>
      <c r="F749" s="108"/>
      <c r="G749" s="108"/>
      <c r="H749" s="58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27.75" customHeight="1">
      <c r="A750" s="102">
        <v>3.0</v>
      </c>
      <c r="B750" s="123"/>
      <c r="C750" s="123"/>
      <c r="D750" s="107"/>
      <c r="E750" s="107" t="s">
        <v>639</v>
      </c>
      <c r="F750" s="108"/>
      <c r="G750" s="108"/>
      <c r="H750" s="58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27.75" customHeight="1">
      <c r="A751" s="102">
        <v>4.0</v>
      </c>
      <c r="B751" s="123"/>
      <c r="C751" s="123"/>
      <c r="D751" s="107"/>
      <c r="E751" s="107" t="s">
        <v>640</v>
      </c>
      <c r="F751" s="111"/>
      <c r="G751" s="108"/>
      <c r="H751" s="58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27.75" customHeight="1">
      <c r="A752" s="102">
        <v>5.0</v>
      </c>
      <c r="B752" s="123"/>
      <c r="C752" s="123"/>
      <c r="D752" s="107"/>
      <c r="E752" s="107" t="s">
        <v>641</v>
      </c>
      <c r="F752" s="108"/>
      <c r="G752" s="108" t="s">
        <v>61</v>
      </c>
      <c r="H752" s="58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27.75" customHeight="1">
      <c r="A753" s="102">
        <v>6.0</v>
      </c>
      <c r="B753" s="123"/>
      <c r="C753" s="123"/>
      <c r="D753" s="107"/>
      <c r="E753" s="107" t="s">
        <v>642</v>
      </c>
      <c r="F753" s="108"/>
      <c r="G753" s="108"/>
      <c r="H753" s="58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27.75" customHeight="1">
      <c r="A754" s="102">
        <v>7.0</v>
      </c>
      <c r="B754" s="123"/>
      <c r="C754" s="123"/>
      <c r="D754" s="107"/>
      <c r="E754" s="107" t="s">
        <v>414</v>
      </c>
      <c r="F754" s="108"/>
      <c r="G754" s="108"/>
      <c r="H754" s="58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27.75" customHeight="1">
      <c r="A755" s="102">
        <v>8.0</v>
      </c>
      <c r="B755" s="123"/>
      <c r="C755" s="123"/>
      <c r="D755" s="107"/>
      <c r="E755" s="107" t="s">
        <v>643</v>
      </c>
      <c r="F755" s="111"/>
      <c r="G755" s="108" t="s">
        <v>598</v>
      </c>
      <c r="H755" s="58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27.75" customHeight="1">
      <c r="A756" s="102">
        <v>9.0</v>
      </c>
      <c r="B756" s="123"/>
      <c r="C756" s="123"/>
      <c r="D756" s="107"/>
      <c r="E756" s="107" t="s">
        <v>644</v>
      </c>
      <c r="F756" s="108"/>
      <c r="G756" s="108"/>
      <c r="H756" s="58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27.75" customHeight="1">
      <c r="A757" s="102">
        <v>10.0</v>
      </c>
      <c r="B757" s="123"/>
      <c r="C757" s="123"/>
      <c r="D757" s="107"/>
      <c r="E757" s="107"/>
      <c r="F757" s="108"/>
      <c r="G757" s="108"/>
      <c r="H757" s="58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27.75" customHeight="1">
      <c r="A758" s="102">
        <v>11.0</v>
      </c>
      <c r="B758" s="123"/>
      <c r="C758" s="123"/>
      <c r="D758" s="107"/>
      <c r="E758" s="107"/>
      <c r="F758" s="108"/>
      <c r="G758" s="108"/>
      <c r="H758" s="58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27.75" customHeight="1">
      <c r="A759" s="102">
        <v>12.0</v>
      </c>
      <c r="B759" s="123"/>
      <c r="C759" s="123"/>
      <c r="D759" s="107"/>
      <c r="E759" s="107"/>
      <c r="F759" s="108"/>
      <c r="G759" s="108"/>
      <c r="H759" s="58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27.75" customHeight="1">
      <c r="A760" s="102">
        <v>13.0</v>
      </c>
      <c r="B760" s="123"/>
      <c r="C760" s="123"/>
      <c r="D760" s="107"/>
      <c r="E760" s="107"/>
      <c r="F760" s="111"/>
      <c r="G760" s="108"/>
      <c r="H760" s="58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27.75" customHeight="1">
      <c r="A761" s="102">
        <v>14.0</v>
      </c>
      <c r="B761" s="123"/>
      <c r="C761" s="123"/>
      <c r="D761" s="107"/>
      <c r="E761" s="107"/>
      <c r="F761" s="108"/>
      <c r="G761" s="108"/>
      <c r="H761" s="58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27.75" customHeight="1">
      <c r="A762" s="102">
        <v>15.0</v>
      </c>
      <c r="B762" s="123"/>
      <c r="C762" s="123"/>
      <c r="D762" s="107"/>
      <c r="E762" s="107"/>
      <c r="F762" s="108"/>
      <c r="G762" s="108"/>
      <c r="H762" s="58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27.75" customHeight="1">
      <c r="A763" s="58"/>
      <c r="B763" s="149"/>
      <c r="C763" s="58"/>
      <c r="D763" s="58"/>
      <c r="E763" s="102" t="s">
        <v>144</v>
      </c>
      <c r="F763" s="150">
        <v>330.0</v>
      </c>
      <c r="G763" s="58"/>
      <c r="H763" s="58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27.75" customHeight="1">
      <c r="A764" s="58"/>
      <c r="B764" s="149"/>
      <c r="C764" s="58"/>
      <c r="D764" s="58"/>
      <c r="E764" s="102" t="s">
        <v>145</v>
      </c>
      <c r="F764" s="150">
        <v>150.0</v>
      </c>
      <c r="G764" s="58"/>
      <c r="H764" s="58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27.75" customHeight="1">
      <c r="A765" s="58"/>
      <c r="B765" s="149"/>
      <c r="C765" s="58"/>
      <c r="D765" s="58"/>
      <c r="E765" s="102" t="s">
        <v>146</v>
      </c>
      <c r="F765" s="150"/>
      <c r="G765" s="58"/>
      <c r="H765" s="58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27.75" customHeight="1">
      <c r="A766" s="58"/>
      <c r="B766" s="149"/>
      <c r="C766" s="58"/>
      <c r="D766" s="58"/>
      <c r="E766" s="102" t="s">
        <v>147</v>
      </c>
      <c r="F766" s="150">
        <v>250.0</v>
      </c>
      <c r="G766" s="58"/>
      <c r="H766" s="58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27.75" customHeight="1">
      <c r="A767" s="58"/>
      <c r="B767" s="149"/>
      <c r="C767" s="58"/>
      <c r="D767" s="58"/>
      <c r="E767" s="102" t="s">
        <v>148</v>
      </c>
      <c r="F767" s="151" t="s">
        <v>645</v>
      </c>
      <c r="G767" s="58"/>
      <c r="H767" s="58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27.75" customHeight="1">
      <c r="A768" s="58"/>
      <c r="B768" s="149"/>
      <c r="C768" s="58"/>
      <c r="D768" s="58"/>
      <c r="E768" s="58"/>
      <c r="F768" s="58"/>
      <c r="G768" s="58"/>
      <c r="H768" s="58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27.75" customHeight="1">
      <c r="A769" s="102" t="s">
        <v>4</v>
      </c>
      <c r="B769" s="102" t="s">
        <v>5</v>
      </c>
      <c r="C769" s="102" t="s">
        <v>126</v>
      </c>
      <c r="D769" s="102" t="s">
        <v>6</v>
      </c>
      <c r="E769" s="102" t="s">
        <v>7</v>
      </c>
      <c r="F769" s="102" t="s">
        <v>127</v>
      </c>
      <c r="G769" s="102" t="s">
        <v>128</v>
      </c>
      <c r="H769" s="58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27.75" customHeight="1">
      <c r="A770" s="102">
        <v>1.0</v>
      </c>
      <c r="B770" s="147">
        <v>46117.0</v>
      </c>
      <c r="C770" s="148" t="s">
        <v>561</v>
      </c>
      <c r="D770" s="107" t="s">
        <v>193</v>
      </c>
      <c r="E770" s="107" t="s">
        <v>395</v>
      </c>
      <c r="F770" s="108"/>
      <c r="G770" s="111"/>
      <c r="H770" s="58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27.75" customHeight="1">
      <c r="A771" s="102">
        <v>2.0</v>
      </c>
      <c r="B771" s="123"/>
      <c r="C771" s="123"/>
      <c r="D771" s="107"/>
      <c r="E771" s="107" t="s">
        <v>646</v>
      </c>
      <c r="F771" s="108"/>
      <c r="G771" s="108"/>
      <c r="H771" s="58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27.75" customHeight="1">
      <c r="A772" s="102">
        <v>3.0</v>
      </c>
      <c r="B772" s="123"/>
      <c r="C772" s="123"/>
      <c r="D772" s="107"/>
      <c r="E772" s="107" t="s">
        <v>647</v>
      </c>
      <c r="F772" s="108"/>
      <c r="G772" s="108"/>
      <c r="H772" s="58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27.75" customHeight="1">
      <c r="A773" s="102">
        <v>4.0</v>
      </c>
      <c r="B773" s="123"/>
      <c r="C773" s="123"/>
      <c r="D773" s="107"/>
      <c r="E773" s="107" t="s">
        <v>648</v>
      </c>
      <c r="F773" s="111"/>
      <c r="G773" s="108"/>
      <c r="H773" s="58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27.75" customHeight="1">
      <c r="A774" s="102">
        <v>5.0</v>
      </c>
      <c r="B774" s="123"/>
      <c r="C774" s="123"/>
      <c r="D774" s="107"/>
      <c r="E774" s="107" t="s">
        <v>649</v>
      </c>
      <c r="F774" s="108"/>
      <c r="G774" s="108" t="s">
        <v>61</v>
      </c>
      <c r="H774" s="58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27.75" customHeight="1">
      <c r="A775" s="102">
        <v>6.0</v>
      </c>
      <c r="B775" s="123"/>
      <c r="C775" s="123"/>
      <c r="D775" s="107"/>
      <c r="E775" s="107" t="s">
        <v>650</v>
      </c>
      <c r="F775" s="108"/>
      <c r="G775" s="108"/>
      <c r="H775" s="58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27.75" customHeight="1">
      <c r="A776" s="102">
        <v>7.0</v>
      </c>
      <c r="B776" s="123"/>
      <c r="C776" s="123"/>
      <c r="D776" s="107"/>
      <c r="E776" s="107" t="s">
        <v>298</v>
      </c>
      <c r="F776" s="108"/>
      <c r="G776" s="108"/>
      <c r="H776" s="58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27.75" customHeight="1">
      <c r="A777" s="102">
        <v>8.0</v>
      </c>
      <c r="B777" s="123"/>
      <c r="C777" s="123"/>
      <c r="D777" s="107"/>
      <c r="E777" s="107"/>
      <c r="F777" s="111"/>
      <c r="G777" s="108" t="s">
        <v>598</v>
      </c>
      <c r="H777" s="58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27.75" customHeight="1">
      <c r="A778" s="102">
        <v>9.0</v>
      </c>
      <c r="B778" s="123"/>
      <c r="C778" s="123"/>
      <c r="D778" s="107"/>
      <c r="E778" s="107"/>
      <c r="F778" s="108"/>
      <c r="G778" s="108"/>
      <c r="H778" s="58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27.75" customHeight="1">
      <c r="A779" s="102">
        <v>10.0</v>
      </c>
      <c r="B779" s="123"/>
      <c r="C779" s="123"/>
      <c r="D779" s="107"/>
      <c r="E779" s="107"/>
      <c r="F779" s="108"/>
      <c r="G779" s="108"/>
      <c r="H779" s="58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27.75" customHeight="1">
      <c r="A780" s="102">
        <v>11.0</v>
      </c>
      <c r="B780" s="123"/>
      <c r="C780" s="123"/>
      <c r="D780" s="107"/>
      <c r="E780" s="107"/>
      <c r="F780" s="108"/>
      <c r="G780" s="108"/>
      <c r="H780" s="58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27.75" customHeight="1">
      <c r="A781" s="102">
        <v>12.0</v>
      </c>
      <c r="B781" s="123"/>
      <c r="C781" s="123"/>
      <c r="D781" s="107"/>
      <c r="E781" s="107"/>
      <c r="F781" s="108"/>
      <c r="G781" s="108"/>
      <c r="H781" s="58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27.75" customHeight="1">
      <c r="A782" s="102">
        <v>13.0</v>
      </c>
      <c r="B782" s="123"/>
      <c r="C782" s="123"/>
      <c r="D782" s="107"/>
      <c r="E782" s="107"/>
      <c r="F782" s="111"/>
      <c r="G782" s="108"/>
      <c r="H782" s="58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27.75" customHeight="1">
      <c r="A783" s="102">
        <v>14.0</v>
      </c>
      <c r="B783" s="123"/>
      <c r="C783" s="123"/>
      <c r="D783" s="107"/>
      <c r="E783" s="107"/>
      <c r="F783" s="108"/>
      <c r="G783" s="108"/>
      <c r="H783" s="58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27.75" customHeight="1">
      <c r="A784" s="102">
        <v>15.0</v>
      </c>
      <c r="B784" s="123"/>
      <c r="C784" s="123"/>
      <c r="D784" s="107"/>
      <c r="E784" s="107"/>
      <c r="F784" s="108"/>
      <c r="G784" s="108"/>
      <c r="H784" s="58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27.75" customHeight="1">
      <c r="A785" s="58"/>
      <c r="B785" s="149"/>
      <c r="C785" s="58"/>
      <c r="D785" s="58"/>
      <c r="E785" s="102" t="s">
        <v>144</v>
      </c>
      <c r="F785" s="150">
        <v>900.0</v>
      </c>
      <c r="G785" s="58"/>
      <c r="H785" s="58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27.75" customHeight="1">
      <c r="A786" s="58"/>
      <c r="B786" s="149"/>
      <c r="C786" s="58"/>
      <c r="D786" s="58"/>
      <c r="E786" s="102" t="s">
        <v>145</v>
      </c>
      <c r="F786" s="150">
        <v>1050.0</v>
      </c>
      <c r="G786" s="58"/>
      <c r="H786" s="58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27.75" customHeight="1">
      <c r="A787" s="58"/>
      <c r="B787" s="149"/>
      <c r="C787" s="58"/>
      <c r="D787" s="58"/>
      <c r="E787" s="102" t="s">
        <v>146</v>
      </c>
      <c r="F787" s="150"/>
      <c r="G787" s="58"/>
      <c r="H787" s="58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27.75" customHeight="1">
      <c r="A788" s="58"/>
      <c r="B788" s="149"/>
      <c r="C788" s="58"/>
      <c r="D788" s="58"/>
      <c r="E788" s="102" t="s">
        <v>147</v>
      </c>
      <c r="F788" s="150">
        <v>250.0</v>
      </c>
      <c r="G788" s="58"/>
      <c r="H788" s="58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27.75" customHeight="1">
      <c r="A789" s="58"/>
      <c r="B789" s="149"/>
      <c r="C789" s="58"/>
      <c r="D789" s="58"/>
      <c r="E789" s="102" t="s">
        <v>148</v>
      </c>
      <c r="F789" s="150">
        <v>800.0</v>
      </c>
      <c r="G789" s="58"/>
      <c r="H789" s="58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27.75" customHeight="1">
      <c r="A790" s="58"/>
      <c r="B790" s="149"/>
      <c r="C790" s="58"/>
      <c r="D790" s="58"/>
      <c r="E790" s="58"/>
      <c r="F790" s="58"/>
      <c r="G790" s="58"/>
      <c r="H790" s="58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27.75" customHeight="1">
      <c r="A791" s="150" t="s">
        <v>61</v>
      </c>
      <c r="B791" s="102" t="s">
        <v>5</v>
      </c>
      <c r="C791" s="102" t="s">
        <v>126</v>
      </c>
      <c r="D791" s="102" t="s">
        <v>6</v>
      </c>
      <c r="E791" s="102" t="s">
        <v>7</v>
      </c>
      <c r="F791" s="102" t="s">
        <v>127</v>
      </c>
      <c r="G791" s="102" t="s">
        <v>128</v>
      </c>
      <c r="H791" s="58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27.75" customHeight="1">
      <c r="A792" s="102">
        <v>1.0</v>
      </c>
      <c r="B792" s="147">
        <v>46119.0</v>
      </c>
      <c r="C792" s="148" t="s">
        <v>169</v>
      </c>
      <c r="D792" s="107" t="s">
        <v>193</v>
      </c>
      <c r="E792" s="107" t="s">
        <v>651</v>
      </c>
      <c r="F792" s="108">
        <v>-225.0</v>
      </c>
      <c r="G792" s="111"/>
      <c r="H792" s="58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27.75" customHeight="1">
      <c r="A793" s="102">
        <v>2.0</v>
      </c>
      <c r="B793" s="123"/>
      <c r="C793" s="123"/>
      <c r="D793" s="107"/>
      <c r="E793" s="107" t="s">
        <v>652</v>
      </c>
      <c r="F793" s="108">
        <v>50.0</v>
      </c>
      <c r="G793" s="108"/>
      <c r="H793" s="58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27.75" customHeight="1">
      <c r="A794" s="102">
        <v>3.0</v>
      </c>
      <c r="B794" s="123"/>
      <c r="C794" s="123"/>
      <c r="D794" s="107"/>
      <c r="E794" s="107" t="s">
        <v>414</v>
      </c>
      <c r="F794" s="108"/>
      <c r="G794" s="108"/>
      <c r="H794" s="58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27.75" customHeight="1">
      <c r="A795" s="102">
        <v>4.0</v>
      </c>
      <c r="B795" s="123"/>
      <c r="C795" s="123"/>
      <c r="D795" s="107"/>
      <c r="E795" s="107" t="s">
        <v>653</v>
      </c>
      <c r="F795" s="111"/>
      <c r="G795" s="108"/>
      <c r="H795" s="58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27.75" customHeight="1">
      <c r="A796" s="102">
        <v>5.0</v>
      </c>
      <c r="B796" s="123"/>
      <c r="C796" s="123"/>
      <c r="D796" s="107"/>
      <c r="E796" s="107"/>
      <c r="F796" s="108"/>
      <c r="G796" s="108" t="s">
        <v>61</v>
      </c>
      <c r="H796" s="58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27.75" customHeight="1">
      <c r="A797" s="102">
        <v>6.0</v>
      </c>
      <c r="B797" s="123"/>
      <c r="C797" s="123"/>
      <c r="D797" s="107"/>
      <c r="E797" s="107"/>
      <c r="F797" s="108"/>
      <c r="G797" s="108"/>
      <c r="H797" s="58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27.75" customHeight="1">
      <c r="A798" s="102">
        <v>7.0</v>
      </c>
      <c r="B798" s="123"/>
      <c r="C798" s="123"/>
      <c r="D798" s="107"/>
      <c r="E798" s="107"/>
      <c r="F798" s="108"/>
      <c r="G798" s="108"/>
      <c r="H798" s="58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27.75" customHeight="1">
      <c r="A799" s="102">
        <v>8.0</v>
      </c>
      <c r="B799" s="123"/>
      <c r="C799" s="123"/>
      <c r="D799" s="107"/>
      <c r="E799" s="107"/>
      <c r="F799" s="111"/>
      <c r="G799" s="108" t="s">
        <v>598</v>
      </c>
      <c r="H799" s="58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27.75" customHeight="1">
      <c r="A800" s="102">
        <v>9.0</v>
      </c>
      <c r="B800" s="123"/>
      <c r="C800" s="123"/>
      <c r="D800" s="107"/>
      <c r="E800" s="107"/>
      <c r="F800" s="108"/>
      <c r="G800" s="108"/>
      <c r="H800" s="58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27.75" customHeight="1">
      <c r="A801" s="102">
        <v>10.0</v>
      </c>
      <c r="B801" s="123"/>
      <c r="C801" s="123"/>
      <c r="D801" s="107"/>
      <c r="E801" s="107"/>
      <c r="F801" s="108"/>
      <c r="G801" s="108"/>
      <c r="H801" s="58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27.75" customHeight="1">
      <c r="A802" s="102">
        <v>11.0</v>
      </c>
      <c r="B802" s="123"/>
      <c r="C802" s="123"/>
      <c r="D802" s="107"/>
      <c r="E802" s="107"/>
      <c r="F802" s="108"/>
      <c r="G802" s="108"/>
      <c r="H802" s="58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27.75" customHeight="1">
      <c r="A803" s="102">
        <v>12.0</v>
      </c>
      <c r="B803" s="123"/>
      <c r="C803" s="123"/>
      <c r="D803" s="107"/>
      <c r="E803" s="107"/>
      <c r="F803" s="108"/>
      <c r="G803" s="108"/>
      <c r="H803" s="58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27.75" customHeight="1">
      <c r="A804" s="102">
        <v>13.0</v>
      </c>
      <c r="B804" s="123"/>
      <c r="C804" s="123"/>
      <c r="D804" s="107"/>
      <c r="E804" s="107"/>
      <c r="F804" s="111"/>
      <c r="G804" s="108"/>
      <c r="H804" s="58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27.75" customHeight="1">
      <c r="A805" s="102">
        <v>14.0</v>
      </c>
      <c r="B805" s="123"/>
      <c r="C805" s="123"/>
      <c r="D805" s="107"/>
      <c r="E805" s="107"/>
      <c r="F805" s="108"/>
      <c r="G805" s="108"/>
      <c r="H805" s="58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27.75" customHeight="1">
      <c r="A806" s="102">
        <v>15.0</v>
      </c>
      <c r="B806" s="123"/>
      <c r="C806" s="123"/>
      <c r="D806" s="107"/>
      <c r="E806" s="107"/>
      <c r="F806" s="108"/>
      <c r="G806" s="108"/>
      <c r="H806" s="58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27.75" customHeight="1">
      <c r="A807" s="58"/>
      <c r="B807" s="149"/>
      <c r="C807" s="58"/>
      <c r="D807" s="58"/>
      <c r="E807" s="102" t="s">
        <v>144</v>
      </c>
      <c r="F807" s="150">
        <v>800.0</v>
      </c>
      <c r="G807" s="58"/>
      <c r="H807" s="58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27.75" customHeight="1">
      <c r="A808" s="58"/>
      <c r="B808" s="149"/>
      <c r="C808" s="58"/>
      <c r="D808" s="58"/>
      <c r="E808" s="102" t="s">
        <v>145</v>
      </c>
      <c r="F808" s="150">
        <v>440.0</v>
      </c>
      <c r="G808" s="58"/>
      <c r="H808" s="58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27.75" customHeight="1">
      <c r="A809" s="58"/>
      <c r="B809" s="149"/>
      <c r="C809" s="58"/>
      <c r="D809" s="58"/>
      <c r="E809" s="102" t="s">
        <v>146</v>
      </c>
      <c r="F809" s="150"/>
      <c r="G809" s="58"/>
      <c r="H809" s="58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27.75" customHeight="1">
      <c r="A810" s="58"/>
      <c r="B810" s="149"/>
      <c r="C810" s="58"/>
      <c r="D810" s="58"/>
      <c r="E810" s="102" t="s">
        <v>147</v>
      </c>
      <c r="F810" s="150">
        <v>250.0</v>
      </c>
      <c r="G810" s="58"/>
      <c r="H810" s="58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27.75" customHeight="1">
      <c r="A811" s="58"/>
      <c r="B811" s="149"/>
      <c r="C811" s="58"/>
      <c r="D811" s="58"/>
      <c r="E811" s="102" t="s">
        <v>148</v>
      </c>
      <c r="F811" s="150">
        <v>190.0</v>
      </c>
      <c r="G811" s="58"/>
      <c r="H811" s="58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27.75" customHeight="1">
      <c r="A812" s="58"/>
      <c r="B812" s="149"/>
      <c r="C812" s="58"/>
      <c r="D812" s="58"/>
      <c r="E812" s="58"/>
      <c r="F812" s="58"/>
      <c r="G812" s="58"/>
      <c r="H812" s="58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27.75" customHeight="1">
      <c r="A813" s="150" t="s">
        <v>61</v>
      </c>
      <c r="B813" s="102" t="s">
        <v>5</v>
      </c>
      <c r="C813" s="102" t="s">
        <v>126</v>
      </c>
      <c r="D813" s="102" t="s">
        <v>6</v>
      </c>
      <c r="E813" s="102" t="s">
        <v>7</v>
      </c>
      <c r="F813" s="102" t="s">
        <v>127</v>
      </c>
      <c r="G813" s="102" t="s">
        <v>128</v>
      </c>
      <c r="H813" s="58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27.75" customHeight="1">
      <c r="A814" s="102">
        <v>1.0</v>
      </c>
      <c r="B814" s="147">
        <v>46120.0</v>
      </c>
      <c r="C814" s="148" t="s">
        <v>588</v>
      </c>
      <c r="D814" s="107" t="s">
        <v>193</v>
      </c>
      <c r="E814" s="107" t="s">
        <v>654</v>
      </c>
      <c r="F814" s="108">
        <v>80.0</v>
      </c>
      <c r="G814" s="111"/>
      <c r="H814" s="58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27.75" customHeight="1">
      <c r="A815" s="102">
        <v>2.0</v>
      </c>
      <c r="B815" s="123"/>
      <c r="C815" s="123"/>
      <c r="D815" s="107"/>
      <c r="E815" s="107" t="s">
        <v>199</v>
      </c>
      <c r="F815" s="111" t="s">
        <v>655</v>
      </c>
      <c r="G815" s="108"/>
      <c r="H815" s="58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27.75" customHeight="1">
      <c r="A816" s="102">
        <v>3.0</v>
      </c>
      <c r="B816" s="123"/>
      <c r="C816" s="123"/>
      <c r="D816" s="107"/>
      <c r="E816" s="107" t="s">
        <v>412</v>
      </c>
      <c r="F816" s="108" t="s">
        <v>656</v>
      </c>
      <c r="G816" s="108"/>
      <c r="H816" s="58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27.75" customHeight="1">
      <c r="A817" s="102">
        <v>4.0</v>
      </c>
      <c r="B817" s="123"/>
      <c r="C817" s="123"/>
      <c r="D817" s="107"/>
      <c r="E817" s="107" t="s">
        <v>657</v>
      </c>
      <c r="F817" s="111"/>
      <c r="G817" s="108"/>
      <c r="H817" s="58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27.75" customHeight="1">
      <c r="A818" s="102">
        <v>5.0</v>
      </c>
      <c r="B818" s="123"/>
      <c r="C818" s="123"/>
      <c r="D818" s="107"/>
      <c r="E818" s="107" t="s">
        <v>658</v>
      </c>
      <c r="F818" s="108"/>
      <c r="G818" s="108" t="s">
        <v>61</v>
      </c>
      <c r="H818" s="58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27.75" customHeight="1">
      <c r="A819" s="102">
        <v>6.0</v>
      </c>
      <c r="B819" s="123"/>
      <c r="C819" s="123"/>
      <c r="D819" s="107"/>
      <c r="E819" s="107" t="s">
        <v>659</v>
      </c>
      <c r="F819" s="108"/>
      <c r="G819" s="108"/>
      <c r="H819" s="58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27.75" customHeight="1">
      <c r="A820" s="102">
        <v>7.0</v>
      </c>
      <c r="B820" s="123"/>
      <c r="C820" s="123"/>
      <c r="D820" s="107"/>
      <c r="E820" s="107" t="s">
        <v>660</v>
      </c>
      <c r="F820" s="108"/>
      <c r="G820" s="108"/>
      <c r="H820" s="58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27.75" customHeight="1">
      <c r="A821" s="102">
        <v>8.0</v>
      </c>
      <c r="B821" s="123"/>
      <c r="C821" s="123"/>
      <c r="D821" s="107"/>
      <c r="E821" s="107" t="s">
        <v>298</v>
      </c>
      <c r="F821" s="111"/>
      <c r="G821" s="108" t="s">
        <v>598</v>
      </c>
      <c r="H821" s="58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27.75" customHeight="1">
      <c r="A822" s="102">
        <v>9.0</v>
      </c>
      <c r="B822" s="123"/>
      <c r="C822" s="123"/>
      <c r="D822" s="107"/>
      <c r="E822" s="107" t="s">
        <v>661</v>
      </c>
      <c r="F822" s="111" t="s">
        <v>404</v>
      </c>
      <c r="G822" s="108"/>
      <c r="H822" s="58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27.75" customHeight="1">
      <c r="A823" s="102">
        <v>10.0</v>
      </c>
      <c r="B823" s="123"/>
      <c r="C823" s="123"/>
      <c r="D823" s="107"/>
      <c r="E823" s="107"/>
      <c r="F823" s="108"/>
      <c r="G823" s="108"/>
      <c r="H823" s="58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27.75" customHeight="1">
      <c r="A824" s="102">
        <v>11.0</v>
      </c>
      <c r="B824" s="123"/>
      <c r="C824" s="123"/>
      <c r="D824" s="107"/>
      <c r="E824" s="107"/>
      <c r="F824" s="108"/>
      <c r="G824" s="108"/>
      <c r="H824" s="58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27.75" customHeight="1">
      <c r="A825" s="102">
        <v>12.0</v>
      </c>
      <c r="B825" s="123"/>
      <c r="C825" s="123"/>
      <c r="D825" s="107"/>
      <c r="E825" s="107"/>
      <c r="F825" s="108"/>
      <c r="G825" s="108"/>
      <c r="H825" s="58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27.75" customHeight="1">
      <c r="A826" s="102">
        <v>13.0</v>
      </c>
      <c r="B826" s="123"/>
      <c r="C826" s="123"/>
      <c r="D826" s="107"/>
      <c r="E826" s="107"/>
      <c r="F826" s="111"/>
      <c r="G826" s="108"/>
      <c r="H826" s="58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27.75" customHeight="1">
      <c r="A827" s="102">
        <v>14.0</v>
      </c>
      <c r="B827" s="123"/>
      <c r="C827" s="123"/>
      <c r="D827" s="107"/>
      <c r="E827" s="107"/>
      <c r="F827" s="108"/>
      <c r="G827" s="108"/>
      <c r="H827" s="58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27.75" customHeight="1">
      <c r="A828" s="102">
        <v>15.0</v>
      </c>
      <c r="B828" s="123"/>
      <c r="C828" s="123"/>
      <c r="D828" s="107"/>
      <c r="E828" s="107"/>
      <c r="F828" s="108"/>
      <c r="G828" s="108"/>
      <c r="H828" s="58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27.75" customHeight="1">
      <c r="A829" s="58"/>
      <c r="B829" s="149"/>
      <c r="C829" s="58"/>
      <c r="D829" s="58"/>
      <c r="E829" s="102" t="s">
        <v>144</v>
      </c>
      <c r="F829" s="150"/>
      <c r="G829" s="58"/>
      <c r="H829" s="58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27.75" customHeight="1">
      <c r="A830" s="58"/>
      <c r="B830" s="149"/>
      <c r="C830" s="58"/>
      <c r="D830" s="58"/>
      <c r="E830" s="102" t="s">
        <v>145</v>
      </c>
      <c r="F830" s="150">
        <v>3115.0</v>
      </c>
      <c r="G830" s="58"/>
      <c r="H830" s="58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27.75" customHeight="1">
      <c r="A831" s="58"/>
      <c r="B831" s="149"/>
      <c r="C831" s="58"/>
      <c r="D831" s="58"/>
      <c r="E831" s="102" t="s">
        <v>146</v>
      </c>
      <c r="F831" s="150"/>
      <c r="G831" s="58"/>
      <c r="H831" s="58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27.75" customHeight="1">
      <c r="A832" s="58"/>
      <c r="B832" s="149"/>
      <c r="C832" s="58"/>
      <c r="D832" s="58"/>
      <c r="E832" s="102" t="s">
        <v>147</v>
      </c>
      <c r="F832" s="150">
        <v>250.0</v>
      </c>
      <c r="G832" s="58"/>
      <c r="H832" s="58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27.75" customHeight="1">
      <c r="A833" s="58"/>
      <c r="B833" s="149"/>
      <c r="C833" s="58"/>
      <c r="D833" s="58"/>
      <c r="E833" s="102" t="s">
        <v>148</v>
      </c>
      <c r="F833" s="150">
        <v>2865.0</v>
      </c>
      <c r="G833" s="58"/>
      <c r="H833" s="58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27.75" customHeight="1">
      <c r="A834" s="150" t="s">
        <v>61</v>
      </c>
      <c r="B834" s="102" t="s">
        <v>5</v>
      </c>
      <c r="C834" s="102" t="s">
        <v>126</v>
      </c>
      <c r="D834" s="102" t="s">
        <v>6</v>
      </c>
      <c r="E834" s="102" t="s">
        <v>7</v>
      </c>
      <c r="F834" s="102" t="s">
        <v>127</v>
      </c>
      <c r="G834" s="102" t="s">
        <v>128</v>
      </c>
      <c r="H834" s="58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27.75" customHeight="1">
      <c r="A835" s="102">
        <v>1.0</v>
      </c>
      <c r="B835" s="147">
        <v>46121.0</v>
      </c>
      <c r="C835" s="148" t="s">
        <v>310</v>
      </c>
      <c r="D835" s="107" t="s">
        <v>193</v>
      </c>
      <c r="E835" s="107" t="s">
        <v>662</v>
      </c>
      <c r="F835" s="108">
        <v>13.0</v>
      </c>
      <c r="G835" s="111"/>
      <c r="H835" s="58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27.75" customHeight="1">
      <c r="A836" s="102">
        <v>2.0</v>
      </c>
      <c r="B836" s="123"/>
      <c r="C836" s="123"/>
      <c r="D836" s="107"/>
      <c r="E836" s="107" t="s">
        <v>663</v>
      </c>
      <c r="F836" s="108">
        <v>-30.0</v>
      </c>
      <c r="G836" s="108"/>
      <c r="H836" s="58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27.75" customHeight="1">
      <c r="A837" s="102">
        <v>3.0</v>
      </c>
      <c r="B837" s="123"/>
      <c r="C837" s="123"/>
      <c r="D837" s="107"/>
      <c r="E837" s="107" t="s">
        <v>664</v>
      </c>
      <c r="F837" s="108"/>
      <c r="G837" s="108"/>
      <c r="H837" s="58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27.75" customHeight="1">
      <c r="A838" s="102">
        <v>4.0</v>
      </c>
      <c r="B838" s="123"/>
      <c r="C838" s="123"/>
      <c r="D838" s="107"/>
      <c r="E838" s="107" t="s">
        <v>665</v>
      </c>
      <c r="F838" s="111"/>
      <c r="G838" s="108"/>
      <c r="H838" s="58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27.75" customHeight="1">
      <c r="A839" s="102">
        <v>5.0</v>
      </c>
      <c r="B839" s="123"/>
      <c r="C839" s="123"/>
      <c r="D839" s="107"/>
      <c r="E839" s="107" t="s">
        <v>666</v>
      </c>
      <c r="F839" s="108">
        <v>30.0</v>
      </c>
      <c r="G839" s="108" t="s">
        <v>61</v>
      </c>
      <c r="H839" s="58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27.75" customHeight="1">
      <c r="A840" s="102">
        <v>6.0</v>
      </c>
      <c r="B840" s="123"/>
      <c r="C840" s="123"/>
      <c r="D840" s="107"/>
      <c r="E840" s="107" t="s">
        <v>667</v>
      </c>
      <c r="F840" s="108">
        <v>290.0</v>
      </c>
      <c r="G840" s="108"/>
      <c r="H840" s="58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27.75" customHeight="1">
      <c r="A841" s="102">
        <v>7.0</v>
      </c>
      <c r="B841" s="123"/>
      <c r="C841" s="123"/>
      <c r="D841" s="107"/>
      <c r="E841" s="107"/>
      <c r="F841" s="108"/>
      <c r="G841" s="108"/>
      <c r="H841" s="58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27.75" customHeight="1">
      <c r="A842" s="102">
        <v>8.0</v>
      </c>
      <c r="B842" s="123"/>
      <c r="C842" s="123"/>
      <c r="D842" s="107"/>
      <c r="E842" s="107" t="s">
        <v>668</v>
      </c>
      <c r="F842" s="111"/>
      <c r="G842" s="108" t="s">
        <v>598</v>
      </c>
      <c r="H842" s="58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27.75" customHeight="1">
      <c r="A843" s="102">
        <v>9.0</v>
      </c>
      <c r="B843" s="123"/>
      <c r="C843" s="123"/>
      <c r="D843" s="107"/>
      <c r="E843" s="107" t="s">
        <v>414</v>
      </c>
      <c r="F843" s="111"/>
      <c r="G843" s="108"/>
      <c r="H843" s="58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27.75" customHeight="1">
      <c r="A844" s="102">
        <v>10.0</v>
      </c>
      <c r="B844" s="123"/>
      <c r="C844" s="123"/>
      <c r="D844" s="107"/>
      <c r="E844" s="107"/>
      <c r="F844" s="108"/>
      <c r="G844" s="108"/>
      <c r="H844" s="58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27.75" customHeight="1">
      <c r="A845" s="102">
        <v>11.0</v>
      </c>
      <c r="B845" s="123"/>
      <c r="C845" s="123"/>
      <c r="D845" s="107"/>
      <c r="E845" s="107"/>
      <c r="F845" s="108"/>
      <c r="G845" s="108"/>
      <c r="H845" s="58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27.75" customHeight="1">
      <c r="A846" s="102">
        <v>12.0</v>
      </c>
      <c r="B846" s="123"/>
      <c r="C846" s="123"/>
      <c r="D846" s="107"/>
      <c r="E846" s="107"/>
      <c r="F846" s="108"/>
      <c r="G846" s="108"/>
      <c r="H846" s="58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27.75" customHeight="1">
      <c r="A847" s="102">
        <v>13.0</v>
      </c>
      <c r="B847" s="123"/>
      <c r="C847" s="123"/>
      <c r="D847" s="107"/>
      <c r="E847" s="107"/>
      <c r="F847" s="111"/>
      <c r="G847" s="108"/>
      <c r="H847" s="58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27.75" customHeight="1">
      <c r="A848" s="102">
        <v>14.0</v>
      </c>
      <c r="B848" s="123"/>
      <c r="C848" s="123"/>
      <c r="D848" s="107"/>
      <c r="E848" s="107"/>
      <c r="F848" s="108"/>
      <c r="G848" s="108"/>
      <c r="H848" s="58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27.75" customHeight="1">
      <c r="A849" s="102">
        <v>15.0</v>
      </c>
      <c r="B849" s="123"/>
      <c r="C849" s="123"/>
      <c r="D849" s="107"/>
      <c r="E849" s="107"/>
      <c r="F849" s="108"/>
      <c r="G849" s="108"/>
      <c r="H849" s="58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27.75" customHeight="1">
      <c r="A850" s="58"/>
      <c r="B850" s="149"/>
      <c r="C850" s="58"/>
      <c r="D850" s="58"/>
      <c r="E850" s="102" t="s">
        <v>144</v>
      </c>
      <c r="F850" s="150">
        <v>2000.0</v>
      </c>
      <c r="G850" s="58"/>
      <c r="H850" s="58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27.75" customHeight="1">
      <c r="A851" s="58"/>
      <c r="B851" s="149"/>
      <c r="C851" s="58"/>
      <c r="D851" s="58"/>
      <c r="E851" s="102" t="s">
        <v>145</v>
      </c>
      <c r="F851" s="150">
        <v>530.0</v>
      </c>
      <c r="G851" s="157">
        <v>530.0</v>
      </c>
      <c r="H851" s="58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27.75" customHeight="1">
      <c r="A852" s="58"/>
      <c r="B852" s="149"/>
      <c r="C852" s="58"/>
      <c r="D852" s="58"/>
      <c r="E852" s="102" t="s">
        <v>146</v>
      </c>
      <c r="F852" s="150"/>
      <c r="G852" s="58"/>
      <c r="H852" s="58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27.75" customHeight="1">
      <c r="A853" s="58"/>
      <c r="B853" s="149"/>
      <c r="C853" s="58"/>
      <c r="D853" s="58"/>
      <c r="E853" s="102" t="s">
        <v>147</v>
      </c>
      <c r="F853" s="150">
        <v>250.0</v>
      </c>
      <c r="G853" s="58"/>
      <c r="H853" s="58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27.75" customHeight="1">
      <c r="A854" s="58"/>
      <c r="B854" s="149"/>
      <c r="C854" s="58"/>
      <c r="D854" s="58"/>
      <c r="E854" s="102" t="s">
        <v>148</v>
      </c>
      <c r="F854" s="150">
        <v>280.0</v>
      </c>
      <c r="G854" s="58"/>
      <c r="H854" s="58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27.75" customHeight="1">
      <c r="A855" s="58"/>
      <c r="B855" s="149"/>
      <c r="C855" s="58"/>
      <c r="D855" s="58"/>
      <c r="E855" s="58"/>
      <c r="F855" s="58"/>
      <c r="G855" s="58"/>
      <c r="H855" s="58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27.75" customHeight="1">
      <c r="A856" s="150" t="s">
        <v>61</v>
      </c>
      <c r="B856" s="102" t="s">
        <v>5</v>
      </c>
      <c r="C856" s="102" t="s">
        <v>126</v>
      </c>
      <c r="D856" s="102" t="s">
        <v>6</v>
      </c>
      <c r="E856" s="102" t="s">
        <v>7</v>
      </c>
      <c r="F856" s="102" t="s">
        <v>127</v>
      </c>
      <c r="G856" s="102" t="s">
        <v>128</v>
      </c>
      <c r="H856" s="58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27.75" customHeight="1">
      <c r="A857" s="102">
        <v>1.0</v>
      </c>
      <c r="B857" s="147">
        <v>46122.0</v>
      </c>
      <c r="C857" s="148" t="s">
        <v>618</v>
      </c>
      <c r="D857" s="107" t="s">
        <v>193</v>
      </c>
      <c r="E857" s="107" t="s">
        <v>669</v>
      </c>
      <c r="F857" s="108">
        <v>35.0</v>
      </c>
      <c r="G857" s="111"/>
      <c r="H857" s="58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27.75" customHeight="1">
      <c r="A858" s="102">
        <v>2.0</v>
      </c>
      <c r="B858" s="123"/>
      <c r="C858" s="123"/>
      <c r="D858" s="107"/>
      <c r="E858" s="107" t="s">
        <v>670</v>
      </c>
      <c r="F858" s="108">
        <v>-320.0</v>
      </c>
      <c r="G858" s="108"/>
      <c r="H858" s="58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27.75" customHeight="1">
      <c r="A859" s="102">
        <v>3.0</v>
      </c>
      <c r="B859" s="123"/>
      <c r="C859" s="123"/>
      <c r="D859" s="107"/>
      <c r="E859" s="107" t="s">
        <v>671</v>
      </c>
      <c r="F859" s="108" t="s">
        <v>672</v>
      </c>
      <c r="G859" s="108"/>
      <c r="H859" s="58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27.75" customHeight="1">
      <c r="A860" s="102">
        <v>4.0</v>
      </c>
      <c r="B860" s="123"/>
      <c r="C860" s="123"/>
      <c r="D860" s="107"/>
      <c r="E860" s="107" t="s">
        <v>272</v>
      </c>
      <c r="F860" s="108">
        <v>35.0</v>
      </c>
      <c r="G860" s="108"/>
      <c r="H860" s="58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27.75" customHeight="1">
      <c r="A861" s="102">
        <v>5.0</v>
      </c>
      <c r="B861" s="123"/>
      <c r="C861" s="123"/>
      <c r="D861" s="107"/>
      <c r="E861" s="107" t="s">
        <v>417</v>
      </c>
      <c r="F861" s="111" t="s">
        <v>673</v>
      </c>
      <c r="G861" s="108" t="s">
        <v>61</v>
      </c>
      <c r="H861" s="58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27.75" customHeight="1">
      <c r="A862" s="102">
        <v>6.0</v>
      </c>
      <c r="B862" s="123"/>
      <c r="C862" s="123"/>
      <c r="D862" s="127"/>
      <c r="E862" s="107" t="s">
        <v>674</v>
      </c>
      <c r="F862" s="108">
        <v>35.0</v>
      </c>
      <c r="G862" s="108"/>
      <c r="H862" s="58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27.75" customHeight="1">
      <c r="A863" s="102">
        <v>7.0</v>
      </c>
      <c r="B863" s="123"/>
      <c r="C863" s="123"/>
      <c r="D863" s="107"/>
      <c r="E863" s="107" t="s">
        <v>675</v>
      </c>
      <c r="F863" s="108"/>
      <c r="G863" s="108"/>
      <c r="H863" s="58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27.75" customHeight="1">
      <c r="A864" s="102">
        <v>8.0</v>
      </c>
      <c r="B864" s="123"/>
      <c r="C864" s="123"/>
      <c r="D864" s="107"/>
      <c r="E864" s="107"/>
      <c r="F864" s="111"/>
      <c r="G864" s="108" t="s">
        <v>598</v>
      </c>
      <c r="H864" s="58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27.75" customHeight="1">
      <c r="A865" s="102">
        <v>9.0</v>
      </c>
      <c r="B865" s="123"/>
      <c r="C865" s="123"/>
      <c r="D865" s="107"/>
      <c r="E865" s="107"/>
      <c r="F865" s="111"/>
      <c r="G865" s="108"/>
      <c r="H865" s="58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27.75" customHeight="1">
      <c r="A866" s="102">
        <v>10.0</v>
      </c>
      <c r="B866" s="123"/>
      <c r="C866" s="123"/>
      <c r="D866" s="107"/>
      <c r="E866" s="107"/>
      <c r="F866" s="108"/>
      <c r="G866" s="108"/>
      <c r="H866" s="58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27.75" customHeight="1">
      <c r="A867" s="102">
        <v>11.0</v>
      </c>
      <c r="B867" s="123"/>
      <c r="C867" s="123"/>
      <c r="D867" s="107"/>
      <c r="E867" s="107"/>
      <c r="F867" s="108"/>
      <c r="G867" s="108"/>
      <c r="H867" s="58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27.75" customHeight="1">
      <c r="A868" s="102">
        <v>12.0</v>
      </c>
      <c r="B868" s="123"/>
      <c r="C868" s="123"/>
      <c r="D868" s="107"/>
      <c r="E868" s="107"/>
      <c r="F868" s="108"/>
      <c r="G868" s="108"/>
      <c r="H868" s="58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27.75" customHeight="1">
      <c r="A869" s="102">
        <v>13.0</v>
      </c>
      <c r="B869" s="123"/>
      <c r="C869" s="123"/>
      <c r="D869" s="107"/>
      <c r="E869" s="107"/>
      <c r="F869" s="111"/>
      <c r="G869" s="108"/>
      <c r="H869" s="58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27.75" customHeight="1">
      <c r="A870" s="102">
        <v>14.0</v>
      </c>
      <c r="B870" s="123"/>
      <c r="C870" s="123"/>
      <c r="D870" s="107"/>
      <c r="E870" s="107"/>
      <c r="F870" s="108"/>
      <c r="G870" s="108"/>
      <c r="H870" s="58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27.75" customHeight="1">
      <c r="A871" s="102">
        <v>15.0</v>
      </c>
      <c r="B871" s="123"/>
      <c r="C871" s="123"/>
      <c r="D871" s="107"/>
      <c r="E871" s="107"/>
      <c r="F871" s="108"/>
      <c r="G871" s="108"/>
      <c r="H871" s="58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27.75" customHeight="1">
      <c r="A872" s="58"/>
      <c r="B872" s="149"/>
      <c r="C872" s="58"/>
      <c r="D872" s="58"/>
      <c r="E872" s="102" t="s">
        <v>144</v>
      </c>
      <c r="F872" s="150">
        <v>2280.0</v>
      </c>
      <c r="G872" s="58"/>
      <c r="H872" s="58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27.75" customHeight="1">
      <c r="A873" s="58"/>
      <c r="B873" s="149"/>
      <c r="C873" s="58"/>
      <c r="D873" s="58"/>
      <c r="E873" s="102" t="s">
        <v>145</v>
      </c>
      <c r="F873" s="150">
        <v>2250.0</v>
      </c>
      <c r="G873" s="58"/>
      <c r="H873" s="58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27.75" customHeight="1">
      <c r="A874" s="58"/>
      <c r="B874" s="149"/>
      <c r="C874" s="58"/>
      <c r="D874" s="58"/>
      <c r="E874" s="102" t="s">
        <v>146</v>
      </c>
      <c r="F874" s="150"/>
      <c r="G874" s="58"/>
      <c r="H874" s="58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27.75" customHeight="1">
      <c r="A875" s="58"/>
      <c r="B875" s="149"/>
      <c r="C875" s="58"/>
      <c r="D875" s="58"/>
      <c r="E875" s="102" t="s">
        <v>147</v>
      </c>
      <c r="F875" s="150">
        <v>250.0</v>
      </c>
      <c r="G875" s="58"/>
      <c r="H875" s="58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27.75" customHeight="1">
      <c r="A876" s="58"/>
      <c r="B876" s="149"/>
      <c r="C876" s="58"/>
      <c r="D876" s="58"/>
      <c r="E876" s="102" t="s">
        <v>148</v>
      </c>
      <c r="F876" s="150">
        <v>2000.0</v>
      </c>
      <c r="G876" s="58"/>
      <c r="H876" s="58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27.75" customHeight="1">
      <c r="A877" s="58"/>
      <c r="B877" s="149"/>
      <c r="C877" s="58"/>
      <c r="D877" s="58"/>
      <c r="E877" s="58"/>
      <c r="F877" s="58"/>
      <c r="G877" s="58"/>
      <c r="H877" s="58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27.75" customHeight="1">
      <c r="A878" s="150" t="s">
        <v>61</v>
      </c>
      <c r="B878" s="102" t="s">
        <v>5</v>
      </c>
      <c r="C878" s="102" t="s">
        <v>126</v>
      </c>
      <c r="D878" s="102" t="s">
        <v>6</v>
      </c>
      <c r="E878" s="102" t="s">
        <v>7</v>
      </c>
      <c r="F878" s="102" t="s">
        <v>127</v>
      </c>
      <c r="G878" s="102" t="s">
        <v>128</v>
      </c>
      <c r="H878" s="58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27.75" customHeight="1">
      <c r="A879" s="102">
        <v>1.0</v>
      </c>
      <c r="B879" s="147">
        <v>46123.0</v>
      </c>
      <c r="C879" s="148" t="s">
        <v>341</v>
      </c>
      <c r="D879" s="107" t="s">
        <v>193</v>
      </c>
      <c r="E879" s="107" t="s">
        <v>676</v>
      </c>
      <c r="F879" s="108">
        <v>-450.0</v>
      </c>
      <c r="G879" s="111"/>
      <c r="H879" s="58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27.75" customHeight="1">
      <c r="A880" s="102">
        <v>2.0</v>
      </c>
      <c r="B880" s="123"/>
      <c r="C880" s="123"/>
      <c r="D880" s="107"/>
      <c r="E880" s="107" t="s">
        <v>677</v>
      </c>
      <c r="F880" s="108">
        <v>-150.0</v>
      </c>
      <c r="G880" s="108"/>
      <c r="H880" s="58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27.75" customHeight="1">
      <c r="A881" s="102">
        <v>3.0</v>
      </c>
      <c r="B881" s="123"/>
      <c r="C881" s="123"/>
      <c r="D881" s="107"/>
      <c r="E881" s="107" t="s">
        <v>678</v>
      </c>
      <c r="F881" s="108"/>
      <c r="G881" s="108"/>
      <c r="H881" s="58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27.75" customHeight="1">
      <c r="A882" s="102">
        <v>4.0</v>
      </c>
      <c r="B882" s="123"/>
      <c r="C882" s="123"/>
      <c r="D882" s="107"/>
      <c r="E882" s="107" t="s">
        <v>679</v>
      </c>
      <c r="F882" s="108">
        <v>-125.0</v>
      </c>
      <c r="G882" s="108"/>
      <c r="H882" s="58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27.75" customHeight="1">
      <c r="A883" s="102">
        <v>5.0</v>
      </c>
      <c r="B883" s="123"/>
      <c r="C883" s="123"/>
      <c r="D883" s="107"/>
      <c r="E883" s="107" t="s">
        <v>680</v>
      </c>
      <c r="F883" s="108">
        <v>70.0</v>
      </c>
      <c r="G883" s="108" t="s">
        <v>61</v>
      </c>
      <c r="H883" s="58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27.75" customHeight="1">
      <c r="A884" s="102">
        <v>6.0</v>
      </c>
      <c r="B884" s="123"/>
      <c r="C884" s="123"/>
      <c r="D884" s="127"/>
      <c r="E884" s="107" t="s">
        <v>681</v>
      </c>
      <c r="F884" s="108">
        <v>40.0</v>
      </c>
      <c r="G884" s="108"/>
      <c r="H884" s="58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27.75" customHeight="1">
      <c r="A885" s="102">
        <v>7.0</v>
      </c>
      <c r="B885" s="123"/>
      <c r="C885" s="123"/>
      <c r="D885" s="107"/>
      <c r="E885" s="107" t="s">
        <v>42</v>
      </c>
      <c r="F885" s="108" t="s">
        <v>682</v>
      </c>
      <c r="G885" s="108"/>
      <c r="H885" s="58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27.75" customHeight="1">
      <c r="A886" s="102">
        <v>8.0</v>
      </c>
      <c r="B886" s="123"/>
      <c r="C886" s="123"/>
      <c r="D886" s="107"/>
      <c r="E886" s="107" t="s">
        <v>42</v>
      </c>
      <c r="F886" s="108">
        <v>30.0</v>
      </c>
      <c r="G886" s="108" t="s">
        <v>598</v>
      </c>
      <c r="H886" s="58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27.75" customHeight="1">
      <c r="A887" s="102">
        <v>9.0</v>
      </c>
      <c r="B887" s="123"/>
      <c r="C887" s="123"/>
      <c r="D887" s="107"/>
      <c r="E887" s="107" t="s">
        <v>683</v>
      </c>
      <c r="F887" s="108">
        <v>35.0</v>
      </c>
      <c r="G887" s="108"/>
      <c r="H887" s="58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27.75" customHeight="1">
      <c r="A888" s="102">
        <v>10.0</v>
      </c>
      <c r="B888" s="123"/>
      <c r="C888" s="123"/>
      <c r="D888" s="107"/>
      <c r="E888" s="107" t="s">
        <v>271</v>
      </c>
      <c r="F888" s="108">
        <v>30.0</v>
      </c>
      <c r="G888" s="108"/>
      <c r="H888" s="58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27.75" customHeight="1">
      <c r="A889" s="102">
        <v>11.0</v>
      </c>
      <c r="B889" s="123"/>
      <c r="C889" s="123"/>
      <c r="D889" s="107"/>
      <c r="E889" s="107" t="s">
        <v>684</v>
      </c>
      <c r="F889" s="108">
        <v>-145.0</v>
      </c>
      <c r="G889" s="108"/>
      <c r="H889" s="58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27.75" customHeight="1">
      <c r="A890" s="102">
        <v>12.0</v>
      </c>
      <c r="B890" s="123"/>
      <c r="C890" s="123"/>
      <c r="D890" s="107"/>
      <c r="E890" s="107" t="s">
        <v>685</v>
      </c>
      <c r="F890" s="108">
        <v>35.0</v>
      </c>
      <c r="G890" s="108"/>
      <c r="H890" s="58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27.75" customHeight="1">
      <c r="A891" s="102">
        <v>13.0</v>
      </c>
      <c r="B891" s="123"/>
      <c r="C891" s="123"/>
      <c r="D891" s="107"/>
      <c r="E891" s="107" t="s">
        <v>575</v>
      </c>
      <c r="F891" s="108">
        <v>-150.0</v>
      </c>
      <c r="G891" s="108"/>
      <c r="H891" s="58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27.75" customHeight="1">
      <c r="A892" s="102">
        <v>14.0</v>
      </c>
      <c r="B892" s="123"/>
      <c r="C892" s="123"/>
      <c r="D892" s="107"/>
      <c r="E892" s="107" t="s">
        <v>414</v>
      </c>
      <c r="F892" s="108"/>
      <c r="G892" s="108"/>
      <c r="H892" s="58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27.75" customHeight="1">
      <c r="A893" s="102">
        <v>15.0</v>
      </c>
      <c r="B893" s="123"/>
      <c r="C893" s="123"/>
      <c r="D893" s="107"/>
      <c r="E893" s="107"/>
      <c r="F893" s="108"/>
      <c r="G893" s="108"/>
      <c r="H893" s="58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27.75" customHeight="1">
      <c r="A894" s="58"/>
      <c r="B894" s="149"/>
      <c r="C894" s="58"/>
      <c r="D894" s="58"/>
      <c r="E894" s="102" t="s">
        <v>144</v>
      </c>
      <c r="F894" s="150">
        <v>2000.0</v>
      </c>
      <c r="G894" s="58"/>
      <c r="H894" s="58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27.75" customHeight="1">
      <c r="A895" s="58"/>
      <c r="B895" s="149"/>
      <c r="C895" s="58"/>
      <c r="D895" s="58"/>
      <c r="E895" s="102" t="s">
        <v>145</v>
      </c>
      <c r="F895" s="150">
        <v>1200.0</v>
      </c>
      <c r="G895" s="58"/>
      <c r="H895" s="58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27.75" customHeight="1">
      <c r="A896" s="58"/>
      <c r="B896" s="149"/>
      <c r="C896" s="58"/>
      <c r="D896" s="58"/>
      <c r="E896" s="102" t="s">
        <v>146</v>
      </c>
      <c r="F896" s="150"/>
      <c r="G896" s="58"/>
      <c r="H896" s="58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27.75" customHeight="1">
      <c r="A897" s="58"/>
      <c r="B897" s="149"/>
      <c r="C897" s="58"/>
      <c r="D897" s="58"/>
      <c r="E897" s="102" t="s">
        <v>147</v>
      </c>
      <c r="F897" s="150">
        <v>250.0</v>
      </c>
      <c r="G897" s="58"/>
      <c r="H897" s="58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27.75" customHeight="1">
      <c r="A898" s="58"/>
      <c r="B898" s="149"/>
      <c r="C898" s="58"/>
      <c r="D898" s="58"/>
      <c r="E898" s="102" t="s">
        <v>148</v>
      </c>
      <c r="F898" s="150">
        <v>950.0</v>
      </c>
      <c r="G898" s="58"/>
      <c r="H898" s="58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27.75" customHeight="1">
      <c r="A899" s="58"/>
      <c r="B899" s="149"/>
      <c r="C899" s="58"/>
      <c r="D899" s="58"/>
      <c r="E899" s="58"/>
      <c r="F899" s="58"/>
      <c r="G899" s="58"/>
      <c r="H899" s="58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27.75" customHeight="1">
      <c r="A900" s="150" t="s">
        <v>61</v>
      </c>
      <c r="B900" s="102" t="s">
        <v>5</v>
      </c>
      <c r="C900" s="102" t="s">
        <v>126</v>
      </c>
      <c r="D900" s="102" t="s">
        <v>6</v>
      </c>
      <c r="E900" s="102" t="s">
        <v>7</v>
      </c>
      <c r="F900" s="102" t="s">
        <v>127</v>
      </c>
      <c r="G900" s="102" t="s">
        <v>128</v>
      </c>
      <c r="H900" s="58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27.75" customHeight="1">
      <c r="A901" s="102">
        <v>1.0</v>
      </c>
      <c r="B901" s="147">
        <v>46124.0</v>
      </c>
      <c r="C901" s="148" t="s">
        <v>561</v>
      </c>
      <c r="D901" s="107" t="s">
        <v>193</v>
      </c>
      <c r="E901" s="107" t="s">
        <v>686</v>
      </c>
      <c r="F901" s="111" t="s">
        <v>687</v>
      </c>
      <c r="G901" s="111" t="s">
        <v>688</v>
      </c>
      <c r="H901" s="58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27.75" customHeight="1">
      <c r="A902" s="102">
        <v>2.0</v>
      </c>
      <c r="B902" s="123"/>
      <c r="C902" s="123"/>
      <c r="D902" s="107"/>
      <c r="E902" s="107" t="s">
        <v>689</v>
      </c>
      <c r="F902" s="108"/>
      <c r="G902" s="108"/>
      <c r="H902" s="58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27.75" customHeight="1">
      <c r="A903" s="102">
        <v>3.0</v>
      </c>
      <c r="B903" s="123"/>
      <c r="C903" s="123"/>
      <c r="D903" s="107"/>
      <c r="E903" s="107" t="s">
        <v>414</v>
      </c>
      <c r="F903" s="108"/>
      <c r="G903" s="108"/>
      <c r="H903" s="58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27.75" customHeight="1">
      <c r="A904" s="102">
        <v>4.0</v>
      </c>
      <c r="B904" s="123"/>
      <c r="C904" s="123"/>
      <c r="D904" s="107"/>
      <c r="E904" s="107" t="s">
        <v>690</v>
      </c>
      <c r="F904" s="108">
        <v>-920.0</v>
      </c>
      <c r="G904" s="108"/>
      <c r="H904" s="58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27.75" customHeight="1">
      <c r="A905" s="102">
        <v>5.0</v>
      </c>
      <c r="B905" s="123"/>
      <c r="C905" s="123"/>
      <c r="D905" s="107"/>
      <c r="E905" s="107" t="s">
        <v>199</v>
      </c>
      <c r="F905" s="108">
        <v>40.0</v>
      </c>
      <c r="G905" s="108" t="s">
        <v>61</v>
      </c>
      <c r="H905" s="58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27.75" customHeight="1">
      <c r="A906" s="102">
        <v>6.0</v>
      </c>
      <c r="B906" s="123"/>
      <c r="C906" s="123"/>
      <c r="D906" s="127"/>
      <c r="E906" s="107" t="s">
        <v>691</v>
      </c>
      <c r="F906" s="108">
        <v>35.0</v>
      </c>
      <c r="G906" s="108"/>
      <c r="H906" s="58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27.75" customHeight="1">
      <c r="A907" s="102">
        <v>7.0</v>
      </c>
      <c r="B907" s="123"/>
      <c r="C907" s="123"/>
      <c r="D907" s="107"/>
      <c r="E907" s="107" t="s">
        <v>575</v>
      </c>
      <c r="F907" s="108">
        <v>-150.0</v>
      </c>
      <c r="G907" s="108"/>
      <c r="H907" s="58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27.75" customHeight="1">
      <c r="A908" s="102">
        <v>8.0</v>
      </c>
      <c r="B908" s="123"/>
      <c r="C908" s="123"/>
      <c r="D908" s="107"/>
      <c r="E908" s="107" t="s">
        <v>692</v>
      </c>
      <c r="F908" s="108" t="s">
        <v>693</v>
      </c>
      <c r="G908" s="108" t="s">
        <v>598</v>
      </c>
      <c r="H908" s="58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27.75" customHeight="1">
      <c r="A909" s="102">
        <v>9.0</v>
      </c>
      <c r="B909" s="123"/>
      <c r="C909" s="123"/>
      <c r="D909" s="107"/>
      <c r="E909" s="107" t="s">
        <v>694</v>
      </c>
      <c r="F909" s="108"/>
      <c r="G909" s="108"/>
      <c r="H909" s="58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27.75" customHeight="1">
      <c r="A910" s="102">
        <v>10.0</v>
      </c>
      <c r="B910" s="123"/>
      <c r="C910" s="123"/>
      <c r="D910" s="107"/>
      <c r="E910" s="107" t="s">
        <v>695</v>
      </c>
      <c r="F910" s="108"/>
      <c r="G910" s="108"/>
      <c r="H910" s="58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27.75" customHeight="1">
      <c r="A911" s="102">
        <v>11.0</v>
      </c>
      <c r="B911" s="123"/>
      <c r="C911" s="123"/>
      <c r="D911" s="107"/>
      <c r="E911" s="107" t="s">
        <v>696</v>
      </c>
      <c r="F911" s="108"/>
      <c r="G911" s="108"/>
      <c r="H911" s="58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27.75" customHeight="1">
      <c r="A912" s="102">
        <v>12.0</v>
      </c>
      <c r="B912" s="123"/>
      <c r="C912" s="123"/>
      <c r="D912" s="107"/>
      <c r="E912" s="107" t="s">
        <v>697</v>
      </c>
      <c r="F912" s="108"/>
      <c r="G912" s="108"/>
      <c r="H912" s="58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27.75" customHeight="1">
      <c r="A913" s="102">
        <v>13.0</v>
      </c>
      <c r="B913" s="123"/>
      <c r="C913" s="123"/>
      <c r="D913" s="107"/>
      <c r="E913" s="107" t="s">
        <v>698</v>
      </c>
      <c r="F913" s="108"/>
      <c r="G913" s="108"/>
      <c r="H913" s="58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27.75" customHeight="1">
      <c r="A914" s="102">
        <v>14.0</v>
      </c>
      <c r="B914" s="123"/>
      <c r="C914" s="123"/>
      <c r="D914" s="107"/>
      <c r="E914" s="107"/>
      <c r="F914" s="108"/>
      <c r="G914" s="108"/>
      <c r="H914" s="58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27.75" customHeight="1">
      <c r="A915" s="102">
        <v>15.0</v>
      </c>
      <c r="B915" s="123"/>
      <c r="C915" s="123"/>
      <c r="D915" s="107"/>
      <c r="E915" s="107"/>
      <c r="F915" s="108"/>
      <c r="G915" s="108"/>
      <c r="H915" s="58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27.75" customHeight="1">
      <c r="A916" s="58"/>
      <c r="B916" s="149"/>
      <c r="C916" s="58"/>
      <c r="D916" s="58"/>
      <c r="E916" s="102" t="s">
        <v>144</v>
      </c>
      <c r="F916" s="150"/>
      <c r="G916" s="58"/>
      <c r="H916" s="58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27.75" customHeight="1">
      <c r="A917" s="58"/>
      <c r="B917" s="149"/>
      <c r="C917" s="58"/>
      <c r="D917" s="58"/>
      <c r="E917" s="102" t="s">
        <v>145</v>
      </c>
      <c r="F917" s="150">
        <v>510.0</v>
      </c>
      <c r="G917" s="58"/>
      <c r="H917" s="58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27.75" customHeight="1">
      <c r="A918" s="58"/>
      <c r="B918" s="149"/>
      <c r="C918" s="58"/>
      <c r="D918" s="58"/>
      <c r="E918" s="102" t="s">
        <v>146</v>
      </c>
      <c r="F918" s="150"/>
      <c r="G918" s="58"/>
      <c r="H918" s="58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27.75" customHeight="1">
      <c r="A919" s="58"/>
      <c r="B919" s="149"/>
      <c r="C919" s="58"/>
      <c r="D919" s="58"/>
      <c r="E919" s="102" t="s">
        <v>147</v>
      </c>
      <c r="F919" s="150">
        <v>350.0</v>
      </c>
      <c r="G919" s="58"/>
      <c r="H919" s="58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27.75" customHeight="1">
      <c r="A920" s="58"/>
      <c r="B920" s="149"/>
      <c r="C920" s="58"/>
      <c r="D920" s="58"/>
      <c r="E920" s="102" t="s">
        <v>148</v>
      </c>
      <c r="F920" s="150">
        <v>160.0</v>
      </c>
      <c r="G920" s="58"/>
      <c r="H920" s="58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27.75" customHeight="1">
      <c r="A921" s="58"/>
      <c r="B921" s="149"/>
      <c r="C921" s="58"/>
      <c r="D921" s="58"/>
      <c r="E921" s="58"/>
      <c r="F921" s="157" t="s">
        <v>699</v>
      </c>
      <c r="G921" s="58"/>
      <c r="H921" s="58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27.75" customHeight="1">
      <c r="A922" s="151" t="s">
        <v>4</v>
      </c>
      <c r="B922" s="102" t="s">
        <v>5</v>
      </c>
      <c r="C922" s="102" t="s">
        <v>126</v>
      </c>
      <c r="D922" s="102" t="s">
        <v>6</v>
      </c>
      <c r="E922" s="102" t="s">
        <v>7</v>
      </c>
      <c r="F922" s="102" t="s">
        <v>127</v>
      </c>
      <c r="G922" s="102" t="s">
        <v>128</v>
      </c>
      <c r="H922" s="58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27.75" customHeight="1">
      <c r="A923" s="102">
        <v>1.0</v>
      </c>
      <c r="B923" s="147">
        <v>46125.0</v>
      </c>
      <c r="C923" s="148" t="s">
        <v>149</v>
      </c>
      <c r="D923" s="107" t="s">
        <v>193</v>
      </c>
      <c r="E923" s="107" t="s">
        <v>700</v>
      </c>
      <c r="F923" s="111"/>
      <c r="G923" s="111" t="s">
        <v>701</v>
      </c>
      <c r="H923" s="58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27.75" customHeight="1">
      <c r="A924" s="102">
        <v>2.0</v>
      </c>
      <c r="B924" s="123"/>
      <c r="C924" s="123"/>
      <c r="D924" s="107"/>
      <c r="E924" s="107" t="s">
        <v>702</v>
      </c>
      <c r="F924" s="108"/>
      <c r="G924" s="111" t="s">
        <v>703</v>
      </c>
      <c r="H924" s="58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27.75" customHeight="1">
      <c r="A925" s="102">
        <v>3.0</v>
      </c>
      <c r="B925" s="123"/>
      <c r="C925" s="123"/>
      <c r="D925" s="107"/>
      <c r="E925" s="107" t="s">
        <v>704</v>
      </c>
      <c r="F925" s="108"/>
      <c r="G925" s="111" t="s">
        <v>703</v>
      </c>
      <c r="H925" s="58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27.75" customHeight="1">
      <c r="A926" s="102">
        <v>4.0</v>
      </c>
      <c r="B926" s="123"/>
      <c r="C926" s="123"/>
      <c r="D926" s="107"/>
      <c r="E926" s="107" t="s">
        <v>705</v>
      </c>
      <c r="F926" s="108"/>
      <c r="G926" s="111" t="s">
        <v>703</v>
      </c>
      <c r="H926" s="58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27.75" customHeight="1">
      <c r="A927" s="102">
        <v>5.0</v>
      </c>
      <c r="B927" s="123"/>
      <c r="C927" s="123"/>
      <c r="D927" s="107"/>
      <c r="E927" s="107" t="s">
        <v>706</v>
      </c>
      <c r="F927" s="111" t="s">
        <v>707</v>
      </c>
      <c r="G927" s="108"/>
      <c r="H927" s="58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27.75" customHeight="1">
      <c r="A928" s="102">
        <v>6.0</v>
      </c>
      <c r="B928" s="123"/>
      <c r="C928" s="123"/>
      <c r="D928" s="127"/>
      <c r="E928" s="107" t="s">
        <v>708</v>
      </c>
      <c r="F928" s="108">
        <v>50.0</v>
      </c>
      <c r="G928" s="108"/>
      <c r="H928" s="58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27.75" customHeight="1">
      <c r="A929" s="102">
        <v>7.0</v>
      </c>
      <c r="B929" s="123"/>
      <c r="C929" s="123"/>
      <c r="D929" s="107"/>
      <c r="E929" s="107" t="s">
        <v>709</v>
      </c>
      <c r="F929" s="108">
        <v>40.0</v>
      </c>
      <c r="G929" s="108"/>
      <c r="H929" s="58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27.75" customHeight="1">
      <c r="A930" s="102">
        <v>8.0</v>
      </c>
      <c r="B930" s="123"/>
      <c r="C930" s="123"/>
      <c r="D930" s="107"/>
      <c r="E930" s="107" t="s">
        <v>591</v>
      </c>
      <c r="F930" s="108">
        <v>35.0</v>
      </c>
      <c r="G930" s="108"/>
      <c r="H930" s="58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27.75" customHeight="1">
      <c r="A931" s="102">
        <v>9.0</v>
      </c>
      <c r="B931" s="123"/>
      <c r="C931" s="123"/>
      <c r="D931" s="107"/>
      <c r="E931" s="107" t="s">
        <v>194</v>
      </c>
      <c r="F931" s="108" t="s">
        <v>710</v>
      </c>
      <c r="G931" s="108"/>
      <c r="H931" s="58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27.75" customHeight="1">
      <c r="A932" s="102">
        <v>10.0</v>
      </c>
      <c r="B932" s="123"/>
      <c r="C932" s="123"/>
      <c r="D932" s="107"/>
      <c r="E932" s="107" t="s">
        <v>711</v>
      </c>
      <c r="F932" s="108"/>
      <c r="G932" s="108"/>
      <c r="H932" s="58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27.75" customHeight="1">
      <c r="A933" s="102">
        <v>11.0</v>
      </c>
      <c r="B933" s="123"/>
      <c r="C933" s="123"/>
      <c r="D933" s="107"/>
      <c r="E933" s="107" t="s">
        <v>712</v>
      </c>
      <c r="F933" s="108"/>
      <c r="G933" s="108"/>
      <c r="H933" s="58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27.75" customHeight="1">
      <c r="A934" s="102">
        <v>12.0</v>
      </c>
      <c r="B934" s="123"/>
      <c r="C934" s="123"/>
      <c r="D934" s="107"/>
      <c r="E934" s="107" t="s">
        <v>713</v>
      </c>
      <c r="F934" s="108"/>
      <c r="G934" s="108"/>
      <c r="H934" s="58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27.75" customHeight="1">
      <c r="A935" s="102">
        <v>13.0</v>
      </c>
      <c r="B935" s="123"/>
      <c r="C935" s="123"/>
      <c r="D935" s="107"/>
      <c r="E935" s="107" t="s">
        <v>417</v>
      </c>
      <c r="F935" s="108" t="s">
        <v>714</v>
      </c>
      <c r="G935" s="108"/>
      <c r="H935" s="58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27.75" customHeight="1">
      <c r="A936" s="102">
        <v>14.0</v>
      </c>
      <c r="B936" s="123"/>
      <c r="C936" s="123"/>
      <c r="D936" s="107"/>
      <c r="E936" s="107"/>
      <c r="F936" s="108"/>
      <c r="G936" s="108"/>
      <c r="H936" s="58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27.75" customHeight="1">
      <c r="A937" s="102">
        <v>15.0</v>
      </c>
      <c r="B937" s="123"/>
      <c r="C937" s="123"/>
      <c r="D937" s="107"/>
      <c r="E937" s="107"/>
      <c r="F937" s="108"/>
      <c r="G937" s="108"/>
      <c r="H937" s="58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27.75" customHeight="1">
      <c r="A938" s="58"/>
      <c r="B938" s="149"/>
      <c r="C938" s="58"/>
      <c r="D938" s="58"/>
      <c r="E938" s="102" t="s">
        <v>144</v>
      </c>
      <c r="F938" s="150"/>
      <c r="G938" s="58"/>
      <c r="H938" s="58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27.75" customHeight="1">
      <c r="A939" s="58"/>
      <c r="B939" s="149"/>
      <c r="C939" s="58"/>
      <c r="D939" s="58"/>
      <c r="E939" s="102" t="s">
        <v>145</v>
      </c>
      <c r="F939" s="150">
        <v>1260.0</v>
      </c>
      <c r="G939" s="58"/>
      <c r="H939" s="58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27.75" customHeight="1">
      <c r="A940" s="58"/>
      <c r="B940" s="149"/>
      <c r="C940" s="58"/>
      <c r="D940" s="58"/>
      <c r="E940" s="102" t="s">
        <v>146</v>
      </c>
      <c r="F940" s="150"/>
      <c r="G940" s="58"/>
      <c r="H940" s="58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27.75" customHeight="1">
      <c r="A941" s="58"/>
      <c r="B941" s="149"/>
      <c r="C941" s="58"/>
      <c r="D941" s="58"/>
      <c r="E941" s="102" t="s">
        <v>147</v>
      </c>
      <c r="F941" s="150">
        <v>250.0</v>
      </c>
      <c r="G941" s="58"/>
      <c r="H941" s="58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27.75" customHeight="1">
      <c r="A942" s="58"/>
      <c r="B942" s="149"/>
      <c r="C942" s="58"/>
      <c r="D942" s="58"/>
      <c r="E942" s="102" t="s">
        <v>148</v>
      </c>
      <c r="F942" s="150">
        <v>1010.0</v>
      </c>
      <c r="G942" s="58"/>
      <c r="H942" s="58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27.75" customHeight="1">
      <c r="A943" s="58"/>
      <c r="B943" s="149"/>
      <c r="C943" s="58"/>
      <c r="D943" s="58"/>
      <c r="E943" s="58"/>
      <c r="F943" s="58"/>
      <c r="G943" s="58"/>
      <c r="H943" s="58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27.75" customHeight="1">
      <c r="A944" s="151" t="s">
        <v>4</v>
      </c>
      <c r="B944" s="102" t="s">
        <v>5</v>
      </c>
      <c r="C944" s="102" t="s">
        <v>126</v>
      </c>
      <c r="D944" s="102" t="s">
        <v>6</v>
      </c>
      <c r="E944" s="102" t="s">
        <v>7</v>
      </c>
      <c r="F944" s="102" t="s">
        <v>127</v>
      </c>
      <c r="G944" s="102" t="s">
        <v>128</v>
      </c>
      <c r="H944" s="58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27.75" customHeight="1">
      <c r="A945" s="102">
        <v>1.0</v>
      </c>
      <c r="B945" s="147">
        <v>46126.0</v>
      </c>
      <c r="C945" s="148" t="s">
        <v>169</v>
      </c>
      <c r="D945" s="107" t="s">
        <v>193</v>
      </c>
      <c r="E945" s="107" t="s">
        <v>715</v>
      </c>
      <c r="F945" s="111"/>
      <c r="G945" s="111"/>
      <c r="H945" s="58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27.75" customHeight="1">
      <c r="A946" s="102">
        <v>2.0</v>
      </c>
      <c r="B946" s="123"/>
      <c r="C946" s="123"/>
      <c r="D946" s="107"/>
      <c r="E946" s="107" t="s">
        <v>194</v>
      </c>
      <c r="F946" s="108" t="s">
        <v>716</v>
      </c>
      <c r="G946" s="111"/>
      <c r="H946" s="58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27.75" customHeight="1">
      <c r="A947" s="102">
        <v>3.0</v>
      </c>
      <c r="B947" s="123"/>
      <c r="C947" s="123"/>
      <c r="D947" s="107"/>
      <c r="E947" s="107" t="s">
        <v>200</v>
      </c>
      <c r="F947" s="108" t="s">
        <v>290</v>
      </c>
      <c r="G947" s="111"/>
      <c r="H947" s="58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27.75" customHeight="1">
      <c r="A948" s="102">
        <v>4.0</v>
      </c>
      <c r="B948" s="123"/>
      <c r="C948" s="123"/>
      <c r="D948" s="107"/>
      <c r="E948" s="107" t="s">
        <v>717</v>
      </c>
      <c r="F948" s="108">
        <v>105.0</v>
      </c>
      <c r="G948" s="111"/>
      <c r="H948" s="58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27.75" customHeight="1">
      <c r="A949" s="102">
        <v>5.0</v>
      </c>
      <c r="B949" s="123"/>
      <c r="C949" s="123"/>
      <c r="D949" s="107"/>
      <c r="E949" s="107" t="s">
        <v>199</v>
      </c>
      <c r="F949" s="111" t="s">
        <v>718</v>
      </c>
      <c r="G949" s="111" t="s">
        <v>719</v>
      </c>
      <c r="H949" s="58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27.75" customHeight="1">
      <c r="A950" s="102">
        <v>6.0</v>
      </c>
      <c r="B950" s="123"/>
      <c r="C950" s="123"/>
      <c r="D950" s="127"/>
      <c r="E950" s="107" t="s">
        <v>713</v>
      </c>
      <c r="F950" s="108"/>
      <c r="G950" s="108"/>
      <c r="H950" s="58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27.75" customHeight="1">
      <c r="A951" s="102">
        <v>7.0</v>
      </c>
      <c r="B951" s="123"/>
      <c r="C951" s="123"/>
      <c r="D951" s="107"/>
      <c r="E951" s="107"/>
      <c r="F951" s="108"/>
      <c r="G951" s="108"/>
      <c r="H951" s="58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27.75" customHeight="1">
      <c r="A952" s="102">
        <v>8.0</v>
      </c>
      <c r="B952" s="123"/>
      <c r="C952" s="123"/>
      <c r="D952" s="107"/>
      <c r="E952" s="107"/>
      <c r="F952" s="108"/>
      <c r="G952" s="108"/>
      <c r="H952" s="58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27.75" customHeight="1">
      <c r="A953" s="102">
        <v>9.0</v>
      </c>
      <c r="B953" s="123"/>
      <c r="C953" s="123"/>
      <c r="D953" s="107"/>
      <c r="E953" s="107"/>
      <c r="F953" s="108"/>
      <c r="G953" s="108"/>
      <c r="H953" s="58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27.75" customHeight="1">
      <c r="A954" s="102">
        <v>10.0</v>
      </c>
      <c r="B954" s="123"/>
      <c r="C954" s="123"/>
      <c r="D954" s="107"/>
      <c r="E954" s="107"/>
      <c r="F954" s="108"/>
      <c r="G954" s="108"/>
      <c r="H954" s="58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27.75" customHeight="1">
      <c r="A955" s="102">
        <v>11.0</v>
      </c>
      <c r="B955" s="123"/>
      <c r="C955" s="123"/>
      <c r="D955" s="107"/>
      <c r="E955" s="107"/>
      <c r="F955" s="108"/>
      <c r="G955" s="108"/>
      <c r="H955" s="58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27.75" customHeight="1">
      <c r="A956" s="102">
        <v>12.0</v>
      </c>
      <c r="B956" s="123"/>
      <c r="C956" s="123"/>
      <c r="D956" s="107"/>
      <c r="E956" s="107"/>
      <c r="F956" s="108"/>
      <c r="G956" s="108"/>
      <c r="H956" s="58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27.75" customHeight="1">
      <c r="A957" s="102">
        <v>13.0</v>
      </c>
      <c r="B957" s="123"/>
      <c r="C957" s="123"/>
      <c r="D957" s="107"/>
      <c r="E957" s="107"/>
      <c r="F957" s="108"/>
      <c r="G957" s="108"/>
      <c r="H957" s="58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27.75" customHeight="1">
      <c r="A958" s="102">
        <v>14.0</v>
      </c>
      <c r="B958" s="123"/>
      <c r="C958" s="123"/>
      <c r="D958" s="107"/>
      <c r="E958" s="107"/>
      <c r="F958" s="108"/>
      <c r="G958" s="108"/>
      <c r="H958" s="58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27.75" customHeight="1">
      <c r="A959" s="102">
        <v>15.0</v>
      </c>
      <c r="B959" s="123"/>
      <c r="C959" s="123"/>
      <c r="D959" s="107"/>
      <c r="E959" s="107"/>
      <c r="F959" s="108"/>
      <c r="G959" s="108"/>
      <c r="H959" s="58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27.75" customHeight="1">
      <c r="A960" s="58"/>
      <c r="B960" s="149"/>
      <c r="C960" s="58"/>
      <c r="D960" s="58"/>
      <c r="E960" s="102" t="s">
        <v>144</v>
      </c>
      <c r="F960" s="150"/>
      <c r="G960" s="58"/>
      <c r="H960" s="58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27.75" customHeight="1">
      <c r="A961" s="58"/>
      <c r="B961" s="149"/>
      <c r="C961" s="58"/>
      <c r="D961" s="58"/>
      <c r="E961" s="102" t="s">
        <v>145</v>
      </c>
      <c r="F961" s="150">
        <v>2765.0</v>
      </c>
      <c r="G961" s="58"/>
      <c r="H961" s="58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27.75" customHeight="1">
      <c r="A962" s="58"/>
      <c r="B962" s="149"/>
      <c r="C962" s="58"/>
      <c r="D962" s="58"/>
      <c r="E962" s="102" t="s">
        <v>146</v>
      </c>
      <c r="F962" s="150"/>
      <c r="G962" s="58"/>
      <c r="H962" s="58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27.75" customHeight="1">
      <c r="A963" s="58"/>
      <c r="B963" s="149"/>
      <c r="C963" s="58"/>
      <c r="D963" s="58"/>
      <c r="E963" s="102" t="s">
        <v>147</v>
      </c>
      <c r="F963" s="150">
        <v>250.0</v>
      </c>
      <c r="G963" s="58"/>
      <c r="H963" s="58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27.75" customHeight="1">
      <c r="A964" s="58"/>
      <c r="B964" s="149"/>
      <c r="C964" s="58"/>
      <c r="D964" s="58"/>
      <c r="E964" s="102" t="s">
        <v>148</v>
      </c>
      <c r="F964" s="150">
        <v>2515.0</v>
      </c>
      <c r="G964" s="58"/>
      <c r="H964" s="58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27.75" customHeight="1">
      <c r="A965" s="58"/>
      <c r="B965" s="149"/>
      <c r="C965" s="58"/>
      <c r="D965" s="58"/>
      <c r="E965" s="58"/>
      <c r="F965" s="58"/>
      <c r="G965" s="58"/>
      <c r="H965" s="58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27.75" customHeight="1">
      <c r="A966" s="151" t="s">
        <v>4</v>
      </c>
      <c r="B966" s="102" t="s">
        <v>5</v>
      </c>
      <c r="C966" s="102" t="s">
        <v>126</v>
      </c>
      <c r="D966" s="102" t="s">
        <v>6</v>
      </c>
      <c r="E966" s="102" t="s">
        <v>7</v>
      </c>
      <c r="F966" s="102" t="s">
        <v>127</v>
      </c>
      <c r="G966" s="102" t="s">
        <v>128</v>
      </c>
      <c r="H966" s="58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27.75" customHeight="1">
      <c r="A967" s="102">
        <v>1.0</v>
      </c>
      <c r="B967" s="147">
        <v>46127.0</v>
      </c>
      <c r="C967" s="148" t="s">
        <v>169</v>
      </c>
      <c r="D967" s="107" t="s">
        <v>193</v>
      </c>
      <c r="E967" s="107" t="s">
        <v>720</v>
      </c>
      <c r="F967" s="111"/>
      <c r="G967" s="111"/>
      <c r="H967" s="58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27.75" customHeight="1">
      <c r="A968" s="102">
        <v>2.0</v>
      </c>
      <c r="B968" s="123"/>
      <c r="C968" s="123"/>
      <c r="D968" s="107"/>
      <c r="E968" s="107" t="s">
        <v>721</v>
      </c>
      <c r="F968" s="108">
        <v>35.0</v>
      </c>
      <c r="G968" s="111"/>
      <c r="H968" s="58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27.75" customHeight="1">
      <c r="A969" s="102">
        <v>3.0</v>
      </c>
      <c r="B969" s="123"/>
      <c r="C969" s="123"/>
      <c r="D969" s="107"/>
      <c r="E969" s="107" t="s">
        <v>722</v>
      </c>
      <c r="F969" s="108" t="s">
        <v>723</v>
      </c>
      <c r="G969" s="111"/>
      <c r="H969" s="58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27.75" customHeight="1">
      <c r="A970" s="102">
        <v>4.0</v>
      </c>
      <c r="B970" s="123"/>
      <c r="C970" s="123"/>
      <c r="D970" s="107"/>
      <c r="E970" s="107" t="s">
        <v>724</v>
      </c>
      <c r="F970" s="111" t="s">
        <v>725</v>
      </c>
      <c r="G970" s="111"/>
      <c r="H970" s="58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27.75" customHeight="1">
      <c r="A971" s="102">
        <v>5.0</v>
      </c>
      <c r="B971" s="123"/>
      <c r="C971" s="123"/>
      <c r="D971" s="107"/>
      <c r="E971" s="107" t="s">
        <v>726</v>
      </c>
      <c r="F971" s="111" t="s">
        <v>279</v>
      </c>
      <c r="G971" s="111"/>
      <c r="H971" s="58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27.75" customHeight="1">
      <c r="A972" s="102">
        <v>6.0</v>
      </c>
      <c r="B972" s="123"/>
      <c r="C972" s="123"/>
      <c r="D972" s="127"/>
      <c r="E972" s="107" t="s">
        <v>727</v>
      </c>
      <c r="F972" s="108" t="s">
        <v>728</v>
      </c>
      <c r="G972" s="108"/>
      <c r="H972" s="58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27.75" customHeight="1">
      <c r="A973" s="102">
        <v>7.0</v>
      </c>
      <c r="B973" s="123"/>
      <c r="C973" s="123"/>
      <c r="D973" s="107"/>
      <c r="E973" s="107" t="s">
        <v>685</v>
      </c>
      <c r="F973" s="108">
        <v>35.0</v>
      </c>
      <c r="G973" s="108"/>
      <c r="H973" s="58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27.75" customHeight="1">
      <c r="A974" s="102">
        <v>8.0</v>
      </c>
      <c r="B974" s="123"/>
      <c r="C974" s="123"/>
      <c r="D974" s="107"/>
      <c r="E974" s="107" t="s">
        <v>713</v>
      </c>
      <c r="F974" s="108"/>
      <c r="G974" s="108"/>
      <c r="H974" s="58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27.75" customHeight="1">
      <c r="A975" s="102">
        <v>9.0</v>
      </c>
      <c r="B975" s="123"/>
      <c r="C975" s="123"/>
      <c r="D975" s="107"/>
      <c r="E975" s="107" t="s">
        <v>729</v>
      </c>
      <c r="F975" s="108"/>
      <c r="G975" s="108"/>
      <c r="H975" s="58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27.75" customHeight="1">
      <c r="A976" s="102">
        <v>10.0</v>
      </c>
      <c r="B976" s="123"/>
      <c r="C976" s="123"/>
      <c r="D976" s="107"/>
      <c r="E976" s="107" t="s">
        <v>730</v>
      </c>
      <c r="F976" s="108"/>
      <c r="G976" s="108"/>
      <c r="H976" s="58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27.75" customHeight="1">
      <c r="A977" s="102">
        <v>11.0</v>
      </c>
      <c r="B977" s="123"/>
      <c r="C977" s="123"/>
      <c r="D977" s="107"/>
      <c r="E977" s="127" t="s">
        <v>731</v>
      </c>
      <c r="F977" s="108"/>
      <c r="G977" s="108"/>
      <c r="H977" s="58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27.75" customHeight="1">
      <c r="A978" s="102">
        <v>12.0</v>
      </c>
      <c r="B978" s="123"/>
      <c r="C978" s="123"/>
      <c r="D978" s="107"/>
      <c r="E978" s="107"/>
      <c r="F978" s="108"/>
      <c r="G978" s="108"/>
      <c r="H978" s="58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27.75" customHeight="1">
      <c r="A979" s="102">
        <v>13.0</v>
      </c>
      <c r="B979" s="123"/>
      <c r="C979" s="123"/>
      <c r="D979" s="107"/>
      <c r="E979" s="107"/>
      <c r="F979" s="108"/>
      <c r="G979" s="108"/>
      <c r="H979" s="58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27.75" customHeight="1">
      <c r="A980" s="102">
        <v>14.0</v>
      </c>
      <c r="B980" s="123"/>
      <c r="C980" s="123"/>
      <c r="D980" s="107"/>
      <c r="E980" s="107"/>
      <c r="F980" s="108"/>
      <c r="G980" s="108"/>
      <c r="H980" s="58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27.75" customHeight="1">
      <c r="A981" s="102">
        <v>15.0</v>
      </c>
      <c r="B981" s="123"/>
      <c r="C981" s="123"/>
      <c r="D981" s="107"/>
      <c r="E981" s="107"/>
      <c r="F981" s="108"/>
      <c r="G981" s="108"/>
      <c r="H981" s="58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27.75" customHeight="1">
      <c r="A982" s="58"/>
      <c r="B982" s="149"/>
      <c r="C982" s="58"/>
      <c r="D982" s="58"/>
      <c r="E982" s="102" t="s">
        <v>144</v>
      </c>
      <c r="F982" s="150">
        <v>600.0</v>
      </c>
      <c r="G982" s="58"/>
      <c r="H982" s="58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27.75" customHeight="1">
      <c r="A983" s="58"/>
      <c r="B983" s="149"/>
      <c r="C983" s="58"/>
      <c r="D983" s="58"/>
      <c r="E983" s="102" t="s">
        <v>145</v>
      </c>
      <c r="F983" s="150">
        <v>6620.0</v>
      </c>
      <c r="G983" s="58"/>
      <c r="H983" s="58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27.75" customHeight="1">
      <c r="A984" s="58"/>
      <c r="B984" s="149"/>
      <c r="C984" s="58"/>
      <c r="D984" s="58"/>
      <c r="E984" s="102" t="s">
        <v>146</v>
      </c>
      <c r="F984" s="150"/>
      <c r="G984" s="58"/>
      <c r="H984" s="58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27.75" customHeight="1">
      <c r="A985" s="58"/>
      <c r="B985" s="149"/>
      <c r="C985" s="58"/>
      <c r="D985" s="58"/>
      <c r="E985" s="102" t="s">
        <v>147</v>
      </c>
      <c r="F985" s="150">
        <v>250.0</v>
      </c>
      <c r="G985" s="58"/>
      <c r="H985" s="58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27.75" customHeight="1">
      <c r="A986" s="58"/>
      <c r="B986" s="149"/>
      <c r="C986" s="58"/>
      <c r="D986" s="58"/>
      <c r="E986" s="102" t="s">
        <v>148</v>
      </c>
      <c r="F986" s="150">
        <v>6370.0</v>
      </c>
      <c r="G986" s="58"/>
      <c r="H986" s="58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27.75" customHeight="1">
      <c r="A987" s="151" t="s">
        <v>4</v>
      </c>
      <c r="B987" s="102" t="s">
        <v>5</v>
      </c>
      <c r="C987" s="102" t="s">
        <v>126</v>
      </c>
      <c r="D987" s="102" t="s">
        <v>6</v>
      </c>
      <c r="E987" s="102" t="s">
        <v>7</v>
      </c>
      <c r="F987" s="102" t="s">
        <v>127</v>
      </c>
      <c r="G987" s="102" t="s">
        <v>128</v>
      </c>
      <c r="H987" s="58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27.75" customHeight="1">
      <c r="A988" s="102">
        <v>1.0</v>
      </c>
      <c r="B988" s="147">
        <v>46128.0</v>
      </c>
      <c r="C988" s="148" t="s">
        <v>310</v>
      </c>
      <c r="D988" s="107" t="s">
        <v>193</v>
      </c>
      <c r="E988" s="107" t="s">
        <v>732</v>
      </c>
      <c r="F988" s="111"/>
      <c r="G988" s="111"/>
      <c r="H988" s="58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27.75" customHeight="1">
      <c r="A989" s="102">
        <v>2.0</v>
      </c>
      <c r="B989" s="123"/>
      <c r="C989" s="123"/>
      <c r="D989" s="107"/>
      <c r="E989" s="107" t="s">
        <v>733</v>
      </c>
      <c r="F989" s="108"/>
      <c r="G989" s="111"/>
      <c r="H989" s="58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27.75" customHeight="1">
      <c r="A990" s="102">
        <v>3.0</v>
      </c>
      <c r="B990" s="123"/>
      <c r="C990" s="123"/>
      <c r="D990" s="107"/>
      <c r="E990" s="107" t="s">
        <v>734</v>
      </c>
      <c r="F990" s="108"/>
      <c r="G990" s="111"/>
      <c r="H990" s="58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27.75" customHeight="1">
      <c r="A991" s="102">
        <v>4.0</v>
      </c>
      <c r="B991" s="123"/>
      <c r="C991" s="123"/>
      <c r="D991" s="107"/>
      <c r="E991" s="107" t="s">
        <v>735</v>
      </c>
      <c r="F991" s="111"/>
      <c r="G991" s="111"/>
      <c r="H991" s="58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27.75" customHeight="1">
      <c r="A992" s="102">
        <v>5.0</v>
      </c>
      <c r="B992" s="123"/>
      <c r="C992" s="123"/>
      <c r="D992" s="107"/>
      <c r="E992" s="107" t="s">
        <v>736</v>
      </c>
      <c r="F992" s="111"/>
      <c r="G992" s="111"/>
      <c r="H992" s="58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27.75" customHeight="1">
      <c r="A993" s="102">
        <v>6.0</v>
      </c>
      <c r="B993" s="123"/>
      <c r="C993" s="123"/>
      <c r="D993" s="127"/>
      <c r="E993" s="107" t="s">
        <v>737</v>
      </c>
      <c r="F993" s="108"/>
      <c r="G993" s="108"/>
      <c r="H993" s="58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27.75" customHeight="1">
      <c r="A994" s="102">
        <v>7.0</v>
      </c>
      <c r="B994" s="123"/>
      <c r="C994" s="123"/>
      <c r="D994" s="107"/>
      <c r="E994" s="107" t="s">
        <v>738</v>
      </c>
      <c r="F994" s="108"/>
      <c r="G994" s="108"/>
      <c r="H994" s="58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27.75" customHeight="1">
      <c r="A995" s="102">
        <v>8.0</v>
      </c>
      <c r="B995" s="123"/>
      <c r="C995" s="123"/>
      <c r="D995" s="107"/>
      <c r="E995" s="107" t="s">
        <v>739</v>
      </c>
      <c r="F995" s="108"/>
      <c r="G995" s="108"/>
      <c r="H995" s="58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27.75" customHeight="1">
      <c r="A996" s="102">
        <v>9.0</v>
      </c>
      <c r="B996" s="123"/>
      <c r="C996" s="123"/>
      <c r="D996" s="107"/>
      <c r="E996" s="107"/>
      <c r="F996" s="108"/>
      <c r="G996" s="108"/>
      <c r="H996" s="58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27.75" customHeight="1">
      <c r="A997" s="102">
        <v>10.0</v>
      </c>
      <c r="B997" s="123"/>
      <c r="C997" s="123"/>
      <c r="D997" s="107"/>
      <c r="E997" s="107"/>
      <c r="F997" s="108"/>
      <c r="G997" s="108"/>
      <c r="H997" s="58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27.75" customHeight="1">
      <c r="A998" s="102">
        <v>11.0</v>
      </c>
      <c r="B998" s="123"/>
      <c r="C998" s="123"/>
      <c r="D998" s="107"/>
      <c r="E998" s="127"/>
      <c r="F998" s="108"/>
      <c r="G998" s="108"/>
      <c r="H998" s="58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27.75" customHeight="1">
      <c r="A999" s="102">
        <v>12.0</v>
      </c>
      <c r="B999" s="123"/>
      <c r="C999" s="123"/>
      <c r="D999" s="107"/>
      <c r="E999" s="107"/>
      <c r="F999" s="108"/>
      <c r="G999" s="108"/>
      <c r="H999" s="58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27.75" customHeight="1">
      <c r="A1000" s="102">
        <v>13.0</v>
      </c>
      <c r="B1000" s="123"/>
      <c r="C1000" s="123"/>
      <c r="D1000" s="107"/>
      <c r="E1000" s="107"/>
      <c r="F1000" s="108"/>
      <c r="G1000" s="108"/>
      <c r="H1000" s="58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ht="27.75" customHeight="1">
      <c r="A1001" s="102">
        <v>14.0</v>
      </c>
      <c r="B1001" s="123"/>
      <c r="C1001" s="123"/>
      <c r="D1001" s="107"/>
      <c r="E1001" s="107"/>
      <c r="F1001" s="108"/>
      <c r="G1001" s="108"/>
      <c r="H1001" s="58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  <row r="1002" ht="27.75" customHeight="1">
      <c r="A1002" s="102">
        <v>15.0</v>
      </c>
      <c r="B1002" s="123"/>
      <c r="C1002" s="123"/>
      <c r="D1002" s="107"/>
      <c r="E1002" s="107"/>
      <c r="F1002" s="108"/>
      <c r="G1002" s="108"/>
      <c r="H1002" s="58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</row>
    <row r="1003" ht="27.75" customHeight="1">
      <c r="A1003" s="58"/>
      <c r="B1003" s="149"/>
      <c r="C1003" s="58"/>
      <c r="D1003" s="58"/>
      <c r="E1003" s="102" t="s">
        <v>144</v>
      </c>
      <c r="F1003" s="150">
        <v>400.0</v>
      </c>
      <c r="G1003" s="58"/>
      <c r="H1003" s="58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</row>
    <row r="1004" ht="27.75" customHeight="1">
      <c r="A1004" s="58"/>
      <c r="B1004" s="149"/>
      <c r="C1004" s="58"/>
      <c r="D1004" s="58"/>
      <c r="E1004" s="102" t="s">
        <v>145</v>
      </c>
      <c r="F1004" s="150">
        <v>895.0</v>
      </c>
      <c r="G1004" s="58"/>
      <c r="H1004" s="58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</row>
    <row r="1005" ht="27.75" customHeight="1">
      <c r="A1005" s="58"/>
      <c r="B1005" s="149"/>
      <c r="C1005" s="58"/>
      <c r="D1005" s="58"/>
      <c r="E1005" s="102" t="s">
        <v>146</v>
      </c>
      <c r="F1005" s="151" t="s">
        <v>414</v>
      </c>
      <c r="G1005" s="58"/>
      <c r="H1005" s="58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</row>
    <row r="1006" ht="27.75" customHeight="1">
      <c r="A1006" s="58"/>
      <c r="B1006" s="149"/>
      <c r="C1006" s="58"/>
      <c r="D1006" s="58"/>
      <c r="E1006" s="102" t="s">
        <v>147</v>
      </c>
      <c r="F1006" s="150">
        <v>200.0</v>
      </c>
      <c r="G1006" s="58"/>
      <c r="H1006" s="58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</row>
    <row r="1007" ht="27.75" customHeight="1">
      <c r="A1007" s="58"/>
      <c r="B1007" s="149"/>
      <c r="C1007" s="58"/>
      <c r="D1007" s="58"/>
      <c r="E1007" s="102" t="s">
        <v>148</v>
      </c>
      <c r="F1007" s="150">
        <v>595.0</v>
      </c>
      <c r="G1007" s="58"/>
      <c r="H1007" s="58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</row>
    <row r="1008" ht="27.75" customHeight="1">
      <c r="A1008" s="58"/>
      <c r="B1008" s="149"/>
      <c r="C1008" s="58"/>
      <c r="D1008" s="58"/>
      <c r="E1008" s="58"/>
      <c r="F1008" s="58"/>
      <c r="G1008" s="58"/>
      <c r="H1008" s="58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</row>
    <row r="1009" ht="27.75" customHeight="1">
      <c r="A1009" s="58"/>
      <c r="B1009" s="149"/>
      <c r="C1009" s="58"/>
      <c r="D1009" s="58"/>
      <c r="E1009" s="58"/>
      <c r="F1009" s="58"/>
      <c r="G1009" s="58"/>
      <c r="H1009" s="58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</row>
    <row r="1010" ht="27.75" customHeight="1">
      <c r="A1010" s="151" t="s">
        <v>4</v>
      </c>
      <c r="B1010" s="102" t="s">
        <v>5</v>
      </c>
      <c r="C1010" s="102" t="s">
        <v>126</v>
      </c>
      <c r="D1010" s="102" t="s">
        <v>6</v>
      </c>
      <c r="E1010" s="102" t="s">
        <v>7</v>
      </c>
      <c r="F1010" s="102" t="s">
        <v>127</v>
      </c>
      <c r="G1010" s="102" t="s">
        <v>128</v>
      </c>
      <c r="H1010" s="58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</row>
    <row r="1011" ht="27.75" customHeight="1">
      <c r="A1011" s="102">
        <v>1.0</v>
      </c>
      <c r="B1011" s="147">
        <v>46129.0</v>
      </c>
      <c r="C1011" s="148" t="s">
        <v>618</v>
      </c>
      <c r="D1011" s="107" t="s">
        <v>193</v>
      </c>
      <c r="E1011" s="107" t="s">
        <v>623</v>
      </c>
      <c r="F1011" s="108">
        <v>35.0</v>
      </c>
      <c r="G1011" s="111"/>
      <c r="H1011" s="58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</row>
    <row r="1012" ht="27.75" customHeight="1">
      <c r="A1012" s="102">
        <v>2.0</v>
      </c>
      <c r="B1012" s="123"/>
      <c r="C1012" s="123"/>
      <c r="D1012" s="107"/>
      <c r="E1012" s="107" t="s">
        <v>740</v>
      </c>
      <c r="F1012" s="108">
        <v>60.0</v>
      </c>
      <c r="G1012" s="111"/>
      <c r="H1012" s="58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</row>
    <row r="1013" ht="27.75" customHeight="1">
      <c r="A1013" s="102">
        <v>3.0</v>
      </c>
      <c r="B1013" s="123"/>
      <c r="C1013" s="123"/>
      <c r="D1013" s="107"/>
      <c r="E1013" s="107" t="s">
        <v>194</v>
      </c>
      <c r="F1013" s="108">
        <v>35.0</v>
      </c>
      <c r="G1013" s="111"/>
      <c r="H1013" s="58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</row>
    <row r="1014" ht="27.75" customHeight="1">
      <c r="A1014" s="102">
        <v>4.0</v>
      </c>
      <c r="B1014" s="123"/>
      <c r="C1014" s="123"/>
      <c r="D1014" s="107"/>
      <c r="E1014" s="107" t="s">
        <v>741</v>
      </c>
      <c r="F1014" s="111"/>
      <c r="G1014" s="111"/>
      <c r="H1014" s="58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</row>
    <row r="1015" ht="27.75" customHeight="1">
      <c r="A1015" s="102">
        <v>5.0</v>
      </c>
      <c r="B1015" s="123"/>
      <c r="C1015" s="123"/>
      <c r="D1015" s="107"/>
      <c r="E1015" s="107" t="s">
        <v>595</v>
      </c>
      <c r="F1015" s="111" t="s">
        <v>742</v>
      </c>
      <c r="G1015" s="111"/>
      <c r="H1015" s="58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</row>
    <row r="1016" ht="27.75" customHeight="1">
      <c r="A1016" s="102">
        <v>6.0</v>
      </c>
      <c r="B1016" s="123"/>
      <c r="C1016" s="123"/>
      <c r="D1016" s="127"/>
      <c r="E1016" s="107" t="s">
        <v>743</v>
      </c>
      <c r="F1016" s="111" t="s">
        <v>744</v>
      </c>
      <c r="G1016" s="108"/>
      <c r="H1016" s="58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</row>
    <row r="1017" ht="27.75" customHeight="1">
      <c r="A1017" s="102">
        <v>7.0</v>
      </c>
      <c r="B1017" s="123"/>
      <c r="C1017" s="123"/>
      <c r="D1017" s="107"/>
      <c r="E1017" s="107" t="s">
        <v>745</v>
      </c>
      <c r="F1017" s="108"/>
      <c r="G1017" s="108"/>
      <c r="H1017" s="58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</row>
    <row r="1018" ht="27.75" customHeight="1">
      <c r="A1018" s="102">
        <v>8.0</v>
      </c>
      <c r="B1018" s="123"/>
      <c r="C1018" s="123"/>
      <c r="D1018" s="107"/>
      <c r="E1018" s="107" t="s">
        <v>746</v>
      </c>
      <c r="F1018" s="108"/>
      <c r="G1018" s="108"/>
      <c r="H1018" s="58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</row>
    <row r="1019" ht="27.75" customHeight="1">
      <c r="A1019" s="102">
        <v>9.0</v>
      </c>
      <c r="B1019" s="123"/>
      <c r="C1019" s="123"/>
      <c r="D1019" s="107"/>
      <c r="E1019" s="107" t="s">
        <v>414</v>
      </c>
      <c r="F1019" s="108"/>
      <c r="G1019" s="108"/>
      <c r="H1019" s="58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</row>
    <row r="1020" ht="27.75" customHeight="1">
      <c r="A1020" s="102">
        <v>10.0</v>
      </c>
      <c r="B1020" s="123"/>
      <c r="C1020" s="123"/>
      <c r="D1020" s="107"/>
      <c r="E1020" s="107" t="s">
        <v>747</v>
      </c>
      <c r="F1020" s="108"/>
      <c r="G1020" s="108"/>
      <c r="H1020" s="58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</row>
    <row r="1021" ht="27.75" customHeight="1">
      <c r="A1021" s="102">
        <v>11.0</v>
      </c>
      <c r="B1021" s="123"/>
      <c r="C1021" s="123"/>
      <c r="D1021" s="107"/>
      <c r="E1021" s="107" t="s">
        <v>748</v>
      </c>
      <c r="F1021" s="108"/>
      <c r="G1021" s="108"/>
      <c r="H1021" s="58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</row>
    <row r="1022" ht="27.75" customHeight="1">
      <c r="A1022" s="102">
        <v>12.0</v>
      </c>
      <c r="B1022" s="123"/>
      <c r="C1022" s="123"/>
      <c r="D1022" s="107"/>
      <c r="E1022" s="107"/>
      <c r="F1022" s="108"/>
      <c r="G1022" s="108"/>
      <c r="H1022" s="58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</row>
    <row r="1023" ht="27.75" customHeight="1">
      <c r="A1023" s="102">
        <v>13.0</v>
      </c>
      <c r="B1023" s="123"/>
      <c r="C1023" s="123"/>
      <c r="D1023" s="107"/>
      <c r="E1023" s="107"/>
      <c r="F1023" s="108"/>
      <c r="G1023" s="108"/>
      <c r="H1023" s="58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</row>
    <row r="1024" ht="27.75" customHeight="1">
      <c r="A1024" s="102">
        <v>14.0</v>
      </c>
      <c r="B1024" s="123"/>
      <c r="C1024" s="123"/>
      <c r="D1024" s="107"/>
      <c r="E1024" s="107"/>
      <c r="F1024" s="108"/>
      <c r="G1024" s="108"/>
      <c r="H1024" s="58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</row>
    <row r="1025" ht="27.75" customHeight="1">
      <c r="A1025" s="102">
        <v>15.0</v>
      </c>
      <c r="B1025" s="123"/>
      <c r="C1025" s="123"/>
      <c r="D1025" s="107"/>
      <c r="E1025" s="107"/>
      <c r="F1025" s="108"/>
      <c r="G1025" s="108"/>
      <c r="H1025" s="58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</row>
    <row r="1026" ht="27.75" customHeight="1">
      <c r="A1026" s="58"/>
      <c r="B1026" s="149"/>
      <c r="C1026" s="58"/>
      <c r="D1026" s="58"/>
      <c r="E1026" s="102" t="s">
        <v>144</v>
      </c>
      <c r="F1026" s="150">
        <v>1450.0</v>
      </c>
      <c r="G1026" s="58"/>
      <c r="H1026" s="58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</row>
    <row r="1027" ht="27.75" customHeight="1">
      <c r="A1027" s="58"/>
      <c r="B1027" s="149"/>
      <c r="C1027" s="58"/>
      <c r="D1027" s="58"/>
      <c r="E1027" s="102" t="s">
        <v>145</v>
      </c>
      <c r="F1027" s="150">
        <v>1120.0</v>
      </c>
      <c r="G1027" s="58"/>
      <c r="H1027" s="58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</row>
    <row r="1028" ht="27.75" customHeight="1">
      <c r="A1028" s="58"/>
      <c r="B1028" s="149"/>
      <c r="C1028" s="58"/>
      <c r="D1028" s="58"/>
      <c r="E1028" s="102" t="s">
        <v>146</v>
      </c>
      <c r="F1028" s="151"/>
      <c r="G1028" s="58"/>
      <c r="H1028" s="58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</row>
    <row r="1029" ht="27.75" customHeight="1">
      <c r="A1029" s="58"/>
      <c r="B1029" s="149"/>
      <c r="C1029" s="58"/>
      <c r="D1029" s="58"/>
      <c r="E1029" s="102" t="s">
        <v>147</v>
      </c>
      <c r="F1029" s="150">
        <v>250.0</v>
      </c>
      <c r="G1029" s="58"/>
      <c r="H1029" s="58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</row>
    <row r="1030" ht="27.75" customHeight="1">
      <c r="A1030" s="58"/>
      <c r="B1030" s="149"/>
      <c r="C1030" s="58"/>
      <c r="D1030" s="58"/>
      <c r="E1030" s="102" t="s">
        <v>148</v>
      </c>
      <c r="F1030" s="150">
        <v>870.0</v>
      </c>
      <c r="G1030" s="58"/>
      <c r="H1030" s="58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</row>
    <row r="1031" ht="27.75" customHeight="1">
      <c r="A1031" s="58"/>
      <c r="B1031" s="149"/>
      <c r="C1031" s="58"/>
      <c r="D1031" s="58"/>
      <c r="E1031" s="58"/>
      <c r="F1031" s="58"/>
      <c r="G1031" s="58"/>
      <c r="H1031" s="58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</row>
    <row r="1032" ht="27.75" customHeight="1">
      <c r="A1032" s="151" t="s">
        <v>4</v>
      </c>
      <c r="B1032" s="102" t="s">
        <v>5</v>
      </c>
      <c r="C1032" s="102" t="s">
        <v>126</v>
      </c>
      <c r="D1032" s="102" t="s">
        <v>6</v>
      </c>
      <c r="E1032" s="102" t="s">
        <v>7</v>
      </c>
      <c r="F1032" s="102" t="s">
        <v>127</v>
      </c>
      <c r="G1032" s="102" t="s">
        <v>128</v>
      </c>
      <c r="H1032" s="58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</row>
    <row r="1033" ht="27.75" customHeight="1">
      <c r="A1033" s="102">
        <v>1.0</v>
      </c>
      <c r="B1033" s="147">
        <v>46130.0</v>
      </c>
      <c r="C1033" s="148" t="s">
        <v>341</v>
      </c>
      <c r="D1033" s="107" t="s">
        <v>193</v>
      </c>
      <c r="E1033" s="107" t="s">
        <v>412</v>
      </c>
      <c r="F1033" s="108" t="s">
        <v>749</v>
      </c>
      <c r="G1033" s="111"/>
      <c r="H1033" s="58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</row>
    <row r="1034" ht="27.75" customHeight="1">
      <c r="A1034" s="102">
        <v>2.0</v>
      </c>
      <c r="B1034" s="123"/>
      <c r="C1034" s="123"/>
      <c r="D1034" s="107"/>
      <c r="E1034" s="107" t="s">
        <v>750</v>
      </c>
      <c r="F1034" s="111" t="s">
        <v>751</v>
      </c>
      <c r="G1034" s="111"/>
      <c r="H1034" s="58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</row>
    <row r="1035" ht="27.75" customHeight="1">
      <c r="A1035" s="102">
        <v>3.0</v>
      </c>
      <c r="B1035" s="123"/>
      <c r="C1035" s="123"/>
      <c r="D1035" s="107"/>
      <c r="E1035" s="107" t="s">
        <v>752</v>
      </c>
      <c r="F1035" s="108"/>
      <c r="G1035" s="111"/>
      <c r="H1035" s="58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</row>
    <row r="1036" ht="27.75" customHeight="1">
      <c r="A1036" s="102">
        <v>4.0</v>
      </c>
      <c r="B1036" s="123"/>
      <c r="C1036" s="123"/>
      <c r="D1036" s="107"/>
      <c r="E1036" s="107" t="s">
        <v>753</v>
      </c>
      <c r="F1036" s="111"/>
      <c r="G1036" s="111" t="s">
        <v>754</v>
      </c>
      <c r="H1036" s="58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</row>
    <row r="1037" ht="27.75" customHeight="1">
      <c r="A1037" s="102">
        <v>5.0</v>
      </c>
      <c r="B1037" s="123"/>
      <c r="C1037" s="123"/>
      <c r="D1037" s="107"/>
      <c r="E1037" s="107" t="s">
        <v>755</v>
      </c>
      <c r="F1037" s="111"/>
      <c r="G1037" s="111"/>
      <c r="H1037" s="58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</row>
    <row r="1038" ht="27.75" customHeight="1">
      <c r="A1038" s="102">
        <v>6.0</v>
      </c>
      <c r="B1038" s="123"/>
      <c r="C1038" s="123"/>
      <c r="D1038" s="127"/>
      <c r="E1038" s="107" t="s">
        <v>414</v>
      </c>
      <c r="F1038" s="111"/>
      <c r="G1038" s="108"/>
      <c r="H1038" s="58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</row>
    <row r="1039" ht="27.75" customHeight="1">
      <c r="A1039" s="102">
        <v>7.0</v>
      </c>
      <c r="B1039" s="123"/>
      <c r="C1039" s="123"/>
      <c r="D1039" s="107"/>
      <c r="E1039" s="107" t="s">
        <v>756</v>
      </c>
      <c r="F1039" s="108"/>
      <c r="G1039" s="108"/>
      <c r="H1039" s="58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</row>
    <row r="1040" ht="27.75" customHeight="1">
      <c r="A1040" s="102">
        <v>8.0</v>
      </c>
      <c r="B1040" s="123"/>
      <c r="C1040" s="123"/>
      <c r="D1040" s="107"/>
      <c r="E1040" s="107"/>
      <c r="F1040" s="108"/>
      <c r="G1040" s="108"/>
      <c r="H1040" s="58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</row>
    <row r="1041" ht="27.75" customHeight="1">
      <c r="A1041" s="102">
        <v>9.0</v>
      </c>
      <c r="B1041" s="123"/>
      <c r="C1041" s="123"/>
      <c r="D1041" s="107"/>
      <c r="E1041" s="107"/>
      <c r="F1041" s="108"/>
      <c r="G1041" s="108"/>
      <c r="H1041" s="58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</row>
    <row r="1042" ht="27.75" customHeight="1">
      <c r="A1042" s="102">
        <v>10.0</v>
      </c>
      <c r="B1042" s="123"/>
      <c r="C1042" s="123"/>
      <c r="D1042" s="107"/>
      <c r="E1042" s="107"/>
      <c r="F1042" s="108"/>
      <c r="G1042" s="108"/>
      <c r="H1042" s="58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</row>
    <row r="1043" ht="27.75" customHeight="1">
      <c r="A1043" s="102">
        <v>11.0</v>
      </c>
      <c r="B1043" s="123"/>
      <c r="C1043" s="123"/>
      <c r="D1043" s="107"/>
      <c r="E1043" s="107"/>
      <c r="F1043" s="108"/>
      <c r="G1043" s="108"/>
      <c r="H1043" s="58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</row>
    <row r="1044" ht="27.75" customHeight="1">
      <c r="A1044" s="102">
        <v>12.0</v>
      </c>
      <c r="B1044" s="123"/>
      <c r="C1044" s="123"/>
      <c r="D1044" s="107"/>
      <c r="E1044" s="107"/>
      <c r="F1044" s="108"/>
      <c r="G1044" s="108"/>
      <c r="H1044" s="58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</row>
    <row r="1045" ht="27.75" customHeight="1">
      <c r="A1045" s="102">
        <v>13.0</v>
      </c>
      <c r="B1045" s="123"/>
      <c r="C1045" s="123"/>
      <c r="D1045" s="107"/>
      <c r="E1045" s="107"/>
      <c r="F1045" s="108"/>
      <c r="G1045" s="108"/>
      <c r="H1045" s="58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</row>
    <row r="1046" ht="27.75" customHeight="1">
      <c r="A1046" s="102">
        <v>14.0</v>
      </c>
      <c r="B1046" s="123"/>
      <c r="C1046" s="123"/>
      <c r="D1046" s="107"/>
      <c r="E1046" s="107"/>
      <c r="F1046" s="108"/>
      <c r="G1046" s="108"/>
      <c r="H1046" s="58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</row>
    <row r="1047" ht="27.75" customHeight="1">
      <c r="A1047" s="102">
        <v>15.0</v>
      </c>
      <c r="B1047" s="123"/>
      <c r="C1047" s="123"/>
      <c r="D1047" s="107"/>
      <c r="E1047" s="107"/>
      <c r="F1047" s="108"/>
      <c r="G1047" s="108"/>
      <c r="H1047" s="58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</row>
    <row r="1048" ht="27.75" customHeight="1">
      <c r="A1048" s="58"/>
      <c r="B1048" s="149"/>
      <c r="C1048" s="58"/>
      <c r="D1048" s="58"/>
      <c r="E1048" s="102" t="s">
        <v>144</v>
      </c>
      <c r="F1048" s="150"/>
      <c r="G1048" s="58"/>
      <c r="H1048" s="58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</row>
    <row r="1049" ht="27.75" customHeight="1">
      <c r="A1049" s="58"/>
      <c r="B1049" s="149"/>
      <c r="C1049" s="58"/>
      <c r="D1049" s="58"/>
      <c r="E1049" s="102" t="s">
        <v>145</v>
      </c>
      <c r="F1049" s="151" t="s">
        <v>757</v>
      </c>
      <c r="G1049" s="58"/>
      <c r="H1049" s="58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</row>
    <row r="1050" ht="27.75" customHeight="1">
      <c r="A1050" s="58"/>
      <c r="B1050" s="149"/>
      <c r="C1050" s="58"/>
      <c r="D1050" s="58"/>
      <c r="E1050" s="102" t="s">
        <v>146</v>
      </c>
      <c r="F1050" s="151"/>
      <c r="G1050" s="58"/>
      <c r="H1050" s="58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</row>
    <row r="1051" ht="27.75" customHeight="1">
      <c r="A1051" s="58"/>
      <c r="B1051" s="149"/>
      <c r="C1051" s="58"/>
      <c r="D1051" s="58"/>
      <c r="E1051" s="102" t="s">
        <v>147</v>
      </c>
      <c r="F1051" s="150">
        <v>200.0</v>
      </c>
      <c r="G1051" s="58"/>
      <c r="H1051" s="58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</row>
    <row r="1052" ht="27.75" customHeight="1">
      <c r="A1052" s="58"/>
      <c r="B1052" s="149"/>
      <c r="C1052" s="58"/>
      <c r="D1052" s="58"/>
      <c r="E1052" s="102" t="s">
        <v>148</v>
      </c>
      <c r="F1052" s="151" t="s">
        <v>758</v>
      </c>
      <c r="G1052" s="58"/>
      <c r="H1052" s="58"/>
      <c r="I1052" s="59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</row>
    <row r="1053" ht="27.75" customHeight="1">
      <c r="A1053" s="58"/>
      <c r="B1053" s="149"/>
      <c r="C1053" s="58"/>
      <c r="D1053" s="58"/>
      <c r="E1053" s="58"/>
      <c r="F1053" s="58"/>
      <c r="G1053" s="58"/>
      <c r="H1053" s="58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</row>
    <row r="1054" ht="27.75" customHeight="1">
      <c r="A1054" s="151" t="s">
        <v>4</v>
      </c>
      <c r="B1054" s="102" t="s">
        <v>5</v>
      </c>
      <c r="C1054" s="102" t="s">
        <v>126</v>
      </c>
      <c r="D1054" s="102" t="s">
        <v>6</v>
      </c>
      <c r="E1054" s="102" t="s">
        <v>7</v>
      </c>
      <c r="F1054" s="102" t="s">
        <v>127</v>
      </c>
      <c r="G1054" s="102" t="s">
        <v>128</v>
      </c>
      <c r="H1054" s="58"/>
      <c r="I1054" s="59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</row>
    <row r="1055" ht="27.75" customHeight="1">
      <c r="A1055" s="102">
        <v>1.0</v>
      </c>
      <c r="B1055" s="147">
        <v>46131.0</v>
      </c>
      <c r="C1055" s="148" t="s">
        <v>561</v>
      </c>
      <c r="D1055" s="107" t="s">
        <v>193</v>
      </c>
      <c r="E1055" s="107" t="s">
        <v>759</v>
      </c>
      <c r="F1055" s="108" t="s">
        <v>760</v>
      </c>
      <c r="G1055" s="111"/>
      <c r="H1055" s="58"/>
      <c r="I1055" s="59"/>
      <c r="J1055" s="59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</row>
    <row r="1056" ht="27.75" customHeight="1">
      <c r="A1056" s="102">
        <v>2.0</v>
      </c>
      <c r="B1056" s="123"/>
      <c r="C1056" s="123"/>
      <c r="D1056" s="107"/>
      <c r="E1056" s="107" t="s">
        <v>761</v>
      </c>
      <c r="F1056" s="111"/>
      <c r="G1056" s="111"/>
      <c r="H1056" s="58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</row>
    <row r="1057" ht="27.75" customHeight="1">
      <c r="A1057" s="102">
        <v>3.0</v>
      </c>
      <c r="B1057" s="123"/>
      <c r="C1057" s="123"/>
      <c r="D1057" s="107"/>
      <c r="E1057" s="107" t="s">
        <v>762</v>
      </c>
      <c r="F1057" s="108"/>
      <c r="G1057" s="111"/>
      <c r="H1057" s="58"/>
      <c r="I1057" s="59"/>
      <c r="J1057" s="59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</row>
    <row r="1058" ht="27.75" customHeight="1">
      <c r="A1058" s="102">
        <v>4.0</v>
      </c>
      <c r="B1058" s="123"/>
      <c r="C1058" s="123"/>
      <c r="D1058" s="107"/>
      <c r="E1058" s="107" t="s">
        <v>763</v>
      </c>
      <c r="F1058" s="111"/>
      <c r="G1058" s="111"/>
      <c r="H1058" s="58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</row>
    <row r="1059" ht="27.75" customHeight="1">
      <c r="A1059" s="102">
        <v>5.0</v>
      </c>
      <c r="B1059" s="123"/>
      <c r="C1059" s="123"/>
      <c r="D1059" s="107"/>
      <c r="E1059" s="107" t="s">
        <v>764</v>
      </c>
      <c r="F1059" s="111"/>
      <c r="G1059" s="111"/>
      <c r="H1059" s="58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</row>
    <row r="1060" ht="27.75" customHeight="1">
      <c r="A1060" s="102">
        <v>6.0</v>
      </c>
      <c r="B1060" s="123"/>
      <c r="C1060" s="123"/>
      <c r="D1060" s="127"/>
      <c r="E1060" s="107" t="s">
        <v>765</v>
      </c>
      <c r="F1060" s="111"/>
      <c r="G1060" s="108"/>
      <c r="H1060" s="58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</row>
    <row r="1061" ht="27.75" customHeight="1">
      <c r="A1061" s="102">
        <v>7.0</v>
      </c>
      <c r="B1061" s="123"/>
      <c r="C1061" s="123"/>
      <c r="D1061" s="107"/>
      <c r="E1061" s="107" t="s">
        <v>713</v>
      </c>
      <c r="F1061" s="108"/>
      <c r="G1061" s="108"/>
      <c r="H1061" s="58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</row>
    <row r="1062" ht="27.75" customHeight="1">
      <c r="A1062" s="102">
        <v>8.0</v>
      </c>
      <c r="B1062" s="123"/>
      <c r="C1062" s="123"/>
      <c r="D1062" s="107"/>
      <c r="E1062" s="107" t="s">
        <v>766</v>
      </c>
      <c r="F1062" s="108">
        <v>40.0</v>
      </c>
      <c r="G1062" s="108"/>
      <c r="H1062" s="58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</row>
    <row r="1063" ht="27.75" customHeight="1">
      <c r="A1063" s="102">
        <v>9.0</v>
      </c>
      <c r="B1063" s="123"/>
      <c r="C1063" s="123"/>
      <c r="D1063" s="107"/>
      <c r="E1063" s="107" t="s">
        <v>767</v>
      </c>
      <c r="F1063" s="108"/>
      <c r="G1063" s="111" t="s">
        <v>768</v>
      </c>
      <c r="H1063" s="58"/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</row>
    <row r="1064" ht="27.75" customHeight="1">
      <c r="A1064" s="102">
        <v>10.0</v>
      </c>
      <c r="B1064" s="123"/>
      <c r="C1064" s="123"/>
      <c r="D1064" s="107"/>
      <c r="E1064" s="107" t="s">
        <v>769</v>
      </c>
      <c r="F1064" s="108">
        <v>35.0</v>
      </c>
      <c r="G1064" s="108"/>
      <c r="H1064" s="58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</row>
    <row r="1065" ht="27.75" customHeight="1">
      <c r="A1065" s="102">
        <v>11.0</v>
      </c>
      <c r="B1065" s="123"/>
      <c r="C1065" s="123"/>
      <c r="D1065" s="107"/>
      <c r="E1065" s="107"/>
      <c r="F1065" s="108"/>
      <c r="G1065" s="108"/>
      <c r="H1065" s="58"/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</row>
    <row r="1066" ht="27.75" customHeight="1">
      <c r="A1066" s="102">
        <v>12.0</v>
      </c>
      <c r="B1066" s="123"/>
      <c r="C1066" s="123"/>
      <c r="D1066" s="107"/>
      <c r="E1066" s="107"/>
      <c r="F1066" s="108"/>
      <c r="G1066" s="108"/>
      <c r="H1066" s="58"/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</row>
    <row r="1067" ht="27.75" customHeight="1">
      <c r="A1067" s="102">
        <v>13.0</v>
      </c>
      <c r="B1067" s="123"/>
      <c r="C1067" s="123"/>
      <c r="D1067" s="107"/>
      <c r="E1067" s="107"/>
      <c r="F1067" s="108"/>
      <c r="G1067" s="108"/>
      <c r="H1067" s="58"/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</row>
    <row r="1068" ht="27.75" customHeight="1">
      <c r="A1068" s="102">
        <v>14.0</v>
      </c>
      <c r="B1068" s="123"/>
      <c r="C1068" s="123"/>
      <c r="D1068" s="107"/>
      <c r="E1068" s="107"/>
      <c r="F1068" s="108"/>
      <c r="G1068" s="108"/>
      <c r="H1068" s="58"/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</row>
    <row r="1069" ht="27.75" customHeight="1">
      <c r="A1069" s="102">
        <v>15.0</v>
      </c>
      <c r="B1069" s="123"/>
      <c r="C1069" s="123"/>
      <c r="D1069" s="107"/>
      <c r="E1069" s="107"/>
      <c r="F1069" s="108"/>
      <c r="G1069" s="108"/>
      <c r="H1069" s="58"/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</row>
    <row r="1070" ht="27.75" customHeight="1">
      <c r="A1070" s="58"/>
      <c r="B1070" s="149"/>
      <c r="C1070" s="58"/>
      <c r="D1070" s="58"/>
      <c r="E1070" s="102" t="s">
        <v>144</v>
      </c>
      <c r="F1070" s="150"/>
      <c r="G1070" s="58"/>
      <c r="H1070" s="58"/>
      <c r="I1070" s="59"/>
      <c r="J1070" s="59"/>
      <c r="K1070" s="59"/>
      <c r="L1070" s="59"/>
      <c r="M1070" s="59"/>
      <c r="N1070" s="59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</row>
    <row r="1071" ht="27.75" customHeight="1">
      <c r="A1071" s="58"/>
      <c r="B1071" s="149"/>
      <c r="C1071" s="58"/>
      <c r="D1071" s="58"/>
      <c r="E1071" s="102" t="s">
        <v>145</v>
      </c>
      <c r="F1071" s="150">
        <v>1450.0</v>
      </c>
      <c r="G1071" s="58"/>
      <c r="H1071" s="58"/>
      <c r="I1071" s="59"/>
      <c r="J1071" s="59"/>
      <c r="K1071" s="59"/>
      <c r="L1071" s="59"/>
      <c r="M1071" s="59"/>
      <c r="N1071" s="59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</row>
    <row r="1072" ht="27.75" customHeight="1">
      <c r="A1072" s="58"/>
      <c r="B1072" s="149"/>
      <c r="C1072" s="58"/>
      <c r="D1072" s="58"/>
      <c r="E1072" s="102" t="s">
        <v>146</v>
      </c>
      <c r="F1072" s="151"/>
      <c r="G1072" s="58"/>
      <c r="H1072" s="58"/>
      <c r="I1072" s="59"/>
      <c r="J1072" s="59"/>
      <c r="K1072" s="59"/>
      <c r="L1072" s="59"/>
      <c r="M1072" s="59"/>
      <c r="N1072" s="59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</row>
    <row r="1073" ht="27.75" customHeight="1">
      <c r="A1073" s="58"/>
      <c r="B1073" s="149"/>
      <c r="C1073" s="58"/>
      <c r="D1073" s="58"/>
      <c r="E1073" s="102" t="s">
        <v>147</v>
      </c>
      <c r="F1073" s="150">
        <v>250.0</v>
      </c>
      <c r="G1073" s="58"/>
      <c r="H1073" s="58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</row>
    <row r="1074" ht="27.75" customHeight="1">
      <c r="A1074" s="58"/>
      <c r="B1074" s="149"/>
      <c r="C1074" s="58"/>
      <c r="D1074" s="58"/>
      <c r="E1074" s="102" t="s">
        <v>148</v>
      </c>
      <c r="F1074" s="150">
        <v>1200.0</v>
      </c>
      <c r="G1074" s="58"/>
      <c r="H1074" s="58"/>
      <c r="I1074" s="59"/>
      <c r="J1074" s="59"/>
      <c r="K1074" s="59"/>
      <c r="L1074" s="59"/>
      <c r="M1074" s="59"/>
      <c r="N1074" s="59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</row>
    <row r="1075" ht="27.75" customHeight="1">
      <c r="A1075" s="58"/>
      <c r="B1075" s="149"/>
      <c r="C1075" s="58"/>
      <c r="D1075" s="58"/>
      <c r="E1075" s="58"/>
      <c r="F1075" s="58"/>
      <c r="G1075" s="58"/>
      <c r="H1075" s="58"/>
      <c r="I1075" s="59"/>
      <c r="J1075" s="59"/>
      <c r="K1075" s="59"/>
      <c r="L1075" s="59"/>
      <c r="M1075" s="59"/>
      <c r="N1075" s="59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</row>
    <row r="1076" ht="27.75" customHeight="1">
      <c r="A1076" s="58"/>
      <c r="B1076" s="149"/>
      <c r="C1076" s="58"/>
      <c r="D1076" s="58"/>
      <c r="E1076" s="58"/>
      <c r="F1076" s="58"/>
      <c r="G1076" s="58"/>
      <c r="H1076" s="58"/>
      <c r="I1076" s="59"/>
      <c r="J1076" s="59"/>
      <c r="K1076" s="59"/>
      <c r="L1076" s="59"/>
      <c r="M1076" s="59"/>
      <c r="N1076" s="59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</row>
    <row r="1077" ht="27.75" customHeight="1">
      <c r="A1077" s="151" t="s">
        <v>4</v>
      </c>
      <c r="B1077" s="102" t="s">
        <v>5</v>
      </c>
      <c r="C1077" s="102" t="s">
        <v>126</v>
      </c>
      <c r="D1077" s="102" t="s">
        <v>6</v>
      </c>
      <c r="E1077" s="102" t="s">
        <v>7</v>
      </c>
      <c r="F1077" s="102" t="s">
        <v>127</v>
      </c>
      <c r="G1077" s="102" t="s">
        <v>128</v>
      </c>
      <c r="H1077" s="58"/>
      <c r="I1077" s="59"/>
      <c r="J1077" s="59"/>
      <c r="K1077" s="59"/>
      <c r="L1077" s="59"/>
      <c r="M1077" s="59"/>
      <c r="N1077" s="59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</row>
    <row r="1078" ht="27.75" customHeight="1">
      <c r="A1078" s="102">
        <v>1.0</v>
      </c>
      <c r="B1078" s="147">
        <v>46132.0</v>
      </c>
      <c r="C1078" s="148" t="s">
        <v>149</v>
      </c>
      <c r="D1078" s="107" t="s">
        <v>193</v>
      </c>
      <c r="E1078" s="107" t="s">
        <v>770</v>
      </c>
      <c r="F1078" s="111" t="s">
        <v>771</v>
      </c>
      <c r="G1078" s="111"/>
      <c r="H1078" s="58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</row>
    <row r="1079" ht="27.75" customHeight="1">
      <c r="A1079" s="102">
        <v>2.0</v>
      </c>
      <c r="B1079" s="123"/>
      <c r="C1079" s="123"/>
      <c r="D1079" s="107"/>
      <c r="E1079" s="107" t="s">
        <v>772</v>
      </c>
      <c r="F1079" s="108">
        <v>30.0</v>
      </c>
      <c r="G1079" s="111"/>
      <c r="H1079" s="58"/>
      <c r="I1079" s="59"/>
      <c r="J1079" s="59"/>
      <c r="K1079" s="59"/>
      <c r="L1079" s="59"/>
      <c r="M1079" s="59"/>
      <c r="N1079" s="59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</row>
    <row r="1080" ht="27.75" customHeight="1">
      <c r="A1080" s="102">
        <v>3.0</v>
      </c>
      <c r="B1080" s="123"/>
      <c r="C1080" s="123"/>
      <c r="D1080" s="107"/>
      <c r="E1080" s="107" t="s">
        <v>773</v>
      </c>
      <c r="F1080" s="108">
        <v>35.0</v>
      </c>
      <c r="G1080" s="111"/>
      <c r="H1080" s="58"/>
      <c r="I1080" s="59"/>
      <c r="J1080" s="59"/>
      <c r="K1080" s="59"/>
      <c r="L1080" s="59"/>
      <c r="M1080" s="59"/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</row>
    <row r="1081" ht="27.75" customHeight="1">
      <c r="A1081" s="102">
        <v>4.0</v>
      </c>
      <c r="B1081" s="123"/>
      <c r="C1081" s="123"/>
      <c r="D1081" s="107"/>
      <c r="E1081" s="107" t="s">
        <v>576</v>
      </c>
      <c r="F1081" s="108">
        <v>40.0</v>
      </c>
      <c r="G1081" s="111"/>
      <c r="H1081" s="58"/>
      <c r="I1081" s="59"/>
      <c r="J1081" s="59"/>
      <c r="K1081" s="59"/>
      <c r="L1081" s="59"/>
      <c r="M1081" s="59"/>
      <c r="N1081" s="59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</row>
    <row r="1082" ht="27.75" customHeight="1">
      <c r="A1082" s="102">
        <v>5.0</v>
      </c>
      <c r="B1082" s="123"/>
      <c r="C1082" s="123"/>
      <c r="D1082" s="107"/>
      <c r="E1082" s="107" t="s">
        <v>774</v>
      </c>
      <c r="F1082" s="108">
        <v>40.0</v>
      </c>
      <c r="G1082" s="111"/>
      <c r="H1082" s="58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</row>
    <row r="1083" ht="27.75" customHeight="1">
      <c r="A1083" s="102">
        <v>6.0</v>
      </c>
      <c r="B1083" s="123"/>
      <c r="C1083" s="123"/>
      <c r="D1083" s="127"/>
      <c r="E1083" s="107" t="s">
        <v>105</v>
      </c>
      <c r="F1083" s="108">
        <v>35.0</v>
      </c>
      <c r="G1083" s="108"/>
      <c r="H1083" s="58"/>
      <c r="I1083" s="59"/>
      <c r="J1083" s="59"/>
      <c r="K1083" s="59"/>
      <c r="L1083" s="59"/>
      <c r="M1083" s="59"/>
      <c r="N1083" s="59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</row>
    <row r="1084" ht="27.75" customHeight="1">
      <c r="A1084" s="102">
        <v>7.0</v>
      </c>
      <c r="B1084" s="123"/>
      <c r="C1084" s="123"/>
      <c r="D1084" s="107"/>
      <c r="E1084" s="107" t="s">
        <v>775</v>
      </c>
      <c r="F1084" s="111" t="s">
        <v>776</v>
      </c>
      <c r="G1084" s="108"/>
      <c r="H1084" s="58"/>
      <c r="I1084" s="59"/>
      <c r="J1084" s="59"/>
      <c r="K1084" s="59"/>
      <c r="L1084" s="59"/>
      <c r="M1084" s="59"/>
      <c r="N1084" s="59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</row>
    <row r="1085" ht="27.75" customHeight="1">
      <c r="A1085" s="102">
        <v>8.0</v>
      </c>
      <c r="B1085" s="123"/>
      <c r="C1085" s="123"/>
      <c r="D1085" s="107"/>
      <c r="E1085" s="107" t="s">
        <v>566</v>
      </c>
      <c r="F1085" s="108">
        <v>35.0</v>
      </c>
      <c r="G1085" s="108"/>
      <c r="H1085" s="58"/>
      <c r="I1085" s="59"/>
      <c r="J1085" s="59"/>
      <c r="K1085" s="59"/>
      <c r="L1085" s="59"/>
      <c r="M1085" s="59"/>
      <c r="N1085" s="59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</row>
    <row r="1086" ht="27.75" customHeight="1">
      <c r="A1086" s="102">
        <v>9.0</v>
      </c>
      <c r="B1086" s="123"/>
      <c r="C1086" s="123"/>
      <c r="D1086" s="107"/>
      <c r="E1086" s="107" t="s">
        <v>777</v>
      </c>
      <c r="F1086" s="111" t="s">
        <v>778</v>
      </c>
      <c r="G1086" s="108"/>
      <c r="H1086" s="58"/>
      <c r="I1086" s="59"/>
      <c r="J1086" s="59"/>
      <c r="K1086" s="59"/>
      <c r="L1086" s="59"/>
      <c r="M1086" s="59"/>
      <c r="N1086" s="59"/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</row>
    <row r="1087" ht="27.75" customHeight="1">
      <c r="A1087" s="102">
        <v>10.0</v>
      </c>
      <c r="B1087" s="123"/>
      <c r="C1087" s="123"/>
      <c r="D1087" s="107"/>
      <c r="E1087" s="107" t="s">
        <v>779</v>
      </c>
      <c r="F1087" s="108">
        <v>35.0</v>
      </c>
      <c r="G1087" s="108"/>
      <c r="H1087" s="58"/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</row>
    <row r="1088" ht="27.75" customHeight="1">
      <c r="A1088" s="102">
        <v>11.0</v>
      </c>
      <c r="B1088" s="123"/>
      <c r="C1088" s="123"/>
      <c r="D1088" s="107"/>
      <c r="E1088" s="107" t="s">
        <v>365</v>
      </c>
      <c r="F1088" s="108">
        <v>50.0</v>
      </c>
      <c r="G1088" s="108"/>
      <c r="H1088" s="58"/>
      <c r="I1088" s="59"/>
      <c r="J1088" s="59"/>
      <c r="K1088" s="59"/>
      <c r="L1088" s="59"/>
      <c r="M1088" s="59"/>
      <c r="N1088" s="59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</row>
    <row r="1089" ht="27.75" customHeight="1">
      <c r="A1089" s="102">
        <v>12.0</v>
      </c>
      <c r="B1089" s="123"/>
      <c r="C1089" s="123"/>
      <c r="D1089" s="107"/>
      <c r="E1089" s="107" t="s">
        <v>713</v>
      </c>
      <c r="F1089" s="108"/>
      <c r="G1089" s="108"/>
      <c r="H1089" s="58"/>
      <c r="I1089" s="59"/>
      <c r="J1089" s="59"/>
      <c r="K1089" s="59"/>
      <c r="L1089" s="59"/>
      <c r="M1089" s="59"/>
      <c r="N1089" s="59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</row>
    <row r="1090" ht="27.75" customHeight="1">
      <c r="A1090" s="102">
        <v>13.0</v>
      </c>
      <c r="B1090" s="123"/>
      <c r="C1090" s="123"/>
      <c r="D1090" s="107"/>
      <c r="E1090" s="107"/>
      <c r="F1090" s="108"/>
      <c r="G1090" s="108"/>
      <c r="H1090" s="58"/>
      <c r="I1090" s="59"/>
      <c r="J1090" s="59"/>
      <c r="K1090" s="59"/>
      <c r="L1090" s="59"/>
      <c r="M1090" s="59"/>
      <c r="N1090" s="59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</row>
    <row r="1091" ht="27.75" customHeight="1">
      <c r="A1091" s="102">
        <v>14.0</v>
      </c>
      <c r="B1091" s="123"/>
      <c r="C1091" s="123"/>
      <c r="D1091" s="107"/>
      <c r="E1091" s="107"/>
      <c r="F1091" s="108"/>
      <c r="G1091" s="108"/>
      <c r="H1091" s="58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</row>
    <row r="1092" ht="27.75" customHeight="1">
      <c r="A1092" s="102">
        <v>15.0</v>
      </c>
      <c r="B1092" s="123"/>
      <c r="C1092" s="123"/>
      <c r="D1092" s="107"/>
      <c r="E1092" s="107"/>
      <c r="F1092" s="108"/>
      <c r="G1092" s="108"/>
      <c r="H1092" s="58"/>
      <c r="I1092" s="59"/>
      <c r="J1092" s="59"/>
      <c r="K1092" s="59"/>
      <c r="L1092" s="59"/>
      <c r="M1092" s="59"/>
      <c r="N1092" s="59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</row>
    <row r="1093" ht="27.75" customHeight="1">
      <c r="A1093" s="58"/>
      <c r="B1093" s="149"/>
      <c r="C1093" s="58"/>
      <c r="D1093" s="58"/>
      <c r="E1093" s="102" t="s">
        <v>144</v>
      </c>
      <c r="F1093" s="150">
        <v>1200.0</v>
      </c>
      <c r="G1093" s="58"/>
      <c r="H1093" s="58"/>
      <c r="I1093" s="59"/>
      <c r="J1093" s="59"/>
      <c r="K1093" s="59"/>
      <c r="L1093" s="59"/>
      <c r="M1093" s="59"/>
      <c r="N1093" s="59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</row>
    <row r="1094" ht="27.75" customHeight="1">
      <c r="A1094" s="58"/>
      <c r="B1094" s="149"/>
      <c r="C1094" s="58"/>
      <c r="D1094" s="58"/>
      <c r="E1094" s="102" t="s">
        <v>145</v>
      </c>
      <c r="F1094" s="150">
        <v>350.0</v>
      </c>
      <c r="G1094" s="58"/>
      <c r="H1094" s="58"/>
      <c r="I1094" s="59"/>
      <c r="J1094" s="59"/>
      <c r="K1094" s="59"/>
      <c r="L1094" s="59"/>
      <c r="M1094" s="59"/>
      <c r="N1094" s="59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</row>
    <row r="1095" ht="27.75" customHeight="1">
      <c r="A1095" s="58"/>
      <c r="B1095" s="149"/>
      <c r="C1095" s="58"/>
      <c r="D1095" s="58"/>
      <c r="E1095" s="102" t="s">
        <v>146</v>
      </c>
      <c r="F1095" s="151"/>
      <c r="G1095" s="58"/>
      <c r="H1095" s="58"/>
      <c r="I1095" s="59"/>
      <c r="J1095" s="59"/>
      <c r="K1095" s="59"/>
      <c r="L1095" s="59"/>
      <c r="M1095" s="59"/>
      <c r="N1095" s="59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</row>
    <row r="1096" ht="27.75" customHeight="1">
      <c r="A1096" s="58"/>
      <c r="B1096" s="149"/>
      <c r="C1096" s="58"/>
      <c r="D1096" s="58"/>
      <c r="E1096" s="102" t="s">
        <v>147</v>
      </c>
      <c r="F1096" s="150">
        <v>250.0</v>
      </c>
      <c r="G1096" s="58"/>
      <c r="H1096" s="58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</row>
    <row r="1097" ht="27.75" customHeight="1">
      <c r="A1097" s="58"/>
      <c r="B1097" s="149"/>
      <c r="C1097" s="58"/>
      <c r="D1097" s="58"/>
      <c r="E1097" s="102" t="s">
        <v>148</v>
      </c>
      <c r="F1097" s="150">
        <v>100.0</v>
      </c>
      <c r="G1097" s="58"/>
      <c r="H1097" s="58"/>
      <c r="I1097" s="59"/>
      <c r="J1097" s="59"/>
      <c r="K1097" s="59"/>
      <c r="L1097" s="59"/>
      <c r="M1097" s="59"/>
      <c r="N1097" s="59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</row>
    <row r="1098" ht="27.75" customHeight="1">
      <c r="A1098" s="58"/>
      <c r="B1098" s="149"/>
      <c r="C1098" s="58"/>
      <c r="D1098" s="58"/>
      <c r="E1098" s="58"/>
      <c r="F1098" s="58"/>
      <c r="G1098" s="58"/>
      <c r="H1098" s="58"/>
      <c r="I1098" s="59"/>
      <c r="J1098" s="59"/>
      <c r="K1098" s="59"/>
      <c r="L1098" s="59"/>
      <c r="M1098" s="59"/>
      <c r="N1098" s="59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</row>
    <row r="1099" ht="27.75" customHeight="1">
      <c r="A1099" s="151" t="s">
        <v>4</v>
      </c>
      <c r="B1099" s="102" t="s">
        <v>5</v>
      </c>
      <c r="C1099" s="102" t="s">
        <v>126</v>
      </c>
      <c r="D1099" s="102" t="s">
        <v>6</v>
      </c>
      <c r="E1099" s="102" t="s">
        <v>7</v>
      </c>
      <c r="F1099" s="102" t="s">
        <v>127</v>
      </c>
      <c r="G1099" s="102" t="s">
        <v>128</v>
      </c>
      <c r="H1099" s="58"/>
      <c r="I1099" s="59"/>
      <c r="J1099" s="59"/>
      <c r="K1099" s="59"/>
      <c r="L1099" s="59"/>
      <c r="M1099" s="59"/>
      <c r="N1099" s="59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</row>
    <row r="1100" ht="27.75" customHeight="1">
      <c r="A1100" s="102">
        <v>1.0</v>
      </c>
      <c r="B1100" s="147">
        <v>46133.0</v>
      </c>
      <c r="C1100" s="148" t="s">
        <v>169</v>
      </c>
      <c r="D1100" s="107" t="s">
        <v>193</v>
      </c>
      <c r="E1100" s="107" t="s">
        <v>780</v>
      </c>
      <c r="F1100" s="108">
        <v>40.0</v>
      </c>
      <c r="G1100" s="111"/>
      <c r="H1100" s="58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</row>
    <row r="1101" ht="27.75" customHeight="1">
      <c r="A1101" s="102">
        <v>2.0</v>
      </c>
      <c r="B1101" s="123"/>
      <c r="C1101" s="123"/>
      <c r="D1101" s="107"/>
      <c r="E1101" s="107" t="s">
        <v>194</v>
      </c>
      <c r="F1101" s="108" t="s">
        <v>781</v>
      </c>
      <c r="G1101" s="111"/>
      <c r="H1101" s="58"/>
      <c r="I1101" s="59"/>
      <c r="J1101" s="59"/>
      <c r="K1101" s="59"/>
      <c r="L1101" s="59"/>
      <c r="M1101" s="59"/>
      <c r="N1101" s="59"/>
      <c r="O1101" s="59"/>
      <c r="P1101" s="59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</row>
    <row r="1102" ht="27.75" customHeight="1">
      <c r="A1102" s="102">
        <v>3.0</v>
      </c>
      <c r="B1102" s="123"/>
      <c r="C1102" s="123"/>
      <c r="D1102" s="107"/>
      <c r="E1102" s="107" t="s">
        <v>105</v>
      </c>
      <c r="F1102" s="108">
        <v>35.0</v>
      </c>
      <c r="G1102" s="111"/>
      <c r="H1102" s="58"/>
      <c r="I1102" s="59"/>
      <c r="J1102" s="59"/>
      <c r="K1102" s="59"/>
      <c r="L1102" s="59"/>
      <c r="M1102" s="59"/>
      <c r="N1102" s="59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</row>
    <row r="1103" ht="27.75" customHeight="1">
      <c r="A1103" s="102">
        <v>4.0</v>
      </c>
      <c r="B1103" s="123"/>
      <c r="C1103" s="123"/>
      <c r="D1103" s="107"/>
      <c r="E1103" s="107" t="s">
        <v>782</v>
      </c>
      <c r="F1103" s="108"/>
      <c r="G1103" s="111"/>
      <c r="H1103" s="58"/>
      <c r="I1103" s="59"/>
      <c r="J1103" s="59"/>
      <c r="K1103" s="59"/>
      <c r="L1103" s="59"/>
      <c r="M1103" s="59"/>
      <c r="N1103" s="59"/>
      <c r="O1103" s="59"/>
      <c r="P1103" s="59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</row>
    <row r="1104" ht="27.75" customHeight="1">
      <c r="A1104" s="102">
        <v>5.0</v>
      </c>
      <c r="B1104" s="123"/>
      <c r="C1104" s="123"/>
      <c r="D1104" s="107"/>
      <c r="E1104" s="107" t="s">
        <v>783</v>
      </c>
      <c r="F1104" s="108">
        <v>35.0</v>
      </c>
      <c r="G1104" s="111"/>
      <c r="H1104" s="58"/>
      <c r="I1104" s="59"/>
      <c r="J1104" s="59"/>
      <c r="K1104" s="59"/>
      <c r="L1104" s="59"/>
      <c r="M1104" s="59"/>
      <c r="N1104" s="59"/>
      <c r="O1104" s="59"/>
      <c r="P1104" s="59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</row>
    <row r="1105" ht="27.75" customHeight="1">
      <c r="A1105" s="102">
        <v>6.0</v>
      </c>
      <c r="B1105" s="123"/>
      <c r="C1105" s="123"/>
      <c r="D1105" s="127"/>
      <c r="E1105" s="107" t="s">
        <v>784</v>
      </c>
      <c r="F1105" s="108"/>
      <c r="G1105" s="108"/>
      <c r="H1105" s="58"/>
      <c r="I1105" s="59"/>
      <c r="J1105" s="59"/>
      <c r="K1105" s="59"/>
      <c r="L1105" s="59"/>
      <c r="M1105" s="59"/>
      <c r="N1105" s="59"/>
      <c r="O1105" s="59"/>
      <c r="P1105" s="59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</row>
    <row r="1106" ht="27.75" customHeight="1">
      <c r="A1106" s="102">
        <v>7.0</v>
      </c>
      <c r="B1106" s="123"/>
      <c r="C1106" s="123"/>
      <c r="D1106" s="107"/>
      <c r="E1106" s="107" t="s">
        <v>785</v>
      </c>
      <c r="F1106" s="108">
        <v>-1195.0</v>
      </c>
      <c r="G1106" s="108"/>
      <c r="H1106" s="58"/>
      <c r="I1106" s="59"/>
      <c r="J1106" s="59"/>
      <c r="K1106" s="59"/>
      <c r="L1106" s="59"/>
      <c r="M1106" s="59"/>
      <c r="N1106" s="59"/>
      <c r="O1106" s="59"/>
      <c r="P1106" s="59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</row>
    <row r="1107" ht="27.75" customHeight="1">
      <c r="A1107" s="102">
        <v>8.0</v>
      </c>
      <c r="B1107" s="123"/>
      <c r="C1107" s="123"/>
      <c r="D1107" s="107"/>
      <c r="E1107" s="107" t="s">
        <v>495</v>
      </c>
      <c r="F1107" s="108">
        <v>50.0</v>
      </c>
      <c r="G1107" s="108"/>
      <c r="H1107" s="58"/>
      <c r="I1107" s="59"/>
      <c r="J1107" s="59"/>
      <c r="K1107" s="59"/>
      <c r="L1107" s="59"/>
      <c r="M1107" s="59"/>
      <c r="N1107" s="59"/>
      <c r="O1107" s="59"/>
      <c r="P1107" s="59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</row>
    <row r="1108" ht="27.75" customHeight="1">
      <c r="A1108" s="102">
        <v>9.0</v>
      </c>
      <c r="B1108" s="123"/>
      <c r="C1108" s="123"/>
      <c r="D1108" s="107"/>
      <c r="E1108" s="107" t="s">
        <v>786</v>
      </c>
      <c r="F1108" s="111"/>
      <c r="G1108" s="108"/>
      <c r="H1108" s="58"/>
      <c r="I1108" s="59"/>
      <c r="J1108" s="59"/>
      <c r="K1108" s="59"/>
      <c r="L1108" s="59"/>
      <c r="M1108" s="59"/>
      <c r="N1108" s="59"/>
      <c r="O1108" s="59"/>
      <c r="P1108" s="59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</row>
    <row r="1109" ht="27.75" customHeight="1">
      <c r="A1109" s="102">
        <v>10.0</v>
      </c>
      <c r="B1109" s="123"/>
      <c r="C1109" s="123"/>
      <c r="D1109" s="107"/>
      <c r="E1109" s="107" t="s">
        <v>787</v>
      </c>
      <c r="F1109" s="111" t="s">
        <v>788</v>
      </c>
      <c r="G1109" s="108"/>
      <c r="H1109" s="58"/>
      <c r="I1109" s="59"/>
      <c r="J1109" s="59"/>
      <c r="K1109" s="59"/>
      <c r="L1109" s="59"/>
      <c r="M1109" s="59"/>
      <c r="N1109" s="59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</row>
    <row r="1110" ht="27.75" customHeight="1">
      <c r="A1110" s="102">
        <v>11.0</v>
      </c>
      <c r="B1110" s="123"/>
      <c r="C1110" s="123"/>
      <c r="D1110" s="107"/>
      <c r="E1110" s="107" t="s">
        <v>789</v>
      </c>
      <c r="F1110" s="108"/>
      <c r="G1110" s="108"/>
      <c r="H1110" s="58"/>
      <c r="I1110" s="59"/>
      <c r="J1110" s="59"/>
      <c r="K1110" s="59"/>
      <c r="L1110" s="59"/>
      <c r="M1110" s="59"/>
      <c r="N1110" s="59"/>
      <c r="O1110" s="59"/>
      <c r="P1110" s="59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</row>
    <row r="1111" ht="27.75" customHeight="1">
      <c r="A1111" s="102">
        <v>12.0</v>
      </c>
      <c r="B1111" s="123"/>
      <c r="C1111" s="123"/>
      <c r="D1111" s="107"/>
      <c r="E1111" s="107" t="s">
        <v>790</v>
      </c>
      <c r="F1111" s="108">
        <v>30.0</v>
      </c>
      <c r="G1111" s="108"/>
      <c r="H1111" s="58"/>
      <c r="I1111" s="59"/>
      <c r="J1111" s="59"/>
      <c r="K1111" s="59"/>
      <c r="L1111" s="59"/>
      <c r="M1111" s="59"/>
      <c r="N1111" s="59"/>
      <c r="O1111" s="59"/>
      <c r="P1111" s="59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</row>
    <row r="1112" ht="27.75" customHeight="1">
      <c r="A1112" s="102">
        <v>13.0</v>
      </c>
      <c r="B1112" s="123"/>
      <c r="C1112" s="123"/>
      <c r="D1112" s="107"/>
      <c r="E1112" s="107" t="s">
        <v>791</v>
      </c>
      <c r="F1112" s="108"/>
      <c r="G1112" s="108"/>
      <c r="H1112" s="58"/>
      <c r="I1112" s="59"/>
      <c r="J1112" s="59"/>
      <c r="K1112" s="59"/>
      <c r="L1112" s="59"/>
      <c r="M1112" s="59"/>
      <c r="N1112" s="59"/>
      <c r="O1112" s="59"/>
      <c r="P1112" s="59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</row>
    <row r="1113" ht="27.75" customHeight="1">
      <c r="A1113" s="102">
        <v>14.0</v>
      </c>
      <c r="B1113" s="123"/>
      <c r="C1113" s="123"/>
      <c r="D1113" s="107"/>
      <c r="E1113" s="107" t="s">
        <v>792</v>
      </c>
      <c r="F1113" s="108"/>
      <c r="G1113" s="108"/>
      <c r="H1113" s="58"/>
      <c r="I1113" s="59"/>
      <c r="J1113" s="59"/>
      <c r="K1113" s="59"/>
      <c r="L1113" s="59"/>
      <c r="M1113" s="59"/>
      <c r="N1113" s="59"/>
      <c r="O1113" s="59"/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</row>
    <row r="1114" ht="27.75" customHeight="1">
      <c r="A1114" s="102">
        <v>15.0</v>
      </c>
      <c r="B1114" s="123"/>
      <c r="C1114" s="123"/>
      <c r="D1114" s="107"/>
      <c r="E1114" s="107"/>
      <c r="F1114" s="108"/>
      <c r="G1114" s="108"/>
      <c r="H1114" s="58"/>
      <c r="I1114" s="59"/>
      <c r="J1114" s="59"/>
      <c r="K1114" s="59"/>
      <c r="L1114" s="59"/>
      <c r="M1114" s="59"/>
      <c r="N1114" s="59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</row>
    <row r="1115" ht="27.75" customHeight="1">
      <c r="A1115" s="58"/>
      <c r="B1115" s="149"/>
      <c r="C1115" s="58"/>
      <c r="D1115" s="58"/>
      <c r="E1115" s="102" t="s">
        <v>144</v>
      </c>
      <c r="F1115" s="150">
        <v>1000.0</v>
      </c>
      <c r="G1115" s="58"/>
      <c r="H1115" s="58"/>
      <c r="I1115" s="59"/>
      <c r="J1115" s="59"/>
      <c r="K1115" s="59"/>
      <c r="L1115" s="59"/>
      <c r="M1115" s="59"/>
      <c r="N1115" s="59"/>
      <c r="O1115" s="59"/>
      <c r="P1115" s="59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</row>
    <row r="1116" ht="27.75" customHeight="1">
      <c r="A1116" s="58"/>
      <c r="B1116" s="149"/>
      <c r="C1116" s="58"/>
      <c r="D1116" s="58"/>
      <c r="E1116" s="102" t="s">
        <v>145</v>
      </c>
      <c r="F1116" s="150">
        <v>1230.0</v>
      </c>
      <c r="G1116" s="58"/>
      <c r="H1116" s="58"/>
      <c r="I1116" s="59"/>
      <c r="J1116" s="59"/>
      <c r="K1116" s="59"/>
      <c r="L1116" s="59"/>
      <c r="M1116" s="59"/>
      <c r="N1116" s="59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</row>
    <row r="1117" ht="27.75" customHeight="1">
      <c r="A1117" s="58"/>
      <c r="B1117" s="149"/>
      <c r="C1117" s="58"/>
      <c r="D1117" s="58"/>
      <c r="E1117" s="102" t="s">
        <v>146</v>
      </c>
      <c r="F1117" s="151"/>
      <c r="G1117" s="58"/>
      <c r="H1117" s="58"/>
      <c r="I1117" s="59"/>
      <c r="J1117" s="59"/>
      <c r="K1117" s="59"/>
      <c r="L1117" s="59"/>
      <c r="M1117" s="59"/>
      <c r="N1117" s="59"/>
      <c r="O1117" s="59"/>
      <c r="P1117" s="59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</row>
    <row r="1118" ht="27.75" customHeight="1">
      <c r="A1118" s="58"/>
      <c r="B1118" s="149"/>
      <c r="C1118" s="58"/>
      <c r="D1118" s="58"/>
      <c r="E1118" s="102" t="s">
        <v>147</v>
      </c>
      <c r="F1118" s="150">
        <v>250.0</v>
      </c>
      <c r="G1118" s="58"/>
      <c r="H1118" s="58"/>
      <c r="I1118" s="59"/>
      <c r="J1118" s="59"/>
      <c r="K1118" s="59"/>
      <c r="L1118" s="59"/>
      <c r="M1118" s="59"/>
      <c r="N1118" s="59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</row>
    <row r="1119" ht="27.75" customHeight="1">
      <c r="A1119" s="58"/>
      <c r="B1119" s="149"/>
      <c r="C1119" s="58"/>
      <c r="D1119" s="58"/>
      <c r="E1119" s="102" t="s">
        <v>148</v>
      </c>
      <c r="F1119" s="150">
        <v>980.0</v>
      </c>
      <c r="G1119" s="58"/>
      <c r="H1119" s="58"/>
      <c r="I1119" s="59"/>
      <c r="J1119" s="59"/>
      <c r="K1119" s="59"/>
      <c r="L1119" s="59"/>
      <c r="M1119" s="59"/>
      <c r="N1119" s="59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</row>
    <row r="1120" ht="27.75" customHeight="1">
      <c r="A1120" s="58"/>
      <c r="B1120" s="149"/>
      <c r="C1120" s="58"/>
      <c r="D1120" s="58"/>
      <c r="E1120" s="58"/>
      <c r="F1120" s="58"/>
      <c r="G1120" s="58"/>
      <c r="H1120" s="58"/>
      <c r="I1120" s="59"/>
      <c r="J1120" s="59"/>
      <c r="K1120" s="59"/>
      <c r="L1120" s="59"/>
      <c r="M1120" s="59"/>
      <c r="N1120" s="59"/>
      <c r="O1120" s="59"/>
      <c r="P1120" s="59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</row>
    <row r="1121" ht="27.75" customHeight="1">
      <c r="A1121" s="58"/>
      <c r="B1121" s="149"/>
      <c r="C1121" s="58"/>
      <c r="D1121" s="58"/>
      <c r="E1121" s="58"/>
      <c r="F1121" s="58"/>
      <c r="G1121" s="58"/>
      <c r="H1121" s="58"/>
      <c r="I1121" s="59"/>
      <c r="J1121" s="59"/>
      <c r="K1121" s="59"/>
      <c r="L1121" s="59"/>
      <c r="M1121" s="59"/>
      <c r="N1121" s="59"/>
      <c r="O1121" s="59"/>
      <c r="P1121" s="59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</row>
    <row r="1122" ht="27.75" customHeight="1">
      <c r="A1122" s="58"/>
      <c r="B1122" s="149"/>
      <c r="C1122" s="58"/>
      <c r="D1122" s="58"/>
      <c r="E1122" s="58"/>
      <c r="F1122" s="58"/>
      <c r="G1122" s="58"/>
      <c r="H1122" s="58"/>
      <c r="I1122" s="59"/>
      <c r="J1122" s="59"/>
      <c r="K1122" s="59"/>
      <c r="L1122" s="59"/>
      <c r="M1122" s="59"/>
      <c r="N1122" s="59"/>
      <c r="O1122" s="59"/>
      <c r="P1122" s="59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</row>
    <row r="1123" ht="27.75" customHeight="1">
      <c r="A1123" s="58"/>
      <c r="B1123" s="149"/>
      <c r="C1123" s="58"/>
      <c r="D1123" s="58"/>
      <c r="E1123" s="58"/>
      <c r="F1123" s="58"/>
      <c r="G1123" s="58"/>
      <c r="H1123" s="58"/>
      <c r="I1123" s="59"/>
      <c r="J1123" s="59"/>
      <c r="K1123" s="59"/>
      <c r="L1123" s="59"/>
      <c r="M1123" s="59"/>
      <c r="N1123" s="59"/>
      <c r="O1123" s="59"/>
      <c r="P1123" s="59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</row>
    <row r="1124" ht="27.75" customHeight="1">
      <c r="A1124" s="58"/>
      <c r="B1124" s="149"/>
      <c r="C1124" s="58"/>
      <c r="D1124" s="58"/>
      <c r="E1124" s="58"/>
      <c r="F1124" s="58"/>
      <c r="G1124" s="58"/>
      <c r="H1124" s="58"/>
      <c r="I1124" s="59"/>
      <c r="J1124" s="59"/>
      <c r="K1124" s="59"/>
      <c r="L1124" s="59"/>
      <c r="M1124" s="59"/>
      <c r="N1124" s="59"/>
      <c r="O1124" s="59"/>
      <c r="P1124" s="59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</row>
    <row r="1125" ht="27.75" customHeight="1">
      <c r="A1125" s="58"/>
      <c r="B1125" s="149"/>
      <c r="C1125" s="58"/>
      <c r="D1125" s="58"/>
      <c r="E1125" s="58"/>
      <c r="F1125" s="58"/>
      <c r="G1125" s="58"/>
      <c r="H1125" s="58"/>
      <c r="I1125" s="59"/>
      <c r="J1125" s="59"/>
      <c r="K1125" s="59"/>
      <c r="L1125" s="59"/>
      <c r="M1125" s="59"/>
      <c r="N1125" s="59"/>
      <c r="O1125" s="59"/>
      <c r="P1125" s="59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</row>
    <row r="1126" ht="27.75" customHeight="1">
      <c r="A1126" s="58"/>
      <c r="B1126" s="149"/>
      <c r="C1126" s="58"/>
      <c r="D1126" s="58"/>
      <c r="E1126" s="58"/>
      <c r="F1126" s="58"/>
      <c r="G1126" s="58"/>
      <c r="H1126" s="58"/>
      <c r="I1126" s="59"/>
      <c r="J1126" s="59"/>
      <c r="K1126" s="59"/>
      <c r="L1126" s="59"/>
      <c r="M1126" s="59"/>
      <c r="N1126" s="59"/>
      <c r="O1126" s="59"/>
      <c r="P1126" s="59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</row>
    <row r="1127" ht="27.75" customHeight="1">
      <c r="A1127" s="58"/>
      <c r="B1127" s="149"/>
      <c r="C1127" s="58"/>
      <c r="D1127" s="58"/>
      <c r="E1127" s="58"/>
      <c r="F1127" s="58"/>
      <c r="G1127" s="58"/>
      <c r="H1127" s="58"/>
      <c r="I1127" s="59"/>
      <c r="J1127" s="59"/>
      <c r="K1127" s="59"/>
      <c r="L1127" s="59"/>
      <c r="M1127" s="59"/>
      <c r="N1127" s="59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</row>
    <row r="1128" ht="27.75" customHeight="1">
      <c r="A1128" s="58"/>
      <c r="B1128" s="149"/>
      <c r="C1128" s="58"/>
      <c r="D1128" s="58"/>
      <c r="E1128" s="58"/>
      <c r="F1128" s="58"/>
      <c r="G1128" s="58"/>
      <c r="H1128" s="58"/>
      <c r="I1128" s="59"/>
      <c r="J1128" s="59"/>
      <c r="K1128" s="59"/>
      <c r="L1128" s="59"/>
      <c r="M1128" s="59"/>
      <c r="N1128" s="59"/>
      <c r="O1128" s="59"/>
      <c r="P1128" s="59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</row>
    <row r="1129" ht="27.75" customHeight="1">
      <c r="A1129" s="58"/>
      <c r="B1129" s="149"/>
      <c r="C1129" s="58"/>
      <c r="D1129" s="58"/>
      <c r="E1129" s="58"/>
      <c r="F1129" s="58"/>
      <c r="G1129" s="58"/>
      <c r="H1129" s="58"/>
      <c r="I1129" s="59"/>
      <c r="J1129" s="59"/>
      <c r="K1129" s="59"/>
      <c r="L1129" s="59"/>
      <c r="M1129" s="59"/>
      <c r="N1129" s="59"/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</row>
    <row r="1130" ht="27.75" customHeight="1">
      <c r="A1130" s="58"/>
      <c r="B1130" s="149"/>
      <c r="C1130" s="58"/>
      <c r="D1130" s="58"/>
      <c r="E1130" s="58"/>
      <c r="F1130" s="58"/>
      <c r="G1130" s="58"/>
      <c r="H1130" s="58"/>
      <c r="I1130" s="59"/>
      <c r="J1130" s="59"/>
      <c r="K1130" s="59"/>
      <c r="L1130" s="59"/>
      <c r="M1130" s="59"/>
      <c r="N1130" s="59"/>
      <c r="O1130" s="59"/>
      <c r="P1130" s="59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</row>
    <row r="1131" ht="27.75" customHeight="1">
      <c r="A1131" s="58"/>
      <c r="B1131" s="149"/>
      <c r="C1131" s="58"/>
      <c r="D1131" s="58"/>
      <c r="E1131" s="58"/>
      <c r="F1131" s="58"/>
      <c r="G1131" s="58"/>
      <c r="H1131" s="58"/>
      <c r="I1131" s="59"/>
      <c r="J1131" s="59"/>
      <c r="K1131" s="59"/>
      <c r="L1131" s="59"/>
      <c r="M1131" s="59"/>
      <c r="N1131" s="59"/>
      <c r="O1131" s="59"/>
      <c r="P1131" s="59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</row>
    <row r="1132" ht="27.75" customHeight="1">
      <c r="A1132" s="58"/>
      <c r="B1132" s="149"/>
      <c r="C1132" s="58"/>
      <c r="D1132" s="58"/>
      <c r="E1132" s="58"/>
      <c r="F1132" s="58"/>
      <c r="G1132" s="58"/>
      <c r="H1132" s="58"/>
      <c r="I1132" s="59"/>
      <c r="J1132" s="59"/>
      <c r="K1132" s="59"/>
      <c r="L1132" s="59"/>
      <c r="M1132" s="59"/>
      <c r="N1132" s="59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</row>
    <row r="1133" ht="27.75" customHeight="1">
      <c r="A1133" s="58"/>
      <c r="B1133" s="149"/>
      <c r="C1133" s="58"/>
      <c r="D1133" s="58"/>
      <c r="E1133" s="58"/>
      <c r="F1133" s="58"/>
      <c r="G1133" s="58"/>
      <c r="H1133" s="58"/>
      <c r="I1133" s="59"/>
      <c r="J1133" s="59"/>
      <c r="K1133" s="59"/>
      <c r="L1133" s="59"/>
      <c r="M1133" s="59"/>
      <c r="N1133" s="59"/>
      <c r="O1133" s="59"/>
      <c r="P1133" s="59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</row>
    <row r="1134" ht="27.75" customHeight="1">
      <c r="A1134" s="58"/>
      <c r="B1134" s="149"/>
      <c r="C1134" s="58"/>
      <c r="D1134" s="58"/>
      <c r="E1134" s="58"/>
      <c r="F1134" s="58"/>
      <c r="G1134" s="58"/>
      <c r="H1134" s="58"/>
      <c r="I1134" s="59"/>
      <c r="J1134" s="59"/>
      <c r="K1134" s="59"/>
      <c r="L1134" s="59"/>
      <c r="M1134" s="59"/>
      <c r="N1134" s="59"/>
      <c r="O1134" s="59"/>
      <c r="P1134" s="59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</row>
    <row r="1135" ht="27.75" customHeight="1">
      <c r="A1135" s="58"/>
      <c r="B1135" s="149"/>
      <c r="C1135" s="58"/>
      <c r="D1135" s="58"/>
      <c r="E1135" s="58"/>
      <c r="F1135" s="58"/>
      <c r="G1135" s="58"/>
      <c r="H1135" s="58"/>
      <c r="I1135" s="59"/>
      <c r="J1135" s="59"/>
      <c r="K1135" s="59"/>
      <c r="L1135" s="59"/>
      <c r="M1135" s="59"/>
      <c r="N1135" s="59"/>
      <c r="O1135" s="59"/>
      <c r="P1135" s="59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</row>
    <row r="1136" ht="27.75" customHeight="1">
      <c r="A1136" s="58"/>
      <c r="B1136" s="149"/>
      <c r="C1136" s="58"/>
      <c r="D1136" s="58"/>
      <c r="E1136" s="58"/>
      <c r="F1136" s="58"/>
      <c r="G1136" s="58"/>
      <c r="H1136" s="58"/>
      <c r="I1136" s="59"/>
      <c r="J1136" s="59"/>
      <c r="K1136" s="59"/>
      <c r="L1136" s="59"/>
      <c r="M1136" s="59"/>
      <c r="N1136" s="59"/>
      <c r="O1136" s="59"/>
      <c r="P1136" s="59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</row>
    <row r="1137" ht="27.75" customHeight="1">
      <c r="A1137" s="58"/>
      <c r="B1137" s="149"/>
      <c r="C1137" s="58"/>
      <c r="D1137" s="58"/>
      <c r="E1137" s="58"/>
      <c r="F1137" s="58"/>
      <c r="G1137" s="58"/>
      <c r="H1137" s="58"/>
      <c r="I1137" s="59"/>
      <c r="J1137" s="59"/>
      <c r="K1137" s="59"/>
      <c r="L1137" s="59"/>
      <c r="M1137" s="59"/>
      <c r="N1137" s="59"/>
      <c r="O1137" s="59"/>
      <c r="P1137" s="59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</row>
    <row r="1138" ht="27.75" customHeight="1">
      <c r="A1138" s="58"/>
      <c r="B1138" s="149"/>
      <c r="C1138" s="58"/>
      <c r="D1138" s="58"/>
      <c r="E1138" s="58"/>
      <c r="F1138" s="58"/>
      <c r="G1138" s="58"/>
      <c r="H1138" s="58"/>
      <c r="I1138" s="59"/>
      <c r="J1138" s="59"/>
      <c r="K1138" s="59"/>
      <c r="L1138" s="59"/>
      <c r="M1138" s="59"/>
      <c r="N1138" s="59"/>
      <c r="O1138" s="59"/>
      <c r="P1138" s="59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</row>
    <row r="1139" ht="27.75" customHeight="1">
      <c r="A1139" s="58"/>
      <c r="B1139" s="149"/>
      <c r="C1139" s="58"/>
      <c r="D1139" s="58"/>
      <c r="E1139" s="58"/>
      <c r="F1139" s="58"/>
      <c r="G1139" s="58"/>
      <c r="H1139" s="58"/>
      <c r="I1139" s="59"/>
      <c r="J1139" s="59"/>
      <c r="K1139" s="59"/>
      <c r="L1139" s="59"/>
      <c r="M1139" s="59"/>
      <c r="N1139" s="59"/>
      <c r="O1139" s="59"/>
      <c r="P1139" s="59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</row>
    <row r="1140" ht="27.75" customHeight="1">
      <c r="A1140" s="58"/>
      <c r="B1140" s="149"/>
      <c r="C1140" s="58"/>
      <c r="D1140" s="58"/>
      <c r="E1140" s="58"/>
      <c r="F1140" s="58"/>
      <c r="G1140" s="58"/>
      <c r="H1140" s="58"/>
      <c r="I1140" s="59"/>
      <c r="J1140" s="59"/>
      <c r="K1140" s="59"/>
      <c r="L1140" s="59"/>
      <c r="M1140" s="59"/>
      <c r="N1140" s="59"/>
      <c r="O1140" s="59"/>
      <c r="P1140" s="59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</row>
    <row r="1141" ht="27.75" customHeight="1">
      <c r="A1141" s="58"/>
      <c r="B1141" s="149"/>
      <c r="C1141" s="58"/>
      <c r="D1141" s="58"/>
      <c r="E1141" s="58"/>
      <c r="F1141" s="58"/>
      <c r="G1141" s="58"/>
      <c r="H1141" s="58"/>
      <c r="I1141" s="59"/>
      <c r="J1141" s="59"/>
      <c r="K1141" s="59"/>
      <c r="L1141" s="59"/>
      <c r="M1141" s="59"/>
      <c r="N1141" s="59"/>
      <c r="O1141" s="59"/>
      <c r="P1141" s="59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</row>
    <row r="1142" ht="27.75" customHeight="1">
      <c r="A1142" s="58"/>
      <c r="B1142" s="149"/>
      <c r="C1142" s="58"/>
      <c r="D1142" s="58"/>
      <c r="E1142" s="58"/>
      <c r="F1142" s="58"/>
      <c r="G1142" s="58"/>
      <c r="H1142" s="58"/>
      <c r="I1142" s="59"/>
      <c r="J1142" s="59"/>
      <c r="K1142" s="59"/>
      <c r="L1142" s="59"/>
      <c r="M1142" s="59"/>
      <c r="N1142" s="59"/>
      <c r="O1142" s="59"/>
      <c r="P1142" s="59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</row>
    <row r="1143" ht="27.75" customHeight="1">
      <c r="A1143" s="58"/>
      <c r="B1143" s="149"/>
      <c r="C1143" s="58"/>
      <c r="D1143" s="58"/>
      <c r="E1143" s="58"/>
      <c r="F1143" s="58"/>
      <c r="G1143" s="58"/>
      <c r="H1143" s="58"/>
      <c r="I1143" s="59"/>
      <c r="J1143" s="59"/>
      <c r="K1143" s="59"/>
      <c r="L1143" s="59"/>
      <c r="M1143" s="59"/>
      <c r="N1143" s="59"/>
      <c r="O1143" s="59"/>
      <c r="P1143" s="59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</row>
    <row r="1144" ht="27.75" customHeight="1">
      <c r="A1144" s="58"/>
      <c r="B1144" s="149"/>
      <c r="C1144" s="58"/>
      <c r="D1144" s="58"/>
      <c r="E1144" s="58"/>
      <c r="F1144" s="58"/>
      <c r="G1144" s="58"/>
      <c r="H1144" s="58"/>
      <c r="I1144" s="59"/>
      <c r="J1144" s="59"/>
      <c r="K1144" s="59"/>
      <c r="L1144" s="59"/>
      <c r="M1144" s="59"/>
      <c r="N1144" s="59"/>
      <c r="O1144" s="59"/>
      <c r="P1144" s="59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</row>
    <row r="1145" ht="27.75" customHeight="1">
      <c r="A1145" s="58"/>
      <c r="B1145" s="149"/>
      <c r="C1145" s="58"/>
      <c r="D1145" s="58"/>
      <c r="E1145" s="58"/>
      <c r="F1145" s="58"/>
      <c r="G1145" s="58"/>
      <c r="H1145" s="58"/>
      <c r="I1145" s="59"/>
      <c r="J1145" s="59"/>
      <c r="K1145" s="59"/>
      <c r="L1145" s="59"/>
      <c r="M1145" s="59"/>
      <c r="N1145" s="59"/>
      <c r="O1145" s="59"/>
      <c r="P1145" s="59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</row>
    <row r="1146" ht="27.75" customHeight="1">
      <c r="A1146" s="58"/>
      <c r="B1146" s="149"/>
      <c r="C1146" s="58"/>
      <c r="D1146" s="58"/>
      <c r="E1146" s="58"/>
      <c r="F1146" s="58"/>
      <c r="G1146" s="58"/>
      <c r="H1146" s="58"/>
      <c r="I1146" s="59"/>
      <c r="J1146" s="59"/>
      <c r="K1146" s="59"/>
      <c r="L1146" s="59"/>
      <c r="M1146" s="59"/>
      <c r="N1146" s="59"/>
      <c r="O1146" s="59"/>
      <c r="P1146" s="59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</row>
    <row r="1147" ht="27.75" customHeight="1">
      <c r="A1147" s="58"/>
      <c r="B1147" s="149"/>
      <c r="C1147" s="58"/>
      <c r="D1147" s="58"/>
      <c r="E1147" s="58"/>
      <c r="F1147" s="58"/>
      <c r="G1147" s="58"/>
      <c r="H1147" s="58"/>
      <c r="I1147" s="59"/>
      <c r="J1147" s="59"/>
      <c r="K1147" s="59"/>
      <c r="L1147" s="59"/>
      <c r="M1147" s="59"/>
      <c r="N1147" s="59"/>
      <c r="O1147" s="59"/>
      <c r="P1147" s="59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</row>
    <row r="1148" ht="27.75" customHeight="1">
      <c r="A1148" s="58"/>
      <c r="B1148" s="149"/>
      <c r="C1148" s="58"/>
      <c r="D1148" s="58"/>
      <c r="E1148" s="58"/>
      <c r="F1148" s="58"/>
      <c r="G1148" s="58"/>
      <c r="H1148" s="58"/>
      <c r="I1148" s="59"/>
      <c r="J1148" s="59"/>
      <c r="K1148" s="59"/>
      <c r="L1148" s="59"/>
      <c r="M1148" s="59"/>
      <c r="N1148" s="59"/>
      <c r="O1148" s="59"/>
      <c r="P1148" s="59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</row>
    <row r="1149" ht="27.75" customHeight="1">
      <c r="A1149" s="58"/>
      <c r="B1149" s="149"/>
      <c r="C1149" s="58"/>
      <c r="D1149" s="58"/>
      <c r="E1149" s="58"/>
      <c r="F1149" s="58"/>
      <c r="G1149" s="58"/>
      <c r="H1149" s="58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</row>
    <row r="1150" ht="27.75" customHeight="1">
      <c r="A1150" s="58"/>
      <c r="B1150" s="149"/>
      <c r="C1150" s="58"/>
      <c r="D1150" s="58"/>
      <c r="E1150" s="58"/>
      <c r="F1150" s="58"/>
      <c r="G1150" s="58"/>
      <c r="H1150" s="58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</row>
    <row r="1151" ht="27.75" customHeight="1">
      <c r="A1151" s="58"/>
      <c r="B1151" s="149"/>
      <c r="C1151" s="58"/>
      <c r="D1151" s="58"/>
      <c r="E1151" s="58"/>
      <c r="F1151" s="58"/>
      <c r="G1151" s="58"/>
      <c r="H1151" s="58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</row>
    <row r="1152" ht="27.75" customHeight="1">
      <c r="A1152" s="58"/>
      <c r="B1152" s="149"/>
      <c r="C1152" s="58"/>
      <c r="D1152" s="58"/>
      <c r="E1152" s="58"/>
      <c r="F1152" s="58"/>
      <c r="G1152" s="58"/>
      <c r="H1152" s="58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</row>
    <row r="1153" ht="27.75" customHeight="1">
      <c r="A1153" s="58"/>
      <c r="B1153" s="149"/>
      <c r="C1153" s="58"/>
      <c r="D1153" s="58"/>
      <c r="E1153" s="58"/>
      <c r="F1153" s="58"/>
      <c r="G1153" s="58"/>
      <c r="H1153" s="58"/>
      <c r="I1153" s="59"/>
      <c r="J1153" s="59"/>
      <c r="K1153" s="59"/>
      <c r="L1153" s="59"/>
      <c r="M1153" s="59"/>
      <c r="N1153" s="59"/>
      <c r="O1153" s="59"/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</row>
    <row r="1154" ht="27.75" customHeight="1">
      <c r="A1154" s="58"/>
      <c r="B1154" s="149"/>
      <c r="C1154" s="58"/>
      <c r="D1154" s="58"/>
      <c r="E1154" s="58"/>
      <c r="F1154" s="58"/>
      <c r="G1154" s="58"/>
      <c r="H1154" s="58"/>
      <c r="I1154" s="59"/>
      <c r="J1154" s="59"/>
      <c r="K1154" s="59"/>
      <c r="L1154" s="59"/>
      <c r="M1154" s="59"/>
      <c r="N1154" s="59"/>
      <c r="O1154" s="59"/>
      <c r="P1154" s="59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</row>
    <row r="1155" ht="27.75" customHeight="1">
      <c r="A1155" s="58"/>
      <c r="B1155" s="149"/>
      <c r="C1155" s="58"/>
      <c r="D1155" s="58"/>
      <c r="E1155" s="58"/>
      <c r="F1155" s="58"/>
      <c r="G1155" s="58"/>
      <c r="H1155" s="58"/>
      <c r="I1155" s="59"/>
      <c r="J1155" s="59"/>
      <c r="K1155" s="59"/>
      <c r="L1155" s="59"/>
      <c r="M1155" s="59"/>
      <c r="N1155" s="59"/>
      <c r="O1155" s="59"/>
      <c r="P1155" s="59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</row>
    <row r="1156" ht="27.75" customHeight="1">
      <c r="A1156" s="58"/>
      <c r="B1156" s="149"/>
      <c r="C1156" s="58"/>
      <c r="D1156" s="58"/>
      <c r="E1156" s="58"/>
      <c r="F1156" s="58"/>
      <c r="G1156" s="58"/>
      <c r="H1156" s="58"/>
      <c r="I1156" s="59"/>
      <c r="J1156" s="59"/>
      <c r="K1156" s="59"/>
      <c r="L1156" s="59"/>
      <c r="M1156" s="59"/>
      <c r="N1156" s="59"/>
      <c r="O1156" s="59"/>
      <c r="P1156" s="59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</row>
    <row r="1157" ht="27.75" customHeight="1">
      <c r="A1157" s="58"/>
      <c r="B1157" s="149"/>
      <c r="C1157" s="58"/>
      <c r="D1157" s="58"/>
      <c r="E1157" s="58"/>
      <c r="F1157" s="58"/>
      <c r="G1157" s="58"/>
      <c r="H1157" s="58"/>
      <c r="I1157" s="59"/>
      <c r="J1157" s="59"/>
      <c r="K1157" s="59"/>
      <c r="L1157" s="59"/>
      <c r="M1157" s="59"/>
      <c r="N1157" s="59"/>
      <c r="O1157" s="59"/>
      <c r="P1157" s="59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</row>
    <row r="1158" ht="27.75" customHeight="1">
      <c r="A1158" s="58"/>
      <c r="B1158" s="149"/>
      <c r="C1158" s="58"/>
      <c r="D1158" s="58"/>
      <c r="E1158" s="58"/>
      <c r="F1158" s="58"/>
      <c r="G1158" s="58"/>
      <c r="H1158" s="58"/>
      <c r="I1158" s="59"/>
      <c r="J1158" s="59"/>
      <c r="K1158" s="59"/>
      <c r="L1158" s="59"/>
      <c r="M1158" s="59"/>
      <c r="N1158" s="59"/>
      <c r="O1158" s="59"/>
      <c r="P1158" s="59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</row>
    <row r="1159" ht="27.75" customHeight="1">
      <c r="A1159" s="58"/>
      <c r="B1159" s="149"/>
      <c r="C1159" s="58"/>
      <c r="D1159" s="58"/>
      <c r="E1159" s="58"/>
      <c r="F1159" s="58"/>
      <c r="G1159" s="58"/>
      <c r="H1159" s="58"/>
      <c r="I1159" s="59"/>
      <c r="J1159" s="59"/>
      <c r="K1159" s="59"/>
      <c r="L1159" s="59"/>
      <c r="M1159" s="59"/>
      <c r="N1159" s="59"/>
      <c r="O1159" s="59"/>
      <c r="P1159" s="59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</row>
    <row r="1160" ht="27.75" customHeight="1">
      <c r="A1160" s="58"/>
      <c r="B1160" s="149"/>
      <c r="C1160" s="58"/>
      <c r="D1160" s="58"/>
      <c r="E1160" s="58"/>
      <c r="F1160" s="58"/>
      <c r="G1160" s="58"/>
      <c r="H1160" s="58"/>
      <c r="I1160" s="59"/>
      <c r="J1160" s="59"/>
      <c r="K1160" s="59"/>
      <c r="L1160" s="59"/>
      <c r="M1160" s="59"/>
      <c r="N1160" s="59"/>
      <c r="O1160" s="59"/>
      <c r="P1160" s="59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</row>
    <row r="1161" ht="27.75" customHeight="1">
      <c r="A1161" s="58"/>
      <c r="B1161" s="149"/>
      <c r="C1161" s="58"/>
      <c r="D1161" s="58"/>
      <c r="E1161" s="58"/>
      <c r="F1161" s="58"/>
      <c r="G1161" s="58"/>
      <c r="H1161" s="58"/>
      <c r="I1161" s="59"/>
      <c r="J1161" s="59"/>
      <c r="K1161" s="59"/>
      <c r="L1161" s="59"/>
      <c r="M1161" s="59"/>
      <c r="N1161" s="59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</row>
    <row r="1162" ht="27.75" customHeight="1">
      <c r="A1162" s="58"/>
      <c r="B1162" s="149"/>
      <c r="C1162" s="58"/>
      <c r="D1162" s="58"/>
      <c r="E1162" s="58"/>
      <c r="F1162" s="58"/>
      <c r="G1162" s="58"/>
      <c r="H1162" s="58"/>
      <c r="I1162" s="59"/>
      <c r="J1162" s="59"/>
      <c r="K1162" s="59"/>
      <c r="L1162" s="59"/>
      <c r="M1162" s="59"/>
      <c r="N1162" s="59"/>
      <c r="O1162" s="59"/>
      <c r="P1162" s="59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</row>
    <row r="1163" ht="27.75" customHeight="1">
      <c r="A1163" s="58"/>
      <c r="B1163" s="149"/>
      <c r="C1163" s="58"/>
      <c r="D1163" s="58"/>
      <c r="E1163" s="58"/>
      <c r="F1163" s="58"/>
      <c r="G1163" s="58"/>
      <c r="H1163" s="58"/>
      <c r="I1163" s="59"/>
      <c r="J1163" s="59"/>
      <c r="K1163" s="59"/>
      <c r="L1163" s="59"/>
      <c r="M1163" s="59"/>
      <c r="N1163" s="59"/>
      <c r="O1163" s="59"/>
      <c r="P1163" s="59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</row>
    <row r="1164" ht="27.75" customHeight="1">
      <c r="A1164" s="58"/>
      <c r="B1164" s="149"/>
      <c r="C1164" s="58"/>
      <c r="D1164" s="58"/>
      <c r="E1164" s="58"/>
      <c r="F1164" s="58"/>
      <c r="G1164" s="58"/>
      <c r="H1164" s="58"/>
      <c r="I1164" s="59"/>
      <c r="J1164" s="59"/>
      <c r="K1164" s="59"/>
      <c r="L1164" s="59"/>
      <c r="M1164" s="59"/>
      <c r="N1164" s="59"/>
      <c r="O1164" s="59"/>
      <c r="P1164" s="59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</row>
    <row r="1165" ht="27.75" customHeight="1">
      <c r="A1165" s="58"/>
      <c r="B1165" s="149"/>
      <c r="C1165" s="58"/>
      <c r="D1165" s="58"/>
      <c r="E1165" s="58"/>
      <c r="F1165" s="58"/>
      <c r="G1165" s="58"/>
      <c r="H1165" s="58"/>
      <c r="I1165" s="59"/>
      <c r="J1165" s="59"/>
      <c r="K1165" s="59"/>
      <c r="L1165" s="59"/>
      <c r="M1165" s="59"/>
      <c r="N1165" s="59"/>
      <c r="O1165" s="59"/>
      <c r="P1165" s="59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</row>
    <row r="1166" ht="27.75" customHeight="1">
      <c r="A1166" s="58"/>
      <c r="B1166" s="149"/>
      <c r="C1166" s="58"/>
      <c r="D1166" s="58"/>
      <c r="E1166" s="58"/>
      <c r="F1166" s="58"/>
      <c r="G1166" s="58"/>
      <c r="H1166" s="58"/>
      <c r="I1166" s="59"/>
      <c r="J1166" s="59"/>
      <c r="K1166" s="59"/>
      <c r="L1166" s="59"/>
      <c r="M1166" s="59"/>
      <c r="N1166" s="59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</row>
    <row r="1167" ht="27.75" customHeight="1">
      <c r="A1167" s="58"/>
      <c r="B1167" s="149"/>
      <c r="C1167" s="58"/>
      <c r="D1167" s="58"/>
      <c r="E1167" s="58"/>
      <c r="F1167" s="58"/>
      <c r="G1167" s="58"/>
      <c r="H1167" s="58"/>
      <c r="I1167" s="59"/>
      <c r="J1167" s="59"/>
      <c r="K1167" s="59"/>
      <c r="L1167" s="59"/>
      <c r="M1167" s="59"/>
      <c r="N1167" s="59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</row>
    <row r="1168" ht="27.75" customHeight="1">
      <c r="A1168" s="58"/>
      <c r="B1168" s="149"/>
      <c r="C1168" s="58"/>
      <c r="D1168" s="58"/>
      <c r="E1168" s="58"/>
      <c r="F1168" s="58"/>
      <c r="G1168" s="58"/>
      <c r="H1168" s="58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</row>
    <row r="1169" ht="27.75" customHeight="1">
      <c r="A1169" s="58"/>
      <c r="B1169" s="149"/>
      <c r="C1169" s="58"/>
      <c r="D1169" s="58"/>
      <c r="E1169" s="58"/>
      <c r="F1169" s="58"/>
      <c r="G1169" s="58"/>
      <c r="H1169" s="58"/>
      <c r="I1169" s="59"/>
      <c r="J1169" s="59"/>
      <c r="K1169" s="59"/>
      <c r="L1169" s="59"/>
      <c r="M1169" s="59"/>
      <c r="N1169" s="59"/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</row>
    <row r="1170" ht="27.75" customHeight="1">
      <c r="A1170" s="58"/>
      <c r="B1170" s="149"/>
      <c r="C1170" s="58"/>
      <c r="D1170" s="58"/>
      <c r="E1170" s="58"/>
      <c r="F1170" s="58"/>
      <c r="G1170" s="58"/>
      <c r="H1170" s="58"/>
      <c r="I1170" s="59"/>
      <c r="J1170" s="59"/>
      <c r="K1170" s="59"/>
      <c r="L1170" s="59"/>
      <c r="M1170" s="59"/>
      <c r="N1170" s="59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</row>
    <row r="1171" ht="27.75" customHeight="1">
      <c r="A1171" s="58"/>
      <c r="B1171" s="149"/>
      <c r="C1171" s="58"/>
      <c r="D1171" s="58"/>
      <c r="E1171" s="58"/>
      <c r="F1171" s="58"/>
      <c r="G1171" s="58"/>
      <c r="H1171" s="58"/>
      <c r="I1171" s="59"/>
      <c r="J1171" s="59"/>
      <c r="K1171" s="59"/>
      <c r="L1171" s="59"/>
      <c r="M1171" s="59"/>
      <c r="N1171" s="59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</row>
    <row r="1172" ht="27.75" customHeight="1">
      <c r="A1172" s="58"/>
      <c r="B1172" s="149"/>
      <c r="C1172" s="58"/>
      <c r="D1172" s="58"/>
      <c r="E1172" s="58"/>
      <c r="F1172" s="58"/>
      <c r="G1172" s="58"/>
      <c r="H1172" s="58"/>
      <c r="I1172" s="59"/>
      <c r="J1172" s="59"/>
      <c r="K1172" s="59"/>
      <c r="L1172" s="59"/>
      <c r="M1172" s="59"/>
      <c r="N1172" s="59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</row>
    <row r="1173" ht="27.75" customHeight="1">
      <c r="A1173" s="58"/>
      <c r="B1173" s="149"/>
      <c r="C1173" s="58"/>
      <c r="D1173" s="58"/>
      <c r="E1173" s="58"/>
      <c r="F1173" s="58"/>
      <c r="G1173" s="58"/>
      <c r="H1173" s="58"/>
      <c r="I1173" s="59"/>
      <c r="J1173" s="59"/>
      <c r="K1173" s="59"/>
      <c r="L1173" s="59"/>
      <c r="M1173" s="59"/>
      <c r="N1173" s="59"/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</row>
    <row r="1174" ht="27.75" customHeight="1">
      <c r="A1174" s="58"/>
      <c r="B1174" s="149"/>
      <c r="C1174" s="58"/>
      <c r="D1174" s="58"/>
      <c r="E1174" s="58"/>
      <c r="F1174" s="58"/>
      <c r="G1174" s="58"/>
      <c r="H1174" s="58"/>
      <c r="I1174" s="59"/>
      <c r="J1174" s="59"/>
      <c r="K1174" s="59"/>
      <c r="L1174" s="59"/>
      <c r="M1174" s="59"/>
      <c r="N1174" s="59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</row>
    <row r="1175" ht="27.75" customHeight="1">
      <c r="A1175" s="58"/>
      <c r="B1175" s="149"/>
      <c r="C1175" s="58"/>
      <c r="D1175" s="58"/>
      <c r="E1175" s="58"/>
      <c r="F1175" s="58"/>
      <c r="G1175" s="58"/>
      <c r="H1175" s="58"/>
      <c r="I1175" s="59"/>
      <c r="J1175" s="59"/>
      <c r="K1175" s="59"/>
      <c r="L1175" s="59"/>
      <c r="M1175" s="59"/>
      <c r="N1175" s="59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</row>
    <row r="1176" ht="27.75" customHeight="1">
      <c r="A1176" s="58"/>
      <c r="B1176" s="149"/>
      <c r="C1176" s="58"/>
      <c r="D1176" s="58"/>
      <c r="E1176" s="58"/>
      <c r="F1176" s="58"/>
      <c r="G1176" s="58"/>
      <c r="H1176" s="58"/>
      <c r="I1176" s="59"/>
      <c r="J1176" s="59"/>
      <c r="K1176" s="59"/>
      <c r="L1176" s="59"/>
      <c r="M1176" s="59"/>
      <c r="N1176" s="59"/>
      <c r="O1176" s="59"/>
      <c r="P1176" s="59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</row>
    <row r="1177" ht="27.75" customHeight="1">
      <c r="A1177" s="58"/>
      <c r="B1177" s="149"/>
      <c r="C1177" s="58"/>
      <c r="D1177" s="58"/>
      <c r="E1177" s="58"/>
      <c r="F1177" s="58"/>
      <c r="G1177" s="58"/>
      <c r="H1177" s="58"/>
      <c r="I1177" s="59"/>
      <c r="J1177" s="59"/>
      <c r="K1177" s="59"/>
      <c r="L1177" s="59"/>
      <c r="M1177" s="59"/>
      <c r="N1177" s="59"/>
      <c r="O1177" s="59"/>
      <c r="P1177" s="59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</row>
    <row r="1178" ht="27.75" customHeight="1">
      <c r="A1178" s="58"/>
      <c r="B1178" s="149"/>
      <c r="C1178" s="58"/>
      <c r="D1178" s="58"/>
      <c r="E1178" s="58"/>
      <c r="F1178" s="58"/>
      <c r="G1178" s="58"/>
      <c r="H1178" s="58"/>
      <c r="I1178" s="59"/>
      <c r="J1178" s="59"/>
      <c r="K1178" s="59"/>
      <c r="L1178" s="59"/>
      <c r="M1178" s="59"/>
      <c r="N1178" s="59"/>
      <c r="O1178" s="59"/>
      <c r="P1178" s="59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</row>
    <row r="1179" ht="27.75" customHeight="1">
      <c r="A1179" s="58"/>
      <c r="B1179" s="149"/>
      <c r="C1179" s="58"/>
      <c r="D1179" s="58"/>
      <c r="E1179" s="58"/>
      <c r="F1179" s="58"/>
      <c r="G1179" s="58"/>
      <c r="H1179" s="58"/>
      <c r="I1179" s="59"/>
      <c r="J1179" s="59"/>
      <c r="K1179" s="59"/>
      <c r="L1179" s="59"/>
      <c r="M1179" s="59"/>
      <c r="N1179" s="59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</row>
    <row r="1180" ht="27.75" customHeight="1">
      <c r="A1180" s="58"/>
      <c r="B1180" s="149"/>
      <c r="C1180" s="58"/>
      <c r="D1180" s="58"/>
      <c r="E1180" s="58"/>
      <c r="F1180" s="58"/>
      <c r="G1180" s="58"/>
      <c r="H1180" s="58"/>
      <c r="I1180" s="59"/>
      <c r="J1180" s="59"/>
      <c r="K1180" s="59"/>
      <c r="L1180" s="59"/>
      <c r="M1180" s="59"/>
      <c r="N1180" s="59"/>
      <c r="O1180" s="59"/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</row>
    <row r="1181" ht="27.75" customHeight="1">
      <c r="A1181" s="58"/>
      <c r="B1181" s="149"/>
      <c r="C1181" s="58"/>
      <c r="D1181" s="58"/>
      <c r="E1181" s="58"/>
      <c r="F1181" s="58"/>
      <c r="G1181" s="58"/>
      <c r="H1181" s="58"/>
      <c r="I1181" s="59"/>
      <c r="J1181" s="59"/>
      <c r="K1181" s="59"/>
      <c r="L1181" s="59"/>
      <c r="M1181" s="59"/>
      <c r="N1181" s="59"/>
      <c r="O1181" s="59"/>
      <c r="P1181" s="59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</row>
    <row r="1182" ht="27.75" customHeight="1">
      <c r="A1182" s="58"/>
      <c r="B1182" s="149"/>
      <c r="C1182" s="58"/>
      <c r="D1182" s="58"/>
      <c r="E1182" s="58"/>
      <c r="F1182" s="58"/>
      <c r="G1182" s="58"/>
      <c r="H1182" s="58"/>
      <c r="I1182" s="59"/>
      <c r="J1182" s="59"/>
      <c r="K1182" s="59"/>
      <c r="L1182" s="59"/>
      <c r="M1182" s="59"/>
      <c r="N1182" s="59"/>
      <c r="O1182" s="59"/>
      <c r="P1182" s="59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</row>
    <row r="1183" ht="27.75" customHeight="1">
      <c r="A1183" s="58"/>
      <c r="B1183" s="149"/>
      <c r="C1183" s="58"/>
      <c r="D1183" s="58"/>
      <c r="E1183" s="58"/>
      <c r="F1183" s="58"/>
      <c r="G1183" s="58"/>
      <c r="H1183" s="58"/>
      <c r="I1183" s="59"/>
      <c r="J1183" s="59"/>
      <c r="K1183" s="59"/>
      <c r="L1183" s="59"/>
      <c r="M1183" s="59"/>
      <c r="N1183" s="59"/>
      <c r="O1183" s="59"/>
      <c r="P1183" s="59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</row>
    <row r="1184" ht="27.75" customHeight="1">
      <c r="A1184" s="58"/>
      <c r="B1184" s="149"/>
      <c r="C1184" s="58"/>
      <c r="D1184" s="58"/>
      <c r="E1184" s="58"/>
      <c r="F1184" s="58"/>
      <c r="G1184" s="58"/>
      <c r="H1184" s="58"/>
      <c r="I1184" s="59"/>
      <c r="J1184" s="59"/>
      <c r="K1184" s="59"/>
      <c r="L1184" s="59"/>
      <c r="M1184" s="59"/>
      <c r="N1184" s="59"/>
      <c r="O1184" s="59"/>
      <c r="P1184" s="59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</row>
    <row r="1185" ht="27.75" customHeight="1">
      <c r="A1185" s="58"/>
      <c r="B1185" s="149"/>
      <c r="C1185" s="58"/>
      <c r="D1185" s="58"/>
      <c r="E1185" s="58"/>
      <c r="F1185" s="58"/>
      <c r="G1185" s="58"/>
      <c r="H1185" s="58"/>
      <c r="I1185" s="59"/>
      <c r="J1185" s="59"/>
      <c r="K1185" s="59"/>
      <c r="L1185" s="59"/>
      <c r="M1185" s="59"/>
      <c r="N1185" s="59"/>
      <c r="O1185" s="59"/>
      <c r="P1185" s="59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</row>
    <row r="1186" ht="27.75" customHeight="1">
      <c r="A1186" s="58"/>
      <c r="B1186" s="149"/>
      <c r="C1186" s="58"/>
      <c r="D1186" s="58"/>
      <c r="E1186" s="58"/>
      <c r="F1186" s="58"/>
      <c r="G1186" s="58"/>
      <c r="H1186" s="58"/>
      <c r="I1186" s="59"/>
      <c r="J1186" s="59"/>
      <c r="K1186" s="59"/>
      <c r="L1186" s="59"/>
      <c r="M1186" s="59"/>
      <c r="N1186" s="59"/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</row>
    <row r="1187" ht="27.75" customHeight="1">
      <c r="A1187" s="58"/>
      <c r="B1187" s="149"/>
      <c r="C1187" s="58"/>
      <c r="D1187" s="58"/>
      <c r="E1187" s="58"/>
      <c r="F1187" s="58"/>
      <c r="G1187" s="58"/>
      <c r="H1187" s="58"/>
      <c r="I1187" s="59"/>
      <c r="J1187" s="59"/>
      <c r="K1187" s="59"/>
      <c r="L1187" s="59"/>
      <c r="M1187" s="59"/>
      <c r="N1187" s="59"/>
      <c r="O1187" s="59"/>
      <c r="P1187" s="59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</row>
    <row r="1188" ht="27.75" customHeight="1">
      <c r="A1188" s="58"/>
      <c r="B1188" s="149"/>
      <c r="C1188" s="58"/>
      <c r="D1188" s="58"/>
      <c r="E1188" s="58"/>
      <c r="F1188" s="58"/>
      <c r="G1188" s="58"/>
      <c r="H1188" s="58"/>
      <c r="I1188" s="59"/>
      <c r="J1188" s="59"/>
      <c r="K1188" s="59"/>
      <c r="L1188" s="59"/>
      <c r="M1188" s="59"/>
      <c r="N1188" s="59"/>
      <c r="O1188" s="59"/>
      <c r="P1188" s="59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</row>
    <row r="1189" ht="27.75" customHeight="1">
      <c r="A1189" s="58"/>
      <c r="B1189" s="149"/>
      <c r="C1189" s="58"/>
      <c r="D1189" s="58"/>
      <c r="E1189" s="58"/>
      <c r="F1189" s="58"/>
      <c r="G1189" s="58"/>
      <c r="H1189" s="58"/>
      <c r="I1189" s="59"/>
      <c r="J1189" s="59"/>
      <c r="K1189" s="59"/>
      <c r="L1189" s="59"/>
      <c r="M1189" s="59"/>
      <c r="N1189" s="59"/>
      <c r="O1189" s="59"/>
      <c r="P1189" s="59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</row>
    <row r="1190" ht="27.75" customHeight="1">
      <c r="A1190" s="58"/>
      <c r="B1190" s="149"/>
      <c r="C1190" s="58"/>
      <c r="D1190" s="58"/>
      <c r="E1190" s="58"/>
      <c r="F1190" s="58"/>
      <c r="G1190" s="58"/>
      <c r="H1190" s="58"/>
      <c r="I1190" s="59"/>
      <c r="J1190" s="59"/>
      <c r="K1190" s="59"/>
      <c r="L1190" s="59"/>
      <c r="M1190" s="59"/>
      <c r="N1190" s="59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</row>
    <row r="1191" ht="27.75" customHeight="1">
      <c r="A1191" s="58"/>
      <c r="B1191" s="149"/>
      <c r="C1191" s="58"/>
      <c r="D1191" s="58"/>
      <c r="E1191" s="58"/>
      <c r="F1191" s="58"/>
      <c r="G1191" s="58"/>
      <c r="H1191" s="58"/>
      <c r="I1191" s="59"/>
      <c r="J1191" s="59"/>
      <c r="K1191" s="59"/>
      <c r="L1191" s="59"/>
      <c r="M1191" s="59"/>
      <c r="N1191" s="59"/>
      <c r="O1191" s="59"/>
      <c r="P1191" s="59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</row>
    <row r="1192" ht="27.75" customHeight="1">
      <c r="A1192" s="58"/>
      <c r="B1192" s="149"/>
      <c r="C1192" s="58"/>
      <c r="D1192" s="58"/>
      <c r="E1192" s="58"/>
      <c r="F1192" s="58"/>
      <c r="G1192" s="58"/>
      <c r="H1192" s="58"/>
      <c r="I1192" s="59"/>
      <c r="J1192" s="59"/>
      <c r="K1192" s="59"/>
      <c r="L1192" s="59"/>
      <c r="M1192" s="59"/>
      <c r="N1192" s="59"/>
      <c r="O1192" s="59"/>
      <c r="P1192" s="59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</row>
    <row r="1193" ht="27.75" customHeight="1">
      <c r="A1193" s="58"/>
      <c r="B1193" s="149"/>
      <c r="C1193" s="58"/>
      <c r="D1193" s="58"/>
      <c r="E1193" s="58"/>
      <c r="F1193" s="58"/>
      <c r="G1193" s="58"/>
      <c r="H1193" s="58"/>
      <c r="I1193" s="59"/>
      <c r="J1193" s="59"/>
      <c r="K1193" s="59"/>
      <c r="L1193" s="59"/>
      <c r="M1193" s="59"/>
      <c r="N1193" s="59"/>
      <c r="O1193" s="59"/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</row>
    <row r="1194" ht="27.75" customHeight="1">
      <c r="A1194" s="58"/>
      <c r="B1194" s="149"/>
      <c r="C1194" s="58"/>
      <c r="D1194" s="58"/>
      <c r="E1194" s="58"/>
      <c r="F1194" s="58"/>
      <c r="G1194" s="58"/>
      <c r="H1194" s="58"/>
      <c r="I1194" s="59"/>
      <c r="J1194" s="59"/>
      <c r="K1194" s="59"/>
      <c r="L1194" s="59"/>
      <c r="M1194" s="59"/>
      <c r="N1194" s="59"/>
      <c r="O1194" s="59"/>
      <c r="P1194" s="59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</row>
    <row r="1195" ht="27.75" customHeight="1">
      <c r="A1195" s="58"/>
      <c r="B1195" s="149"/>
      <c r="C1195" s="58"/>
      <c r="D1195" s="58"/>
      <c r="E1195" s="58"/>
      <c r="F1195" s="58"/>
      <c r="G1195" s="58"/>
      <c r="H1195" s="58"/>
      <c r="I1195" s="59"/>
      <c r="J1195" s="59"/>
      <c r="K1195" s="59"/>
      <c r="L1195" s="59"/>
      <c r="M1195" s="59"/>
      <c r="N1195" s="59"/>
      <c r="O1195" s="59"/>
      <c r="P1195" s="59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</row>
    <row r="1196" ht="27.75" customHeight="1">
      <c r="A1196" s="58"/>
      <c r="B1196" s="149"/>
      <c r="C1196" s="58"/>
      <c r="D1196" s="58"/>
      <c r="E1196" s="58"/>
      <c r="F1196" s="58"/>
      <c r="G1196" s="58"/>
      <c r="H1196" s="58"/>
      <c r="I1196" s="59"/>
      <c r="J1196" s="59"/>
      <c r="K1196" s="59"/>
      <c r="L1196" s="59"/>
      <c r="M1196" s="59"/>
      <c r="N1196" s="59"/>
      <c r="O1196" s="59"/>
      <c r="P1196" s="59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</row>
    <row r="1197" ht="27.75" customHeight="1">
      <c r="A1197" s="58"/>
      <c r="B1197" s="149"/>
      <c r="C1197" s="58"/>
      <c r="D1197" s="58"/>
      <c r="E1197" s="58"/>
      <c r="F1197" s="58"/>
      <c r="G1197" s="58"/>
      <c r="H1197" s="58"/>
      <c r="I1197" s="59"/>
      <c r="J1197" s="59"/>
      <c r="K1197" s="59"/>
      <c r="L1197" s="59"/>
      <c r="M1197" s="59"/>
      <c r="N1197" s="59"/>
      <c r="O1197" s="59"/>
      <c r="P1197" s="59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</row>
    <row r="1198" ht="27.75" customHeight="1">
      <c r="A1198" s="58"/>
      <c r="B1198" s="149"/>
      <c r="C1198" s="58"/>
      <c r="D1198" s="58"/>
      <c r="E1198" s="58"/>
      <c r="F1198" s="58"/>
      <c r="G1198" s="58"/>
      <c r="H1198" s="58"/>
      <c r="I1198" s="59"/>
      <c r="J1198" s="59"/>
      <c r="K1198" s="59"/>
      <c r="L1198" s="59"/>
      <c r="M1198" s="59"/>
      <c r="N1198" s="59"/>
      <c r="O1198" s="59"/>
      <c r="P1198" s="59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</row>
    <row r="1199" ht="27.75" customHeight="1">
      <c r="A1199" s="58"/>
      <c r="B1199" s="149"/>
      <c r="C1199" s="58"/>
      <c r="D1199" s="58"/>
      <c r="E1199" s="58"/>
      <c r="F1199" s="58"/>
      <c r="G1199" s="58"/>
      <c r="H1199" s="58"/>
      <c r="I1199" s="59"/>
      <c r="J1199" s="59"/>
      <c r="K1199" s="59"/>
      <c r="L1199" s="59"/>
      <c r="M1199" s="59"/>
      <c r="N1199" s="59"/>
      <c r="O1199" s="59"/>
      <c r="P1199" s="59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</row>
    <row r="1200" ht="27.75" customHeight="1">
      <c r="A1200" s="58"/>
      <c r="B1200" s="149"/>
      <c r="C1200" s="58"/>
      <c r="D1200" s="58"/>
      <c r="E1200" s="58"/>
      <c r="F1200" s="58"/>
      <c r="G1200" s="58"/>
      <c r="H1200" s="58"/>
      <c r="I1200" s="59"/>
      <c r="J1200" s="59"/>
      <c r="K1200" s="59"/>
      <c r="L1200" s="59"/>
      <c r="M1200" s="59"/>
      <c r="N1200" s="59"/>
      <c r="O1200" s="59"/>
      <c r="P1200" s="59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</row>
    <row r="1201" ht="27.75" customHeight="1">
      <c r="A1201" s="58"/>
      <c r="B1201" s="149"/>
      <c r="C1201" s="58"/>
      <c r="D1201" s="58"/>
      <c r="E1201" s="58"/>
      <c r="F1201" s="58"/>
      <c r="G1201" s="58"/>
      <c r="H1201" s="58"/>
      <c r="I1201" s="59"/>
      <c r="J1201" s="59"/>
      <c r="K1201" s="59"/>
      <c r="L1201" s="59"/>
      <c r="M1201" s="59"/>
      <c r="N1201" s="59"/>
      <c r="O1201" s="59"/>
      <c r="P1201" s="59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</row>
    <row r="1202" ht="27.75" customHeight="1">
      <c r="A1202" s="58"/>
      <c r="B1202" s="149"/>
      <c r="C1202" s="58"/>
      <c r="D1202" s="58"/>
      <c r="E1202" s="58"/>
      <c r="F1202" s="58"/>
      <c r="G1202" s="58"/>
      <c r="H1202" s="58"/>
      <c r="I1202" s="59"/>
      <c r="J1202" s="59"/>
      <c r="K1202" s="59"/>
      <c r="L1202" s="59"/>
      <c r="M1202" s="59"/>
      <c r="N1202" s="59"/>
      <c r="O1202" s="59"/>
      <c r="P1202" s="59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</row>
    <row r="1203" ht="27.75" customHeight="1">
      <c r="A1203" s="58"/>
      <c r="B1203" s="149"/>
      <c r="C1203" s="58"/>
      <c r="D1203" s="58"/>
      <c r="E1203" s="58"/>
      <c r="F1203" s="58"/>
      <c r="G1203" s="58"/>
      <c r="H1203" s="58"/>
      <c r="I1203" s="59"/>
      <c r="J1203" s="59"/>
      <c r="K1203" s="59"/>
      <c r="L1203" s="59"/>
      <c r="M1203" s="59"/>
      <c r="N1203" s="59"/>
      <c r="O1203" s="59"/>
      <c r="P1203" s="59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</row>
    <row r="1204" ht="27.75" customHeight="1">
      <c r="A1204" s="58"/>
      <c r="B1204" s="149"/>
      <c r="C1204" s="58"/>
      <c r="D1204" s="58"/>
      <c r="E1204" s="58"/>
      <c r="F1204" s="58"/>
      <c r="G1204" s="58"/>
      <c r="H1204" s="58"/>
      <c r="I1204" s="59"/>
      <c r="J1204" s="59"/>
      <c r="K1204" s="59"/>
      <c r="L1204" s="59"/>
      <c r="M1204" s="59"/>
      <c r="N1204" s="59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</row>
    <row r="1205" ht="27.75" customHeight="1">
      <c r="A1205" s="58"/>
      <c r="B1205" s="149"/>
      <c r="C1205" s="58"/>
      <c r="D1205" s="58"/>
      <c r="E1205" s="58"/>
      <c r="F1205" s="58"/>
      <c r="G1205" s="58"/>
      <c r="H1205" s="58"/>
      <c r="I1205" s="59"/>
      <c r="J1205" s="59"/>
      <c r="K1205" s="59"/>
      <c r="L1205" s="59"/>
      <c r="M1205" s="59"/>
      <c r="N1205" s="59"/>
      <c r="O1205" s="59"/>
      <c r="P1205" s="59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</row>
    <row r="1206" ht="27.75" customHeight="1">
      <c r="A1206" s="58"/>
      <c r="B1206" s="149"/>
      <c r="C1206" s="58"/>
      <c r="D1206" s="58"/>
      <c r="E1206" s="58"/>
      <c r="F1206" s="58"/>
      <c r="G1206" s="58"/>
      <c r="H1206" s="58"/>
      <c r="I1206" s="59"/>
      <c r="J1206" s="59"/>
      <c r="K1206" s="59"/>
      <c r="L1206" s="59"/>
      <c r="M1206" s="59"/>
      <c r="N1206" s="59"/>
      <c r="O1206" s="59"/>
      <c r="P1206" s="59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</row>
    <row r="1207" ht="27.75" customHeight="1">
      <c r="A1207" s="58"/>
      <c r="B1207" s="149"/>
      <c r="C1207" s="58"/>
      <c r="D1207" s="58"/>
      <c r="E1207" s="58"/>
      <c r="F1207" s="58"/>
      <c r="G1207" s="58"/>
      <c r="H1207" s="58"/>
      <c r="I1207" s="59"/>
      <c r="J1207" s="59"/>
      <c r="K1207" s="59"/>
      <c r="L1207" s="59"/>
      <c r="M1207" s="59"/>
      <c r="N1207" s="59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</row>
    <row r="1208" ht="27.75" customHeight="1">
      <c r="A1208" s="58"/>
      <c r="B1208" s="149"/>
      <c r="C1208" s="58"/>
      <c r="D1208" s="58"/>
      <c r="E1208" s="58"/>
      <c r="F1208" s="58"/>
      <c r="G1208" s="58"/>
      <c r="H1208" s="58"/>
      <c r="I1208" s="59"/>
      <c r="J1208" s="59"/>
      <c r="K1208" s="59"/>
      <c r="L1208" s="59"/>
      <c r="M1208" s="59"/>
      <c r="N1208" s="59"/>
      <c r="O1208" s="59"/>
      <c r="P1208" s="59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</row>
    <row r="1209" ht="27.75" customHeight="1">
      <c r="A1209" s="58"/>
      <c r="B1209" s="149"/>
      <c r="C1209" s="58"/>
      <c r="D1209" s="58"/>
      <c r="E1209" s="58"/>
      <c r="F1209" s="58"/>
      <c r="G1209" s="58"/>
      <c r="H1209" s="58"/>
      <c r="I1209" s="59"/>
      <c r="J1209" s="59"/>
      <c r="K1209" s="59"/>
      <c r="L1209" s="59"/>
      <c r="M1209" s="59"/>
      <c r="N1209" s="59"/>
      <c r="O1209" s="59"/>
      <c r="P1209" s="59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</row>
    <row r="1210" ht="27.75" customHeight="1">
      <c r="A1210" s="58"/>
      <c r="B1210" s="149"/>
      <c r="C1210" s="58"/>
      <c r="D1210" s="58"/>
      <c r="E1210" s="58"/>
      <c r="F1210" s="58"/>
      <c r="G1210" s="58"/>
      <c r="H1210" s="58"/>
      <c r="I1210" s="59"/>
      <c r="J1210" s="59"/>
      <c r="K1210" s="59"/>
      <c r="L1210" s="59"/>
      <c r="M1210" s="59"/>
      <c r="N1210" s="59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</row>
    <row r="1211" ht="27.75" customHeight="1">
      <c r="A1211" s="58"/>
      <c r="B1211" s="149"/>
      <c r="C1211" s="58"/>
      <c r="D1211" s="58"/>
      <c r="E1211" s="58"/>
      <c r="F1211" s="58"/>
      <c r="G1211" s="58"/>
      <c r="H1211" s="58"/>
      <c r="I1211" s="59"/>
      <c r="J1211" s="59"/>
      <c r="K1211" s="59"/>
      <c r="L1211" s="59"/>
      <c r="M1211" s="59"/>
      <c r="N1211" s="59"/>
      <c r="O1211" s="59"/>
      <c r="P1211" s="59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</row>
    <row r="1212" ht="27.75" customHeight="1">
      <c r="A1212" s="58"/>
      <c r="B1212" s="149"/>
      <c r="C1212" s="58"/>
      <c r="D1212" s="58"/>
      <c r="E1212" s="58"/>
      <c r="F1212" s="58"/>
      <c r="G1212" s="58"/>
      <c r="H1212" s="58"/>
      <c r="I1212" s="59"/>
      <c r="J1212" s="59"/>
      <c r="K1212" s="59"/>
      <c r="L1212" s="59"/>
      <c r="M1212" s="59"/>
      <c r="N1212" s="59"/>
      <c r="O1212" s="59"/>
      <c r="P1212" s="59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</row>
    <row r="1213" ht="27.75" customHeight="1">
      <c r="A1213" s="58"/>
      <c r="B1213" s="149"/>
      <c r="C1213" s="58"/>
      <c r="D1213" s="58"/>
      <c r="E1213" s="58"/>
      <c r="F1213" s="58"/>
      <c r="G1213" s="58"/>
      <c r="H1213" s="58"/>
      <c r="I1213" s="59"/>
      <c r="J1213" s="59"/>
      <c r="K1213" s="59"/>
      <c r="L1213" s="59"/>
      <c r="M1213" s="59"/>
      <c r="N1213" s="59"/>
      <c r="O1213" s="59"/>
      <c r="P1213" s="59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</row>
    <row r="1214" ht="27.75" customHeight="1">
      <c r="A1214" s="58"/>
      <c r="B1214" s="149"/>
      <c r="C1214" s="58"/>
      <c r="D1214" s="58"/>
      <c r="E1214" s="58"/>
      <c r="F1214" s="58"/>
      <c r="G1214" s="58"/>
      <c r="H1214" s="58"/>
      <c r="I1214" s="59"/>
      <c r="J1214" s="59"/>
      <c r="K1214" s="59"/>
      <c r="L1214" s="59"/>
      <c r="M1214" s="59"/>
      <c r="N1214" s="59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</row>
    <row r="1215" ht="27.75" customHeight="1">
      <c r="A1215" s="58"/>
      <c r="B1215" s="149"/>
      <c r="C1215" s="58"/>
      <c r="D1215" s="58"/>
      <c r="E1215" s="58"/>
      <c r="F1215" s="58"/>
      <c r="G1215" s="58"/>
      <c r="H1215" s="58"/>
      <c r="I1215" s="59"/>
      <c r="J1215" s="59"/>
      <c r="K1215" s="59"/>
      <c r="L1215" s="59"/>
      <c r="M1215" s="59"/>
      <c r="N1215" s="59"/>
      <c r="O1215" s="59"/>
      <c r="P1215" s="59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</row>
    <row r="1216" ht="27.75" customHeight="1">
      <c r="A1216" s="58"/>
      <c r="B1216" s="149"/>
      <c r="C1216" s="58"/>
      <c r="D1216" s="58"/>
      <c r="E1216" s="58"/>
      <c r="F1216" s="58"/>
      <c r="G1216" s="58"/>
      <c r="H1216" s="58"/>
      <c r="I1216" s="59"/>
      <c r="J1216" s="59"/>
      <c r="K1216" s="59"/>
      <c r="L1216" s="59"/>
      <c r="M1216" s="59"/>
      <c r="N1216" s="59"/>
      <c r="O1216" s="59"/>
      <c r="P1216" s="59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</row>
    <row r="1217" ht="27.75" customHeight="1">
      <c r="A1217" s="58"/>
      <c r="B1217" s="149"/>
      <c r="C1217" s="58"/>
      <c r="D1217" s="58"/>
      <c r="E1217" s="58"/>
      <c r="F1217" s="58"/>
      <c r="G1217" s="58"/>
      <c r="H1217" s="58"/>
      <c r="I1217" s="59"/>
      <c r="J1217" s="59"/>
      <c r="K1217" s="59"/>
      <c r="L1217" s="59"/>
      <c r="M1217" s="59"/>
      <c r="N1217" s="59"/>
      <c r="O1217" s="59"/>
      <c r="P1217" s="59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</row>
    <row r="1218" ht="27.75" customHeight="1">
      <c r="A1218" s="58"/>
      <c r="B1218" s="149"/>
      <c r="C1218" s="58"/>
      <c r="D1218" s="58"/>
      <c r="E1218" s="58"/>
      <c r="F1218" s="58"/>
      <c r="G1218" s="58"/>
      <c r="H1218" s="58"/>
      <c r="I1218" s="59"/>
      <c r="J1218" s="59"/>
      <c r="K1218" s="59"/>
      <c r="L1218" s="59"/>
      <c r="M1218" s="59"/>
      <c r="N1218" s="59"/>
      <c r="O1218" s="59"/>
      <c r="P1218" s="59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</row>
    <row r="1219" ht="27.75" customHeight="1">
      <c r="A1219" s="58"/>
      <c r="B1219" s="149"/>
      <c r="C1219" s="58"/>
      <c r="D1219" s="58"/>
      <c r="E1219" s="58"/>
      <c r="F1219" s="58"/>
      <c r="G1219" s="58"/>
      <c r="H1219" s="58"/>
      <c r="I1219" s="59"/>
      <c r="J1219" s="59"/>
      <c r="K1219" s="59"/>
      <c r="L1219" s="59"/>
      <c r="M1219" s="59"/>
      <c r="N1219" s="59"/>
      <c r="O1219" s="59"/>
      <c r="P1219" s="59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</row>
    <row r="1220" ht="27.75" customHeight="1">
      <c r="A1220" s="58"/>
      <c r="B1220" s="149"/>
      <c r="C1220" s="58"/>
      <c r="D1220" s="58"/>
      <c r="E1220" s="58"/>
      <c r="F1220" s="58"/>
      <c r="G1220" s="58"/>
      <c r="H1220" s="58"/>
      <c r="I1220" s="59"/>
      <c r="J1220" s="59"/>
      <c r="K1220" s="59"/>
      <c r="L1220" s="59"/>
      <c r="M1220" s="59"/>
      <c r="N1220" s="59"/>
      <c r="O1220" s="59"/>
      <c r="P1220" s="59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</row>
    <row r="1221" ht="27.75" customHeight="1">
      <c r="A1221" s="58"/>
      <c r="B1221" s="149"/>
      <c r="C1221" s="58"/>
      <c r="D1221" s="58"/>
      <c r="E1221" s="58"/>
      <c r="F1221" s="58"/>
      <c r="G1221" s="58"/>
      <c r="H1221" s="58"/>
      <c r="I1221" s="59"/>
      <c r="J1221" s="59"/>
      <c r="K1221" s="59"/>
      <c r="L1221" s="59"/>
      <c r="M1221" s="59"/>
      <c r="N1221" s="59"/>
      <c r="O1221" s="59"/>
      <c r="P1221" s="59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</row>
    <row r="1222" ht="27.75" customHeight="1">
      <c r="A1222" s="58"/>
      <c r="B1222" s="149"/>
      <c r="C1222" s="58"/>
      <c r="D1222" s="58"/>
      <c r="E1222" s="58"/>
      <c r="F1222" s="58"/>
      <c r="G1222" s="58"/>
      <c r="H1222" s="58"/>
      <c r="I1222" s="59"/>
      <c r="J1222" s="59"/>
      <c r="K1222" s="59"/>
      <c r="L1222" s="59"/>
      <c r="M1222" s="59"/>
      <c r="N1222" s="59"/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</row>
    <row r="1223" ht="27.75" customHeight="1">
      <c r="A1223" s="58"/>
      <c r="B1223" s="149"/>
      <c r="C1223" s="58"/>
      <c r="D1223" s="58"/>
      <c r="E1223" s="58"/>
      <c r="F1223" s="58"/>
      <c r="G1223" s="58"/>
      <c r="H1223" s="58"/>
      <c r="I1223" s="59"/>
      <c r="J1223" s="59"/>
      <c r="K1223" s="59"/>
      <c r="L1223" s="59"/>
      <c r="M1223" s="59"/>
      <c r="N1223" s="59"/>
      <c r="O1223" s="59"/>
      <c r="P1223" s="59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</row>
    <row r="1224" ht="27.75" customHeight="1">
      <c r="A1224" s="58"/>
      <c r="B1224" s="149"/>
      <c r="C1224" s="58"/>
      <c r="D1224" s="58"/>
      <c r="E1224" s="58"/>
      <c r="F1224" s="58"/>
      <c r="G1224" s="58"/>
      <c r="H1224" s="58"/>
      <c r="I1224" s="59"/>
      <c r="J1224" s="59"/>
      <c r="K1224" s="59"/>
      <c r="L1224" s="59"/>
      <c r="M1224" s="59"/>
      <c r="N1224" s="59"/>
      <c r="O1224" s="59"/>
      <c r="P1224" s="59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</row>
    <row r="1225" ht="27.75" customHeight="1">
      <c r="A1225" s="58"/>
      <c r="B1225" s="149"/>
      <c r="C1225" s="58"/>
      <c r="D1225" s="58"/>
      <c r="E1225" s="58"/>
      <c r="F1225" s="58"/>
      <c r="G1225" s="58"/>
      <c r="H1225" s="58"/>
      <c r="I1225" s="59"/>
      <c r="J1225" s="59"/>
      <c r="K1225" s="59"/>
      <c r="L1225" s="59"/>
      <c r="M1225" s="59"/>
      <c r="N1225" s="59"/>
      <c r="O1225" s="59"/>
      <c r="P1225" s="59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</row>
    <row r="1226" ht="27.75" customHeight="1">
      <c r="A1226" s="58"/>
      <c r="B1226" s="149"/>
      <c r="C1226" s="58"/>
      <c r="D1226" s="58"/>
      <c r="E1226" s="58"/>
      <c r="F1226" s="58"/>
      <c r="G1226" s="58"/>
      <c r="H1226" s="58"/>
      <c r="I1226" s="59"/>
      <c r="J1226" s="59"/>
      <c r="K1226" s="59"/>
      <c r="L1226" s="59"/>
      <c r="M1226" s="59"/>
      <c r="N1226" s="59"/>
      <c r="O1226" s="59"/>
      <c r="P1226" s="59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</row>
    <row r="1227" ht="27.75" customHeight="1">
      <c r="A1227" s="58"/>
      <c r="B1227" s="149"/>
      <c r="C1227" s="58"/>
      <c r="D1227" s="58"/>
      <c r="E1227" s="58"/>
      <c r="F1227" s="58"/>
      <c r="G1227" s="58"/>
      <c r="H1227" s="58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</row>
    <row r="1228" ht="27.75" customHeight="1">
      <c r="A1228" s="58"/>
      <c r="B1228" s="149"/>
      <c r="C1228" s="58"/>
      <c r="D1228" s="58"/>
      <c r="E1228" s="58"/>
      <c r="F1228" s="58"/>
      <c r="G1228" s="58"/>
      <c r="H1228" s="58"/>
      <c r="I1228" s="59"/>
      <c r="J1228" s="59"/>
      <c r="K1228" s="59"/>
      <c r="L1228" s="59"/>
      <c r="M1228" s="59"/>
      <c r="N1228" s="59"/>
      <c r="O1228" s="59"/>
      <c r="P1228" s="59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</row>
    <row r="1229" ht="27.75" customHeight="1">
      <c r="A1229" s="58"/>
      <c r="B1229" s="149"/>
      <c r="C1229" s="58"/>
      <c r="D1229" s="58"/>
      <c r="E1229" s="58"/>
      <c r="F1229" s="58"/>
      <c r="G1229" s="58"/>
      <c r="H1229" s="58"/>
      <c r="I1229" s="59"/>
      <c r="J1229" s="59"/>
      <c r="K1229" s="59"/>
      <c r="L1229" s="59"/>
      <c r="M1229" s="59"/>
      <c r="N1229" s="59"/>
      <c r="O1229" s="59"/>
      <c r="P1229" s="59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</row>
    <row r="1230" ht="27.75" customHeight="1">
      <c r="A1230" s="58"/>
      <c r="B1230" s="149"/>
      <c r="C1230" s="58"/>
      <c r="D1230" s="58"/>
      <c r="E1230" s="58"/>
      <c r="F1230" s="58"/>
      <c r="G1230" s="58"/>
      <c r="H1230" s="58"/>
      <c r="I1230" s="59"/>
      <c r="J1230" s="59"/>
      <c r="K1230" s="59"/>
      <c r="L1230" s="59"/>
      <c r="M1230" s="59"/>
      <c r="N1230" s="59"/>
      <c r="O1230" s="59"/>
      <c r="P1230" s="59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</row>
    <row r="1231" ht="27.75" customHeight="1">
      <c r="A1231" s="58"/>
      <c r="B1231" s="149"/>
      <c r="C1231" s="58"/>
      <c r="D1231" s="58"/>
      <c r="E1231" s="58"/>
      <c r="F1231" s="58"/>
      <c r="G1231" s="58"/>
      <c r="H1231" s="58"/>
      <c r="I1231" s="59"/>
      <c r="J1231" s="59"/>
      <c r="K1231" s="59"/>
      <c r="L1231" s="59"/>
      <c r="M1231" s="59"/>
      <c r="N1231" s="59"/>
      <c r="O1231" s="59"/>
      <c r="P1231" s="59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</row>
    <row r="1232" ht="27.75" customHeight="1">
      <c r="A1232" s="58"/>
      <c r="B1232" s="149"/>
      <c r="C1232" s="58"/>
      <c r="D1232" s="58"/>
      <c r="E1232" s="58"/>
      <c r="F1232" s="58"/>
      <c r="G1232" s="58"/>
      <c r="H1232" s="58"/>
      <c r="I1232" s="59"/>
      <c r="J1232" s="59"/>
      <c r="K1232" s="59"/>
      <c r="L1232" s="59"/>
      <c r="M1232" s="59"/>
      <c r="N1232" s="59"/>
      <c r="O1232" s="59"/>
      <c r="P1232" s="59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</row>
    <row r="1233" ht="27.75" customHeight="1">
      <c r="A1233" s="58"/>
      <c r="B1233" s="149"/>
      <c r="C1233" s="58"/>
      <c r="D1233" s="58"/>
      <c r="E1233" s="58"/>
      <c r="F1233" s="58"/>
      <c r="G1233" s="58"/>
      <c r="H1233" s="58"/>
      <c r="I1233" s="59"/>
      <c r="J1233" s="59"/>
      <c r="K1233" s="59"/>
      <c r="L1233" s="59"/>
      <c r="M1233" s="59"/>
      <c r="N1233" s="59"/>
      <c r="O1233" s="59"/>
      <c r="P1233" s="59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</row>
    <row r="1234" ht="27.75" customHeight="1">
      <c r="A1234" s="58"/>
      <c r="B1234" s="149"/>
      <c r="C1234" s="58"/>
      <c r="D1234" s="58"/>
      <c r="E1234" s="58"/>
      <c r="F1234" s="58"/>
      <c r="G1234" s="58"/>
      <c r="H1234" s="58"/>
      <c r="I1234" s="59"/>
      <c r="J1234" s="59"/>
      <c r="K1234" s="59"/>
      <c r="L1234" s="59"/>
      <c r="M1234" s="59"/>
      <c r="N1234" s="59"/>
      <c r="O1234" s="59"/>
      <c r="P1234" s="59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</row>
    <row r="1235" ht="27.75" customHeight="1">
      <c r="A1235" s="58"/>
      <c r="B1235" s="149"/>
      <c r="C1235" s="58"/>
      <c r="D1235" s="58"/>
      <c r="E1235" s="58"/>
      <c r="F1235" s="58"/>
      <c r="G1235" s="58"/>
      <c r="H1235" s="58"/>
      <c r="I1235" s="59"/>
      <c r="J1235" s="59"/>
      <c r="K1235" s="59"/>
      <c r="L1235" s="59"/>
      <c r="M1235" s="59"/>
      <c r="N1235" s="59"/>
      <c r="O1235" s="59"/>
      <c r="P1235" s="59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</row>
    <row r="1236" ht="27.75" customHeight="1">
      <c r="A1236" s="58"/>
      <c r="B1236" s="149"/>
      <c r="C1236" s="58"/>
      <c r="D1236" s="58"/>
      <c r="E1236" s="58"/>
      <c r="F1236" s="58"/>
      <c r="G1236" s="58"/>
      <c r="H1236" s="58"/>
      <c r="I1236" s="59"/>
      <c r="J1236" s="59"/>
      <c r="K1236" s="59"/>
      <c r="L1236" s="59"/>
      <c r="M1236" s="59"/>
      <c r="N1236" s="59"/>
      <c r="O1236" s="59"/>
      <c r="P1236" s="59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</row>
    <row r="1237" ht="27.75" customHeight="1">
      <c r="A1237" s="58"/>
      <c r="B1237" s="149"/>
      <c r="C1237" s="58"/>
      <c r="D1237" s="58"/>
      <c r="E1237" s="58"/>
      <c r="F1237" s="58"/>
      <c r="G1237" s="58"/>
      <c r="H1237" s="58"/>
      <c r="I1237" s="59"/>
      <c r="J1237" s="59"/>
      <c r="K1237" s="59"/>
      <c r="L1237" s="59"/>
      <c r="M1237" s="59"/>
      <c r="N1237" s="59"/>
      <c r="O1237" s="59"/>
      <c r="P1237" s="59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</row>
    <row r="1238" ht="27.75" customHeight="1">
      <c r="A1238" s="58"/>
      <c r="B1238" s="149"/>
      <c r="C1238" s="58"/>
      <c r="D1238" s="58"/>
      <c r="E1238" s="58"/>
      <c r="F1238" s="58"/>
      <c r="G1238" s="58"/>
      <c r="H1238" s="58"/>
      <c r="I1238" s="59"/>
      <c r="J1238" s="59"/>
      <c r="K1238" s="59"/>
      <c r="L1238" s="59"/>
      <c r="M1238" s="59"/>
      <c r="N1238" s="59"/>
      <c r="O1238" s="59"/>
      <c r="P1238" s="59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</row>
    <row r="1239" ht="27.75" customHeight="1">
      <c r="A1239" s="58"/>
      <c r="B1239" s="149"/>
      <c r="C1239" s="58"/>
      <c r="D1239" s="58"/>
      <c r="E1239" s="58"/>
      <c r="F1239" s="58"/>
      <c r="G1239" s="58"/>
      <c r="H1239" s="58"/>
      <c r="I1239" s="59"/>
      <c r="J1239" s="59"/>
      <c r="K1239" s="59"/>
      <c r="L1239" s="59"/>
      <c r="M1239" s="59"/>
      <c r="N1239" s="59"/>
      <c r="O1239" s="59"/>
      <c r="P1239" s="59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</row>
    <row r="1240" ht="27.75" customHeight="1">
      <c r="A1240" s="58"/>
      <c r="B1240" s="149"/>
      <c r="C1240" s="58"/>
      <c r="D1240" s="58"/>
      <c r="E1240" s="58"/>
      <c r="F1240" s="58"/>
      <c r="G1240" s="58"/>
      <c r="H1240" s="58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</row>
    <row r="1241" ht="27.75" customHeight="1">
      <c r="A1241" s="58"/>
      <c r="B1241" s="149"/>
      <c r="C1241" s="58"/>
      <c r="D1241" s="58"/>
      <c r="E1241" s="58"/>
      <c r="F1241" s="58"/>
      <c r="G1241" s="58"/>
      <c r="H1241" s="58"/>
      <c r="I1241" s="59"/>
      <c r="J1241" s="59"/>
      <c r="K1241" s="59"/>
      <c r="L1241" s="59"/>
      <c r="M1241" s="59"/>
      <c r="N1241" s="59"/>
      <c r="O1241" s="59"/>
      <c r="P1241" s="59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</row>
    <row r="1242" ht="27.75" customHeight="1">
      <c r="A1242" s="58"/>
      <c r="B1242" s="149"/>
      <c r="C1242" s="58"/>
      <c r="D1242" s="58"/>
      <c r="E1242" s="58"/>
      <c r="F1242" s="58"/>
      <c r="G1242" s="58"/>
      <c r="H1242" s="58"/>
      <c r="I1242" s="59"/>
      <c r="J1242" s="59"/>
      <c r="K1242" s="59"/>
      <c r="L1242" s="59"/>
      <c r="M1242" s="59"/>
      <c r="N1242" s="59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</row>
    <row r="1243" ht="27.75" customHeight="1">
      <c r="A1243" s="58"/>
      <c r="B1243" s="149"/>
      <c r="C1243" s="58"/>
      <c r="D1243" s="58"/>
      <c r="E1243" s="58"/>
      <c r="F1243" s="58"/>
      <c r="G1243" s="58"/>
      <c r="H1243" s="58"/>
      <c r="I1243" s="59"/>
      <c r="J1243" s="59"/>
      <c r="K1243" s="59"/>
      <c r="L1243" s="59"/>
      <c r="M1243" s="59"/>
      <c r="N1243" s="59"/>
      <c r="O1243" s="59"/>
      <c r="P1243" s="59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</row>
    <row r="1244" ht="27.75" customHeight="1">
      <c r="A1244" s="58"/>
      <c r="B1244" s="149"/>
      <c r="C1244" s="58"/>
      <c r="D1244" s="58"/>
      <c r="E1244" s="58"/>
      <c r="F1244" s="58"/>
      <c r="G1244" s="58"/>
      <c r="H1244" s="58"/>
      <c r="I1244" s="59"/>
      <c r="J1244" s="59"/>
      <c r="K1244" s="59"/>
      <c r="L1244" s="59"/>
      <c r="M1244" s="59"/>
      <c r="N1244" s="59"/>
      <c r="O1244" s="59"/>
      <c r="P1244" s="59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</row>
    <row r="1245" ht="27.75" customHeight="1">
      <c r="A1245" s="58"/>
      <c r="B1245" s="149"/>
      <c r="C1245" s="58"/>
      <c r="D1245" s="58"/>
      <c r="E1245" s="58"/>
      <c r="F1245" s="58"/>
      <c r="G1245" s="58"/>
      <c r="H1245" s="58"/>
      <c r="I1245" s="59"/>
      <c r="J1245" s="59"/>
      <c r="K1245" s="59"/>
      <c r="L1245" s="59"/>
      <c r="M1245" s="59"/>
      <c r="N1245" s="59"/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</row>
    <row r="1246" ht="27.75" customHeight="1">
      <c r="A1246" s="58"/>
      <c r="B1246" s="149"/>
      <c r="C1246" s="58"/>
      <c r="D1246" s="58"/>
      <c r="E1246" s="58"/>
      <c r="F1246" s="58"/>
      <c r="G1246" s="58"/>
      <c r="H1246" s="58"/>
      <c r="I1246" s="59"/>
      <c r="J1246" s="59"/>
      <c r="K1246" s="59"/>
      <c r="L1246" s="59"/>
      <c r="M1246" s="59"/>
      <c r="N1246" s="59"/>
      <c r="O1246" s="59"/>
      <c r="P1246" s="59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</row>
    <row r="1247" ht="27.75" customHeight="1">
      <c r="A1247" s="58"/>
      <c r="B1247" s="149"/>
      <c r="C1247" s="58"/>
      <c r="D1247" s="58"/>
      <c r="E1247" s="58"/>
      <c r="F1247" s="58"/>
      <c r="G1247" s="58"/>
      <c r="H1247" s="58"/>
      <c r="I1247" s="59"/>
      <c r="J1247" s="59"/>
      <c r="K1247" s="59"/>
      <c r="L1247" s="59"/>
      <c r="M1247" s="59"/>
      <c r="N1247" s="59"/>
      <c r="O1247" s="59"/>
      <c r="P1247" s="59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</row>
    <row r="1248" ht="27.75" customHeight="1">
      <c r="A1248" s="58"/>
      <c r="B1248" s="149"/>
      <c r="C1248" s="58"/>
      <c r="D1248" s="58"/>
      <c r="E1248" s="58"/>
      <c r="F1248" s="58"/>
      <c r="G1248" s="58"/>
      <c r="H1248" s="58"/>
      <c r="I1248" s="59"/>
      <c r="J1248" s="59"/>
      <c r="K1248" s="59"/>
      <c r="L1248" s="59"/>
      <c r="M1248" s="59"/>
      <c r="N1248" s="59"/>
      <c r="O1248" s="59"/>
      <c r="P1248" s="59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</row>
    <row r="1249" ht="27.75" customHeight="1">
      <c r="A1249" s="58"/>
      <c r="B1249" s="149"/>
      <c r="C1249" s="58"/>
      <c r="D1249" s="58"/>
      <c r="E1249" s="58"/>
      <c r="F1249" s="58"/>
      <c r="G1249" s="58"/>
      <c r="H1249" s="58"/>
      <c r="I1249" s="59"/>
      <c r="J1249" s="59"/>
      <c r="K1249" s="59"/>
      <c r="L1249" s="59"/>
      <c r="M1249" s="59"/>
      <c r="N1249" s="59"/>
      <c r="O1249" s="59"/>
      <c r="P1249" s="59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</row>
    <row r="1250" ht="27.75" customHeight="1">
      <c r="A1250" s="58"/>
      <c r="B1250" s="149"/>
      <c r="C1250" s="58"/>
      <c r="D1250" s="58"/>
      <c r="E1250" s="58"/>
      <c r="F1250" s="58"/>
      <c r="G1250" s="58"/>
      <c r="H1250" s="58"/>
      <c r="I1250" s="59"/>
      <c r="J1250" s="59"/>
      <c r="K1250" s="59"/>
      <c r="L1250" s="59"/>
      <c r="M1250" s="59"/>
      <c r="N1250" s="59"/>
      <c r="O1250" s="59"/>
      <c r="P1250" s="59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</row>
    <row r="1251" ht="27.75" customHeight="1">
      <c r="A1251" s="58"/>
      <c r="B1251" s="149"/>
      <c r="C1251" s="58"/>
      <c r="D1251" s="58"/>
      <c r="E1251" s="58"/>
      <c r="F1251" s="58"/>
      <c r="G1251" s="58"/>
      <c r="H1251" s="58"/>
      <c r="I1251" s="59"/>
      <c r="J1251" s="59"/>
      <c r="K1251" s="59"/>
      <c r="L1251" s="59"/>
      <c r="M1251" s="59"/>
      <c r="N1251" s="59"/>
      <c r="O1251" s="59"/>
      <c r="P1251" s="59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</row>
    <row r="1252" ht="27.75" customHeight="1">
      <c r="A1252" s="58"/>
      <c r="B1252" s="149"/>
      <c r="C1252" s="58"/>
      <c r="D1252" s="58"/>
      <c r="E1252" s="58"/>
      <c r="F1252" s="58"/>
      <c r="G1252" s="58"/>
      <c r="H1252" s="58"/>
      <c r="I1252" s="59"/>
      <c r="J1252" s="59"/>
      <c r="K1252" s="59"/>
      <c r="L1252" s="59"/>
      <c r="M1252" s="59"/>
      <c r="N1252" s="59"/>
      <c r="O1252" s="59"/>
      <c r="P1252" s="59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</row>
    <row r="1253" ht="27.75" customHeight="1">
      <c r="A1253" s="58"/>
      <c r="B1253" s="149"/>
      <c r="C1253" s="58"/>
      <c r="D1253" s="58"/>
      <c r="E1253" s="58"/>
      <c r="F1253" s="58"/>
      <c r="G1253" s="58"/>
      <c r="H1253" s="58"/>
      <c r="I1253" s="59"/>
      <c r="J1253" s="59"/>
      <c r="K1253" s="59"/>
      <c r="L1253" s="59"/>
      <c r="M1253" s="59"/>
      <c r="N1253" s="59"/>
      <c r="O1253" s="59"/>
      <c r="P1253" s="59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</row>
    <row r="1254" ht="27.75" customHeight="1">
      <c r="A1254" s="58"/>
      <c r="B1254" s="149"/>
      <c r="C1254" s="58"/>
      <c r="D1254" s="58"/>
      <c r="E1254" s="58"/>
      <c r="F1254" s="58"/>
      <c r="G1254" s="58"/>
      <c r="H1254" s="58"/>
      <c r="I1254" s="59"/>
      <c r="J1254" s="59"/>
      <c r="K1254" s="59"/>
      <c r="L1254" s="59"/>
      <c r="M1254" s="59"/>
      <c r="N1254" s="59"/>
      <c r="O1254" s="59"/>
      <c r="P1254" s="59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</row>
    <row r="1255" ht="27.75" customHeight="1">
      <c r="A1255" s="58"/>
      <c r="B1255" s="149"/>
      <c r="C1255" s="58"/>
      <c r="D1255" s="58"/>
      <c r="E1255" s="58"/>
      <c r="F1255" s="58"/>
      <c r="G1255" s="58"/>
      <c r="H1255" s="58"/>
      <c r="I1255" s="59"/>
      <c r="J1255" s="59"/>
      <c r="K1255" s="59"/>
      <c r="L1255" s="59"/>
      <c r="M1255" s="59"/>
      <c r="N1255" s="59"/>
      <c r="O1255" s="59"/>
      <c r="P1255" s="59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</row>
    <row r="1256" ht="27.75" customHeight="1">
      <c r="A1256" s="58"/>
      <c r="B1256" s="149"/>
      <c r="C1256" s="58"/>
      <c r="D1256" s="58"/>
      <c r="E1256" s="58"/>
      <c r="F1256" s="58"/>
      <c r="G1256" s="58"/>
      <c r="H1256" s="58"/>
      <c r="I1256" s="59"/>
      <c r="J1256" s="59"/>
      <c r="K1256" s="59"/>
      <c r="L1256" s="59"/>
      <c r="M1256" s="59"/>
      <c r="N1256" s="59"/>
      <c r="O1256" s="59"/>
      <c r="P1256" s="59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</row>
    <row r="1257" ht="27.75" customHeight="1">
      <c r="A1257" s="58"/>
      <c r="B1257" s="149"/>
      <c r="C1257" s="58"/>
      <c r="D1257" s="58"/>
      <c r="E1257" s="58"/>
      <c r="F1257" s="58"/>
      <c r="G1257" s="58"/>
      <c r="H1257" s="58"/>
      <c r="I1257" s="59"/>
      <c r="J1257" s="59"/>
      <c r="K1257" s="59"/>
      <c r="L1257" s="59"/>
      <c r="M1257" s="59"/>
      <c r="N1257" s="59"/>
      <c r="O1257" s="59"/>
      <c r="P1257" s="59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</row>
    <row r="1258" ht="27.75" customHeight="1">
      <c r="A1258" s="58"/>
      <c r="B1258" s="149"/>
      <c r="C1258" s="58"/>
      <c r="D1258" s="58"/>
      <c r="E1258" s="58"/>
      <c r="F1258" s="58"/>
      <c r="G1258" s="58"/>
      <c r="H1258" s="58"/>
      <c r="I1258" s="59"/>
      <c r="J1258" s="59"/>
      <c r="K1258" s="59"/>
      <c r="L1258" s="59"/>
      <c r="M1258" s="59"/>
      <c r="N1258" s="59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</row>
    <row r="1259" ht="27.75" customHeight="1">
      <c r="A1259" s="58"/>
      <c r="B1259" s="149"/>
      <c r="C1259" s="58"/>
      <c r="D1259" s="58"/>
      <c r="E1259" s="58"/>
      <c r="F1259" s="58"/>
      <c r="G1259" s="58"/>
      <c r="H1259" s="58"/>
      <c r="I1259" s="59"/>
      <c r="J1259" s="59"/>
      <c r="K1259" s="59"/>
      <c r="L1259" s="59"/>
      <c r="M1259" s="59"/>
      <c r="N1259" s="59"/>
      <c r="O1259" s="59"/>
      <c r="P1259" s="59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</row>
    <row r="1260" ht="27.75" customHeight="1">
      <c r="A1260" s="58"/>
      <c r="B1260" s="149"/>
      <c r="C1260" s="58"/>
      <c r="D1260" s="58"/>
      <c r="E1260" s="58"/>
      <c r="F1260" s="58"/>
      <c r="G1260" s="58"/>
      <c r="H1260" s="58"/>
      <c r="I1260" s="59"/>
      <c r="J1260" s="59"/>
      <c r="K1260" s="59"/>
      <c r="L1260" s="59"/>
      <c r="M1260" s="59"/>
      <c r="N1260" s="59"/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</row>
    <row r="1261" ht="27.75" customHeight="1">
      <c r="A1261" s="58"/>
      <c r="B1261" s="149"/>
      <c r="C1261" s="58"/>
      <c r="D1261" s="58"/>
      <c r="E1261" s="58"/>
      <c r="F1261" s="58"/>
      <c r="G1261" s="58"/>
      <c r="H1261" s="58"/>
      <c r="I1261" s="59"/>
      <c r="J1261" s="59"/>
      <c r="K1261" s="59"/>
      <c r="L1261" s="59"/>
      <c r="M1261" s="59"/>
      <c r="N1261" s="59"/>
      <c r="O1261" s="59"/>
      <c r="P1261" s="59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</row>
    <row r="1262" ht="27.75" customHeight="1">
      <c r="A1262" s="58"/>
      <c r="B1262" s="149"/>
      <c r="C1262" s="58"/>
      <c r="D1262" s="58"/>
      <c r="E1262" s="58"/>
      <c r="F1262" s="58"/>
      <c r="G1262" s="58"/>
      <c r="H1262" s="58"/>
      <c r="I1262" s="59"/>
      <c r="J1262" s="59"/>
      <c r="K1262" s="59"/>
      <c r="L1262" s="59"/>
      <c r="M1262" s="59"/>
      <c r="N1262" s="59"/>
      <c r="O1262" s="59"/>
      <c r="P1262" s="59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</row>
    <row r="1263" ht="27.75" customHeight="1">
      <c r="A1263" s="58"/>
      <c r="B1263" s="149"/>
      <c r="C1263" s="58"/>
      <c r="D1263" s="58"/>
      <c r="E1263" s="58"/>
      <c r="F1263" s="58"/>
      <c r="G1263" s="58"/>
      <c r="H1263" s="58"/>
      <c r="I1263" s="59"/>
      <c r="J1263" s="59"/>
      <c r="K1263" s="59"/>
      <c r="L1263" s="59"/>
      <c r="M1263" s="59"/>
      <c r="N1263" s="59"/>
      <c r="O1263" s="59"/>
      <c r="P1263" s="59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</row>
    <row r="1264" ht="27.75" customHeight="1">
      <c r="A1264" s="58"/>
      <c r="B1264" s="149"/>
      <c r="C1264" s="58"/>
      <c r="D1264" s="58"/>
      <c r="E1264" s="58"/>
      <c r="F1264" s="58"/>
      <c r="G1264" s="58"/>
      <c r="H1264" s="58"/>
      <c r="I1264" s="59"/>
      <c r="J1264" s="59"/>
      <c r="K1264" s="59"/>
      <c r="L1264" s="59"/>
      <c r="M1264" s="59"/>
      <c r="N1264" s="59"/>
      <c r="O1264" s="59"/>
      <c r="P1264" s="59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</row>
    <row r="1265" ht="27.75" customHeight="1">
      <c r="A1265" s="58"/>
      <c r="B1265" s="149"/>
      <c r="C1265" s="58"/>
      <c r="D1265" s="58"/>
      <c r="E1265" s="58"/>
      <c r="F1265" s="58"/>
      <c r="G1265" s="58"/>
      <c r="H1265" s="58"/>
      <c r="I1265" s="59"/>
      <c r="J1265" s="59"/>
      <c r="K1265" s="59"/>
      <c r="L1265" s="59"/>
      <c r="M1265" s="59"/>
      <c r="N1265" s="59"/>
      <c r="O1265" s="59"/>
      <c r="P1265" s="59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</row>
    <row r="1266" ht="27.75" customHeight="1">
      <c r="A1266" s="58"/>
      <c r="B1266" s="149"/>
      <c r="C1266" s="58"/>
      <c r="D1266" s="58"/>
      <c r="E1266" s="58"/>
      <c r="F1266" s="58"/>
      <c r="G1266" s="58"/>
      <c r="H1266" s="58"/>
      <c r="I1266" s="59"/>
      <c r="J1266" s="59"/>
      <c r="K1266" s="59"/>
      <c r="L1266" s="59"/>
      <c r="M1266" s="59"/>
      <c r="N1266" s="59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</row>
    <row r="1267" ht="27.75" customHeight="1">
      <c r="A1267" s="58"/>
      <c r="B1267" s="149"/>
      <c r="C1267" s="58"/>
      <c r="D1267" s="58"/>
      <c r="E1267" s="58"/>
      <c r="F1267" s="58"/>
      <c r="G1267" s="58"/>
      <c r="H1267" s="58"/>
      <c r="I1267" s="59"/>
      <c r="J1267" s="59"/>
      <c r="K1267" s="59"/>
      <c r="L1267" s="59"/>
      <c r="M1267" s="59"/>
      <c r="N1267" s="59"/>
      <c r="O1267" s="59"/>
      <c r="P1267" s="59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</row>
    <row r="1268" ht="27.75" customHeight="1">
      <c r="A1268" s="58"/>
      <c r="B1268" s="149"/>
      <c r="C1268" s="58"/>
      <c r="D1268" s="58"/>
      <c r="E1268" s="58"/>
      <c r="F1268" s="58"/>
      <c r="G1268" s="58"/>
      <c r="H1268" s="58"/>
      <c r="I1268" s="59"/>
      <c r="J1268" s="59"/>
      <c r="K1268" s="59"/>
      <c r="L1268" s="59"/>
      <c r="M1268" s="59"/>
      <c r="N1268" s="59"/>
      <c r="O1268" s="59"/>
      <c r="P1268" s="59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</row>
    <row r="1269" ht="27.75" customHeight="1">
      <c r="A1269" s="58"/>
      <c r="B1269" s="149"/>
      <c r="C1269" s="58"/>
      <c r="D1269" s="58"/>
      <c r="E1269" s="58"/>
      <c r="F1269" s="58"/>
      <c r="G1269" s="58"/>
      <c r="H1269" s="58"/>
      <c r="I1269" s="59"/>
      <c r="J1269" s="59"/>
      <c r="K1269" s="59"/>
      <c r="L1269" s="59"/>
      <c r="M1269" s="59"/>
      <c r="N1269" s="59"/>
      <c r="O1269" s="59"/>
      <c r="P1269" s="59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</row>
    <row r="1270" ht="27.75" customHeight="1">
      <c r="A1270" s="58"/>
      <c r="B1270" s="149"/>
      <c r="C1270" s="58"/>
      <c r="D1270" s="58"/>
      <c r="E1270" s="58"/>
      <c r="F1270" s="58"/>
      <c r="G1270" s="58"/>
      <c r="H1270" s="58"/>
      <c r="I1270" s="59"/>
      <c r="J1270" s="59"/>
      <c r="K1270" s="59"/>
      <c r="L1270" s="59"/>
      <c r="M1270" s="59"/>
      <c r="N1270" s="59"/>
      <c r="O1270" s="59"/>
      <c r="P1270" s="59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</row>
    <row r="1271" ht="27.75" customHeight="1">
      <c r="A1271" s="58"/>
      <c r="B1271" s="149"/>
      <c r="C1271" s="58"/>
      <c r="D1271" s="58"/>
      <c r="E1271" s="58"/>
      <c r="F1271" s="58"/>
      <c r="G1271" s="58"/>
      <c r="H1271" s="58"/>
      <c r="I1271" s="59"/>
      <c r="J1271" s="59"/>
      <c r="K1271" s="59"/>
      <c r="L1271" s="59"/>
      <c r="M1271" s="59"/>
      <c r="N1271" s="59"/>
      <c r="O1271" s="59"/>
      <c r="P1271" s="59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</row>
    <row r="1272" ht="27.75" customHeight="1">
      <c r="A1272" s="58"/>
      <c r="B1272" s="149"/>
      <c r="C1272" s="58"/>
      <c r="D1272" s="58"/>
      <c r="E1272" s="58"/>
      <c r="F1272" s="58"/>
      <c r="G1272" s="58"/>
      <c r="H1272" s="58"/>
      <c r="I1272" s="59"/>
      <c r="J1272" s="59"/>
      <c r="K1272" s="59"/>
      <c r="L1272" s="59"/>
      <c r="M1272" s="59"/>
      <c r="N1272" s="59"/>
      <c r="O1272" s="59"/>
      <c r="P1272" s="59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</row>
    <row r="1273" ht="27.75" customHeight="1">
      <c r="A1273" s="58"/>
      <c r="B1273" s="149"/>
      <c r="C1273" s="58"/>
      <c r="D1273" s="58"/>
      <c r="E1273" s="58"/>
      <c r="F1273" s="58"/>
      <c r="G1273" s="58"/>
      <c r="H1273" s="58"/>
      <c r="I1273" s="59"/>
      <c r="J1273" s="59"/>
      <c r="K1273" s="59"/>
      <c r="L1273" s="59"/>
      <c r="M1273" s="59"/>
      <c r="N1273" s="59"/>
      <c r="O1273" s="59"/>
      <c r="P1273" s="59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</row>
    <row r="1274" ht="27.75" customHeight="1">
      <c r="A1274" s="58"/>
      <c r="B1274" s="149"/>
      <c r="C1274" s="58"/>
      <c r="D1274" s="58"/>
      <c r="E1274" s="58"/>
      <c r="F1274" s="58"/>
      <c r="G1274" s="58"/>
      <c r="H1274" s="58"/>
      <c r="I1274" s="59"/>
      <c r="J1274" s="59"/>
      <c r="K1274" s="59"/>
      <c r="L1274" s="59"/>
      <c r="M1274" s="59"/>
      <c r="N1274" s="59"/>
      <c r="O1274" s="59"/>
      <c r="P1274" s="59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</row>
    <row r="1275" ht="27.75" customHeight="1">
      <c r="A1275" s="58"/>
      <c r="B1275" s="149"/>
      <c r="C1275" s="58"/>
      <c r="D1275" s="58"/>
      <c r="E1275" s="58"/>
      <c r="F1275" s="58"/>
      <c r="G1275" s="58"/>
      <c r="H1275" s="58"/>
      <c r="I1275" s="59"/>
      <c r="J1275" s="59"/>
      <c r="K1275" s="59"/>
      <c r="L1275" s="59"/>
      <c r="M1275" s="59"/>
      <c r="N1275" s="59"/>
      <c r="O1275" s="59"/>
      <c r="P1275" s="59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</row>
    <row r="1276" ht="27.75" customHeight="1">
      <c r="A1276" s="58"/>
      <c r="B1276" s="149"/>
      <c r="C1276" s="58"/>
      <c r="D1276" s="58"/>
      <c r="E1276" s="58"/>
      <c r="F1276" s="58"/>
      <c r="G1276" s="58"/>
      <c r="H1276" s="58"/>
      <c r="I1276" s="59"/>
      <c r="J1276" s="59"/>
      <c r="K1276" s="59"/>
      <c r="L1276" s="59"/>
      <c r="M1276" s="59"/>
      <c r="N1276" s="59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</row>
    <row r="1277" ht="27.75" customHeight="1">
      <c r="A1277" s="58"/>
      <c r="B1277" s="149"/>
      <c r="C1277" s="58"/>
      <c r="D1277" s="58"/>
      <c r="E1277" s="58"/>
      <c r="F1277" s="58"/>
      <c r="G1277" s="58"/>
      <c r="H1277" s="58"/>
      <c r="I1277" s="59"/>
      <c r="J1277" s="59"/>
      <c r="K1277" s="59"/>
      <c r="L1277" s="59"/>
      <c r="M1277" s="59"/>
      <c r="N1277" s="59"/>
      <c r="O1277" s="59"/>
      <c r="P1277" s="59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</row>
    <row r="1278" ht="27.75" customHeight="1">
      <c r="A1278" s="58"/>
      <c r="B1278" s="149"/>
      <c r="C1278" s="58"/>
      <c r="D1278" s="58"/>
      <c r="E1278" s="58"/>
      <c r="F1278" s="58"/>
      <c r="G1278" s="58"/>
      <c r="H1278" s="58"/>
      <c r="I1278" s="59"/>
      <c r="J1278" s="59"/>
      <c r="K1278" s="59"/>
      <c r="L1278" s="59"/>
      <c r="M1278" s="59"/>
      <c r="N1278" s="59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</row>
    <row r="1279" ht="27.75" customHeight="1">
      <c r="A1279" s="58"/>
      <c r="B1279" s="149"/>
      <c r="C1279" s="58"/>
      <c r="D1279" s="58"/>
      <c r="E1279" s="58"/>
      <c r="F1279" s="58"/>
      <c r="G1279" s="58"/>
      <c r="H1279" s="58"/>
      <c r="I1279" s="59"/>
      <c r="J1279" s="59"/>
      <c r="K1279" s="59"/>
      <c r="L1279" s="59"/>
      <c r="M1279" s="59"/>
      <c r="N1279" s="59"/>
      <c r="O1279" s="59"/>
      <c r="P1279" s="59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</row>
    <row r="1280" ht="27.75" customHeight="1">
      <c r="A1280" s="58"/>
      <c r="B1280" s="149"/>
      <c r="C1280" s="58"/>
      <c r="D1280" s="58"/>
      <c r="E1280" s="58"/>
      <c r="F1280" s="58"/>
      <c r="G1280" s="58"/>
      <c r="H1280" s="58"/>
      <c r="I1280" s="59"/>
      <c r="J1280" s="59"/>
      <c r="K1280" s="59"/>
      <c r="L1280" s="59"/>
      <c r="M1280" s="59"/>
      <c r="N1280" s="59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</row>
    <row r="1281" ht="27.75" customHeight="1">
      <c r="A1281" s="58"/>
      <c r="B1281" s="149"/>
      <c r="C1281" s="58"/>
      <c r="D1281" s="58"/>
      <c r="E1281" s="58"/>
      <c r="F1281" s="58"/>
      <c r="G1281" s="58"/>
      <c r="H1281" s="58"/>
      <c r="I1281" s="59"/>
      <c r="J1281" s="59"/>
      <c r="K1281" s="59"/>
      <c r="L1281" s="59"/>
      <c r="M1281" s="59"/>
      <c r="N1281" s="59"/>
      <c r="O1281" s="59"/>
      <c r="P1281" s="59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</row>
    <row r="1282" ht="27.75" customHeight="1">
      <c r="A1282" s="58"/>
      <c r="B1282" s="149"/>
      <c r="C1282" s="58"/>
      <c r="D1282" s="58"/>
      <c r="E1282" s="58"/>
      <c r="F1282" s="58"/>
      <c r="G1282" s="58"/>
      <c r="H1282" s="58"/>
      <c r="I1282" s="59"/>
      <c r="J1282" s="59"/>
      <c r="K1282" s="59"/>
      <c r="L1282" s="59"/>
      <c r="M1282" s="59"/>
      <c r="N1282" s="59"/>
      <c r="O1282" s="59"/>
      <c r="P1282" s="59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</row>
    <row r="1283" ht="27.75" customHeight="1">
      <c r="A1283" s="58"/>
      <c r="B1283" s="149"/>
      <c r="C1283" s="58"/>
      <c r="D1283" s="58"/>
      <c r="E1283" s="58"/>
      <c r="F1283" s="58"/>
      <c r="G1283" s="58"/>
      <c r="H1283" s="58"/>
      <c r="I1283" s="59"/>
      <c r="J1283" s="59"/>
      <c r="K1283" s="59"/>
      <c r="L1283" s="59"/>
      <c r="M1283" s="59"/>
      <c r="N1283" s="59"/>
      <c r="O1283" s="59"/>
      <c r="P1283" s="59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</row>
    <row r="1284" ht="27.75" customHeight="1">
      <c r="A1284" s="58"/>
      <c r="B1284" s="149"/>
      <c r="C1284" s="58"/>
      <c r="D1284" s="58"/>
      <c r="E1284" s="58"/>
      <c r="F1284" s="58"/>
      <c r="G1284" s="58"/>
      <c r="H1284" s="58"/>
      <c r="I1284" s="59"/>
      <c r="J1284" s="59"/>
      <c r="K1284" s="59"/>
      <c r="L1284" s="59"/>
      <c r="M1284" s="59"/>
      <c r="N1284" s="59"/>
      <c r="O1284" s="59"/>
      <c r="P1284" s="59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</row>
    <row r="1285" ht="27.75" customHeight="1">
      <c r="A1285" s="58"/>
      <c r="B1285" s="149"/>
      <c r="C1285" s="58"/>
      <c r="D1285" s="58"/>
      <c r="E1285" s="58"/>
      <c r="F1285" s="58"/>
      <c r="G1285" s="58"/>
      <c r="H1285" s="58"/>
      <c r="I1285" s="59"/>
      <c r="J1285" s="59"/>
      <c r="K1285" s="59"/>
      <c r="L1285" s="59"/>
      <c r="M1285" s="59"/>
      <c r="N1285" s="59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</row>
    <row r="1286" ht="27.75" customHeight="1">
      <c r="A1286" s="58"/>
      <c r="B1286" s="149"/>
      <c r="C1286" s="58"/>
      <c r="D1286" s="58"/>
      <c r="E1286" s="58"/>
      <c r="F1286" s="58"/>
      <c r="G1286" s="58"/>
      <c r="H1286" s="58"/>
      <c r="I1286" s="59"/>
      <c r="J1286" s="59"/>
      <c r="K1286" s="59"/>
      <c r="L1286" s="59"/>
      <c r="M1286" s="59"/>
      <c r="N1286" s="59"/>
      <c r="O1286" s="59"/>
      <c r="P1286" s="59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</row>
    <row r="1287" ht="27.75" customHeight="1">
      <c r="A1287" s="58"/>
      <c r="B1287" s="149"/>
      <c r="C1287" s="58"/>
      <c r="D1287" s="58"/>
      <c r="E1287" s="58"/>
      <c r="F1287" s="58"/>
      <c r="G1287" s="58"/>
      <c r="H1287" s="58"/>
      <c r="I1287" s="59"/>
      <c r="J1287" s="59"/>
      <c r="K1287" s="59"/>
      <c r="L1287" s="59"/>
      <c r="M1287" s="59"/>
      <c r="N1287" s="59"/>
      <c r="O1287" s="59"/>
      <c r="P1287" s="59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</row>
    <row r="1288" ht="27.75" customHeight="1">
      <c r="A1288" s="58"/>
      <c r="B1288" s="149"/>
      <c r="C1288" s="58"/>
      <c r="D1288" s="58"/>
      <c r="E1288" s="58"/>
      <c r="F1288" s="58"/>
      <c r="G1288" s="58"/>
      <c r="H1288" s="58"/>
      <c r="I1288" s="59"/>
      <c r="J1288" s="59"/>
      <c r="K1288" s="59"/>
      <c r="L1288" s="59"/>
      <c r="M1288" s="59"/>
      <c r="N1288" s="59"/>
      <c r="O1288" s="59"/>
      <c r="P1288" s="59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</row>
    <row r="1289" ht="27.75" customHeight="1">
      <c r="A1289" s="58"/>
      <c r="B1289" s="149"/>
      <c r="C1289" s="58"/>
      <c r="D1289" s="58"/>
      <c r="E1289" s="58"/>
      <c r="F1289" s="58"/>
      <c r="G1289" s="58"/>
      <c r="H1289" s="58"/>
      <c r="I1289" s="59"/>
      <c r="J1289" s="59"/>
      <c r="K1289" s="59"/>
      <c r="L1289" s="59"/>
      <c r="M1289" s="59"/>
      <c r="N1289" s="59"/>
      <c r="O1289" s="59"/>
      <c r="P1289" s="59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</row>
    <row r="1290" ht="27.75" customHeight="1">
      <c r="A1290" s="58"/>
      <c r="B1290" s="149"/>
      <c r="C1290" s="58"/>
      <c r="D1290" s="58"/>
      <c r="E1290" s="58"/>
      <c r="F1290" s="58"/>
      <c r="G1290" s="58"/>
      <c r="H1290" s="58"/>
      <c r="I1290" s="59"/>
      <c r="J1290" s="59"/>
      <c r="K1290" s="59"/>
      <c r="L1290" s="59"/>
      <c r="M1290" s="59"/>
      <c r="N1290" s="59"/>
      <c r="O1290" s="59"/>
      <c r="P1290" s="59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</row>
    <row r="1291" ht="27.75" customHeight="1">
      <c r="A1291" s="58"/>
      <c r="B1291" s="149"/>
      <c r="C1291" s="58"/>
      <c r="D1291" s="58"/>
      <c r="E1291" s="58"/>
      <c r="F1291" s="58"/>
      <c r="G1291" s="58"/>
      <c r="H1291" s="58"/>
      <c r="I1291" s="59"/>
      <c r="J1291" s="59"/>
      <c r="K1291" s="59"/>
      <c r="L1291" s="59"/>
      <c r="M1291" s="59"/>
      <c r="N1291" s="59"/>
      <c r="O1291" s="59"/>
      <c r="P1291" s="59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</row>
    <row r="1292" ht="27.75" customHeight="1">
      <c r="A1292" s="58"/>
      <c r="B1292" s="149"/>
      <c r="C1292" s="58"/>
      <c r="D1292" s="58"/>
      <c r="E1292" s="58"/>
      <c r="F1292" s="58"/>
      <c r="G1292" s="58"/>
      <c r="H1292" s="58"/>
      <c r="I1292" s="59"/>
      <c r="J1292" s="59"/>
      <c r="K1292" s="59"/>
      <c r="L1292" s="59"/>
      <c r="M1292" s="59"/>
      <c r="N1292" s="59"/>
      <c r="O1292" s="59"/>
      <c r="P1292" s="59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</row>
    <row r="1293" ht="27.75" customHeight="1">
      <c r="A1293" s="58"/>
      <c r="B1293" s="149"/>
      <c r="C1293" s="58"/>
      <c r="D1293" s="58"/>
      <c r="E1293" s="58"/>
      <c r="F1293" s="58"/>
      <c r="G1293" s="58"/>
      <c r="H1293" s="58"/>
      <c r="I1293" s="59"/>
      <c r="J1293" s="59"/>
      <c r="K1293" s="59"/>
      <c r="L1293" s="59"/>
      <c r="M1293" s="59"/>
      <c r="N1293" s="59"/>
      <c r="O1293" s="59"/>
      <c r="P1293" s="59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</row>
    <row r="1294" ht="27.75" customHeight="1">
      <c r="A1294" s="58"/>
      <c r="B1294" s="149"/>
      <c r="C1294" s="58"/>
      <c r="D1294" s="58"/>
      <c r="E1294" s="58"/>
      <c r="F1294" s="58"/>
      <c r="G1294" s="58"/>
      <c r="H1294" s="58"/>
      <c r="I1294" s="59"/>
      <c r="J1294" s="59"/>
      <c r="K1294" s="59"/>
      <c r="L1294" s="59"/>
      <c r="M1294" s="59"/>
      <c r="N1294" s="59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</row>
    <row r="1295" ht="27.75" customHeight="1">
      <c r="A1295" s="58"/>
      <c r="B1295" s="149"/>
      <c r="C1295" s="58"/>
      <c r="D1295" s="58"/>
      <c r="E1295" s="58"/>
      <c r="F1295" s="58"/>
      <c r="G1295" s="58"/>
      <c r="H1295" s="58"/>
      <c r="I1295" s="59"/>
      <c r="J1295" s="59"/>
      <c r="K1295" s="59"/>
      <c r="L1295" s="59"/>
      <c r="M1295" s="59"/>
      <c r="N1295" s="59"/>
      <c r="O1295" s="59"/>
      <c r="P1295" s="59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</row>
    <row r="1296" ht="27.75" customHeight="1">
      <c r="A1296" s="58"/>
      <c r="B1296" s="149"/>
      <c r="C1296" s="58"/>
      <c r="D1296" s="58"/>
      <c r="E1296" s="58"/>
      <c r="F1296" s="58"/>
      <c r="G1296" s="58"/>
      <c r="H1296" s="58"/>
      <c r="I1296" s="59"/>
      <c r="J1296" s="59"/>
      <c r="K1296" s="59"/>
      <c r="L1296" s="59"/>
      <c r="M1296" s="59"/>
      <c r="N1296" s="59"/>
      <c r="O1296" s="59"/>
      <c r="P1296" s="59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</row>
    <row r="1297" ht="27.75" customHeight="1">
      <c r="A1297" s="58"/>
      <c r="B1297" s="149"/>
      <c r="C1297" s="58"/>
      <c r="D1297" s="58"/>
      <c r="E1297" s="58"/>
      <c r="F1297" s="58"/>
      <c r="G1297" s="58"/>
      <c r="H1297" s="58"/>
      <c r="I1297" s="59"/>
      <c r="J1297" s="59"/>
      <c r="K1297" s="59"/>
      <c r="L1297" s="59"/>
      <c r="M1297" s="59"/>
      <c r="N1297" s="59"/>
      <c r="O1297" s="59"/>
      <c r="P1297" s="59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</row>
    <row r="1298" ht="27.75" customHeight="1">
      <c r="A1298" s="58"/>
      <c r="B1298" s="149"/>
      <c r="C1298" s="58"/>
      <c r="D1298" s="58"/>
      <c r="E1298" s="58"/>
      <c r="F1298" s="58"/>
      <c r="G1298" s="58"/>
      <c r="H1298" s="58"/>
      <c r="I1298" s="59"/>
      <c r="J1298" s="59"/>
      <c r="K1298" s="59"/>
      <c r="L1298" s="59"/>
      <c r="M1298" s="59"/>
      <c r="N1298" s="59"/>
      <c r="O1298" s="59"/>
      <c r="P1298" s="59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</row>
    <row r="1299" ht="27.75" customHeight="1">
      <c r="A1299" s="58"/>
      <c r="B1299" s="149"/>
      <c r="C1299" s="58"/>
      <c r="D1299" s="58"/>
      <c r="E1299" s="58"/>
      <c r="F1299" s="58"/>
      <c r="G1299" s="58"/>
      <c r="H1299" s="58"/>
      <c r="I1299" s="59"/>
      <c r="J1299" s="59"/>
      <c r="K1299" s="59"/>
      <c r="L1299" s="59"/>
      <c r="M1299" s="59"/>
      <c r="N1299" s="59"/>
      <c r="O1299" s="59"/>
      <c r="P1299" s="59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</row>
    <row r="1300" ht="27.75" customHeight="1">
      <c r="A1300" s="58"/>
      <c r="B1300" s="149"/>
      <c r="C1300" s="58"/>
      <c r="D1300" s="58"/>
      <c r="E1300" s="58"/>
      <c r="F1300" s="58"/>
      <c r="G1300" s="58"/>
      <c r="H1300" s="58"/>
      <c r="I1300" s="59"/>
      <c r="J1300" s="59"/>
      <c r="K1300" s="59"/>
      <c r="L1300" s="59"/>
      <c r="M1300" s="59"/>
      <c r="N1300" s="59"/>
      <c r="O1300" s="59"/>
      <c r="P1300" s="59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</row>
    <row r="1301" ht="27.75" customHeight="1">
      <c r="A1301" s="58"/>
      <c r="B1301" s="149"/>
      <c r="C1301" s="58"/>
      <c r="D1301" s="58"/>
      <c r="E1301" s="58"/>
      <c r="F1301" s="58"/>
      <c r="G1301" s="58"/>
      <c r="H1301" s="58"/>
      <c r="I1301" s="59"/>
      <c r="J1301" s="59"/>
      <c r="K1301" s="59"/>
      <c r="L1301" s="59"/>
      <c r="M1301" s="59"/>
      <c r="N1301" s="59"/>
      <c r="O1301" s="59"/>
      <c r="P1301" s="59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</row>
    <row r="1302" ht="27.75" customHeight="1">
      <c r="A1302" s="58"/>
      <c r="B1302" s="149"/>
      <c r="C1302" s="58"/>
      <c r="D1302" s="58"/>
      <c r="E1302" s="58"/>
      <c r="F1302" s="58"/>
      <c r="G1302" s="58"/>
      <c r="H1302" s="58"/>
      <c r="I1302" s="59"/>
      <c r="J1302" s="59"/>
      <c r="K1302" s="59"/>
      <c r="L1302" s="59"/>
      <c r="M1302" s="59"/>
      <c r="N1302" s="59"/>
      <c r="O1302" s="59"/>
      <c r="P1302" s="59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</row>
    <row r="1303" ht="27.75" customHeight="1">
      <c r="A1303" s="58"/>
      <c r="B1303" s="149"/>
      <c r="C1303" s="58"/>
      <c r="D1303" s="58"/>
      <c r="E1303" s="58"/>
      <c r="F1303" s="58"/>
      <c r="G1303" s="58"/>
      <c r="H1303" s="58"/>
      <c r="I1303" s="59"/>
      <c r="J1303" s="59"/>
      <c r="K1303" s="59"/>
      <c r="L1303" s="59"/>
      <c r="M1303" s="59"/>
      <c r="N1303" s="59"/>
      <c r="O1303" s="59"/>
      <c r="P1303" s="59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</row>
    <row r="1304" ht="27.75" customHeight="1">
      <c r="A1304" s="58"/>
      <c r="B1304" s="149"/>
      <c r="C1304" s="58"/>
      <c r="D1304" s="58"/>
      <c r="E1304" s="58"/>
      <c r="F1304" s="58"/>
      <c r="G1304" s="58"/>
      <c r="H1304" s="58"/>
      <c r="I1304" s="59"/>
      <c r="J1304" s="59"/>
      <c r="K1304" s="59"/>
      <c r="L1304" s="59"/>
      <c r="M1304" s="59"/>
      <c r="N1304" s="59"/>
      <c r="O1304" s="59"/>
      <c r="P1304" s="59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</row>
    <row r="1305" ht="27.75" customHeight="1">
      <c r="A1305" s="58"/>
      <c r="B1305" s="149"/>
      <c r="C1305" s="58"/>
      <c r="D1305" s="58"/>
      <c r="E1305" s="58"/>
      <c r="F1305" s="58"/>
      <c r="G1305" s="58"/>
      <c r="H1305" s="58"/>
      <c r="I1305" s="59"/>
      <c r="J1305" s="59"/>
      <c r="K1305" s="59"/>
      <c r="L1305" s="59"/>
      <c r="M1305" s="59"/>
      <c r="N1305" s="59"/>
      <c r="O1305" s="59"/>
      <c r="P1305" s="59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</row>
    <row r="1306" ht="27.75" customHeight="1">
      <c r="A1306" s="58"/>
      <c r="B1306" s="149"/>
      <c r="C1306" s="58"/>
      <c r="D1306" s="58"/>
      <c r="E1306" s="58"/>
      <c r="F1306" s="58"/>
      <c r="G1306" s="58"/>
      <c r="H1306" s="58"/>
      <c r="I1306" s="59"/>
      <c r="J1306" s="59"/>
      <c r="K1306" s="59"/>
      <c r="L1306" s="59"/>
      <c r="M1306" s="59"/>
      <c r="N1306" s="59"/>
      <c r="O1306" s="59"/>
      <c r="P1306" s="59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</row>
    <row r="1307" ht="27.75" customHeight="1">
      <c r="A1307" s="58"/>
      <c r="B1307" s="149"/>
      <c r="C1307" s="58"/>
      <c r="D1307" s="58"/>
      <c r="E1307" s="58"/>
      <c r="F1307" s="58"/>
      <c r="G1307" s="58"/>
      <c r="H1307" s="58"/>
      <c r="I1307" s="59"/>
      <c r="J1307" s="59"/>
      <c r="K1307" s="59"/>
      <c r="L1307" s="59"/>
      <c r="M1307" s="59"/>
      <c r="N1307" s="59"/>
      <c r="O1307" s="59"/>
      <c r="P1307" s="59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</row>
    <row r="1308" ht="27.75" customHeight="1">
      <c r="A1308" s="58"/>
      <c r="B1308" s="149"/>
      <c r="C1308" s="58"/>
      <c r="D1308" s="58"/>
      <c r="E1308" s="58"/>
      <c r="F1308" s="58"/>
      <c r="G1308" s="58"/>
      <c r="H1308" s="58"/>
      <c r="I1308" s="59"/>
      <c r="J1308" s="59"/>
      <c r="K1308" s="59"/>
      <c r="L1308" s="59"/>
      <c r="M1308" s="59"/>
      <c r="N1308" s="59"/>
      <c r="O1308" s="59"/>
      <c r="P1308" s="59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</row>
    <row r="1309" ht="27.75" customHeight="1">
      <c r="A1309" s="58"/>
      <c r="B1309" s="149"/>
      <c r="C1309" s="58"/>
      <c r="D1309" s="58"/>
      <c r="E1309" s="58"/>
      <c r="F1309" s="58"/>
      <c r="G1309" s="58"/>
      <c r="H1309" s="58"/>
      <c r="I1309" s="59"/>
      <c r="J1309" s="59"/>
      <c r="K1309" s="59"/>
      <c r="L1309" s="59"/>
      <c r="M1309" s="59"/>
      <c r="N1309" s="59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</row>
    <row r="1310" ht="27.75" customHeight="1">
      <c r="A1310" s="58"/>
      <c r="B1310" s="149"/>
      <c r="C1310" s="58"/>
      <c r="D1310" s="58"/>
      <c r="E1310" s="58"/>
      <c r="F1310" s="58"/>
      <c r="G1310" s="58"/>
      <c r="H1310" s="58"/>
      <c r="I1310" s="59"/>
      <c r="J1310" s="59"/>
      <c r="K1310" s="59"/>
      <c r="L1310" s="59"/>
      <c r="M1310" s="59"/>
      <c r="N1310" s="59"/>
      <c r="O1310" s="59"/>
      <c r="P1310" s="59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</row>
    <row r="1311" ht="27.75" customHeight="1">
      <c r="A1311" s="58"/>
      <c r="B1311" s="149"/>
      <c r="C1311" s="58"/>
      <c r="D1311" s="58"/>
      <c r="E1311" s="58"/>
      <c r="F1311" s="58"/>
      <c r="G1311" s="58"/>
      <c r="H1311" s="58"/>
      <c r="I1311" s="59"/>
      <c r="J1311" s="59"/>
      <c r="K1311" s="59"/>
      <c r="L1311" s="59"/>
      <c r="M1311" s="59"/>
      <c r="N1311" s="59"/>
      <c r="O1311" s="59"/>
      <c r="P1311" s="59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</row>
    <row r="1312" ht="27.75" customHeight="1">
      <c r="A1312" s="58"/>
      <c r="B1312" s="149"/>
      <c r="C1312" s="58"/>
      <c r="D1312" s="58"/>
      <c r="E1312" s="58"/>
      <c r="F1312" s="58"/>
      <c r="G1312" s="58"/>
      <c r="H1312" s="58"/>
      <c r="I1312" s="59"/>
      <c r="J1312" s="59"/>
      <c r="K1312" s="59"/>
      <c r="L1312" s="59"/>
      <c r="M1312" s="59"/>
      <c r="N1312" s="59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</row>
    <row r="1313" ht="27.75" customHeight="1">
      <c r="A1313" s="58"/>
      <c r="B1313" s="149"/>
      <c r="C1313" s="58"/>
      <c r="D1313" s="58"/>
      <c r="E1313" s="58"/>
      <c r="F1313" s="58"/>
      <c r="G1313" s="58"/>
      <c r="H1313" s="58"/>
      <c r="I1313" s="59"/>
      <c r="J1313" s="59"/>
      <c r="K1313" s="59"/>
      <c r="L1313" s="59"/>
      <c r="M1313" s="59"/>
      <c r="N1313" s="59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</row>
    <row r="1314" ht="27.75" customHeight="1">
      <c r="A1314" s="58"/>
      <c r="B1314" s="149"/>
      <c r="C1314" s="58"/>
      <c r="D1314" s="58"/>
      <c r="E1314" s="58"/>
      <c r="F1314" s="58"/>
      <c r="G1314" s="58"/>
      <c r="H1314" s="58"/>
      <c r="I1314" s="59"/>
      <c r="J1314" s="59"/>
      <c r="K1314" s="59"/>
      <c r="L1314" s="59"/>
      <c r="M1314" s="59"/>
      <c r="N1314" s="59"/>
      <c r="O1314" s="59"/>
      <c r="P1314" s="59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</row>
    <row r="1315" ht="27.75" customHeight="1">
      <c r="A1315" s="58"/>
      <c r="B1315" s="149"/>
      <c r="C1315" s="58"/>
      <c r="D1315" s="58"/>
      <c r="E1315" s="58"/>
      <c r="F1315" s="58"/>
      <c r="G1315" s="58"/>
      <c r="H1315" s="58"/>
      <c r="I1315" s="59"/>
      <c r="J1315" s="59"/>
      <c r="K1315" s="59"/>
      <c r="L1315" s="59"/>
      <c r="M1315" s="59"/>
      <c r="N1315" s="59"/>
      <c r="O1315" s="59"/>
      <c r="P1315" s="59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</row>
    <row r="1316" ht="27.75" customHeight="1">
      <c r="A1316" s="58"/>
      <c r="B1316" s="149"/>
      <c r="C1316" s="58"/>
      <c r="D1316" s="58"/>
      <c r="E1316" s="58"/>
      <c r="F1316" s="58"/>
      <c r="G1316" s="58"/>
      <c r="H1316" s="58"/>
      <c r="I1316" s="59"/>
      <c r="J1316" s="59"/>
      <c r="K1316" s="59"/>
      <c r="L1316" s="59"/>
      <c r="M1316" s="59"/>
      <c r="N1316" s="59"/>
      <c r="O1316" s="59"/>
      <c r="P1316" s="59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</row>
    <row r="1317" ht="27.75" customHeight="1">
      <c r="A1317" s="58"/>
      <c r="B1317" s="149"/>
      <c r="C1317" s="58"/>
      <c r="D1317" s="58"/>
      <c r="E1317" s="58"/>
      <c r="F1317" s="58"/>
      <c r="G1317" s="58"/>
      <c r="H1317" s="58"/>
      <c r="I1317" s="59"/>
      <c r="J1317" s="59"/>
      <c r="K1317" s="59"/>
      <c r="L1317" s="59"/>
      <c r="M1317" s="59"/>
      <c r="N1317" s="59"/>
      <c r="O1317" s="59"/>
      <c r="P1317" s="59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</row>
    <row r="1318" ht="27.75" customHeight="1">
      <c r="A1318" s="58"/>
      <c r="B1318" s="149"/>
      <c r="C1318" s="58"/>
      <c r="D1318" s="58"/>
      <c r="E1318" s="58"/>
      <c r="F1318" s="58"/>
      <c r="G1318" s="58"/>
      <c r="H1318" s="58"/>
      <c r="I1318" s="59"/>
      <c r="J1318" s="59"/>
      <c r="K1318" s="59"/>
      <c r="L1318" s="59"/>
      <c r="M1318" s="59"/>
      <c r="N1318" s="59"/>
      <c r="O1318" s="59"/>
      <c r="P1318" s="59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</row>
    <row r="1319" ht="27.75" customHeight="1">
      <c r="A1319" s="58"/>
      <c r="B1319" s="149"/>
      <c r="C1319" s="58"/>
      <c r="D1319" s="58"/>
      <c r="E1319" s="58"/>
      <c r="F1319" s="58"/>
      <c r="G1319" s="58"/>
      <c r="H1319" s="58"/>
      <c r="I1319" s="59"/>
      <c r="J1319" s="59"/>
      <c r="K1319" s="59"/>
      <c r="L1319" s="59"/>
      <c r="M1319" s="59"/>
      <c r="N1319" s="59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</row>
    <row r="1320" ht="27.75" customHeight="1">
      <c r="A1320" s="58"/>
      <c r="B1320" s="149"/>
      <c r="C1320" s="58"/>
      <c r="D1320" s="58"/>
      <c r="E1320" s="58"/>
      <c r="F1320" s="58"/>
      <c r="G1320" s="58"/>
      <c r="H1320" s="58"/>
      <c r="I1320" s="59"/>
      <c r="J1320" s="59"/>
      <c r="K1320" s="59"/>
      <c r="L1320" s="59"/>
      <c r="M1320" s="59"/>
      <c r="N1320" s="59"/>
      <c r="O1320" s="59"/>
      <c r="P1320" s="59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</row>
    <row r="1321" ht="27.75" customHeight="1">
      <c r="A1321" s="58"/>
      <c r="B1321" s="149"/>
      <c r="C1321" s="58"/>
      <c r="D1321" s="58"/>
      <c r="E1321" s="58"/>
      <c r="F1321" s="58"/>
      <c r="G1321" s="58"/>
      <c r="H1321" s="58"/>
      <c r="I1321" s="59"/>
      <c r="J1321" s="59"/>
      <c r="K1321" s="59"/>
      <c r="L1321" s="59"/>
      <c r="M1321" s="59"/>
      <c r="N1321" s="59"/>
      <c r="O1321" s="59"/>
      <c r="P1321" s="59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</row>
    <row r="1322" ht="27.75" customHeight="1">
      <c r="A1322" s="58"/>
      <c r="B1322" s="149"/>
      <c r="C1322" s="58"/>
      <c r="D1322" s="58"/>
      <c r="E1322" s="58"/>
      <c r="F1322" s="58"/>
      <c r="G1322" s="58"/>
      <c r="H1322" s="58"/>
      <c r="I1322" s="59"/>
      <c r="J1322" s="59"/>
      <c r="K1322" s="59"/>
      <c r="L1322" s="59"/>
      <c r="M1322" s="59"/>
      <c r="N1322" s="59"/>
      <c r="O1322" s="59"/>
      <c r="P1322" s="59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</row>
    <row r="1323" ht="27.75" customHeight="1">
      <c r="A1323" s="58"/>
      <c r="B1323" s="149"/>
      <c r="C1323" s="58"/>
      <c r="D1323" s="58"/>
      <c r="E1323" s="58"/>
      <c r="F1323" s="58"/>
      <c r="G1323" s="58"/>
      <c r="H1323" s="58"/>
      <c r="I1323" s="59"/>
      <c r="J1323" s="59"/>
      <c r="K1323" s="59"/>
      <c r="L1323" s="59"/>
      <c r="M1323" s="59"/>
      <c r="N1323" s="59"/>
      <c r="O1323" s="59"/>
      <c r="P1323" s="59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</row>
    <row r="1324" ht="27.75" customHeight="1">
      <c r="A1324" s="58"/>
      <c r="B1324" s="149"/>
      <c r="C1324" s="58"/>
      <c r="D1324" s="58"/>
      <c r="E1324" s="58"/>
      <c r="F1324" s="58"/>
      <c r="G1324" s="58"/>
      <c r="H1324" s="58"/>
      <c r="I1324" s="59"/>
      <c r="J1324" s="59"/>
      <c r="K1324" s="59"/>
      <c r="L1324" s="59"/>
      <c r="M1324" s="59"/>
      <c r="N1324" s="59"/>
      <c r="O1324" s="59"/>
      <c r="P1324" s="59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</row>
    <row r="1325" ht="27.75" customHeight="1">
      <c r="A1325" s="58"/>
      <c r="B1325" s="149"/>
      <c r="C1325" s="58"/>
      <c r="D1325" s="58"/>
      <c r="E1325" s="58"/>
      <c r="F1325" s="58"/>
      <c r="G1325" s="58"/>
      <c r="H1325" s="58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</row>
    <row r="1326" ht="27.75" customHeight="1">
      <c r="A1326" s="58"/>
      <c r="B1326" s="149"/>
      <c r="C1326" s="58"/>
      <c r="D1326" s="58"/>
      <c r="E1326" s="58"/>
      <c r="F1326" s="58"/>
      <c r="G1326" s="58"/>
      <c r="H1326" s="58"/>
      <c r="I1326" s="59"/>
      <c r="J1326" s="59"/>
      <c r="K1326" s="59"/>
      <c r="L1326" s="59"/>
      <c r="M1326" s="59"/>
      <c r="N1326" s="59"/>
      <c r="O1326" s="59"/>
      <c r="P1326" s="59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</row>
    <row r="1327" ht="27.75" customHeight="1">
      <c r="A1327" s="58"/>
      <c r="B1327" s="149"/>
      <c r="C1327" s="58"/>
      <c r="D1327" s="58"/>
      <c r="E1327" s="58"/>
      <c r="F1327" s="58"/>
      <c r="G1327" s="58"/>
      <c r="H1327" s="58"/>
      <c r="I1327" s="59"/>
      <c r="J1327" s="59"/>
      <c r="K1327" s="59"/>
      <c r="L1327" s="59"/>
      <c r="M1327" s="59"/>
      <c r="N1327" s="59"/>
      <c r="O1327" s="59"/>
      <c r="P1327" s="59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</row>
    <row r="1328" ht="27.75" customHeight="1">
      <c r="A1328" s="58"/>
      <c r="B1328" s="149"/>
      <c r="C1328" s="58"/>
      <c r="D1328" s="58"/>
      <c r="E1328" s="58"/>
      <c r="F1328" s="58"/>
      <c r="G1328" s="58"/>
      <c r="H1328" s="58"/>
      <c r="I1328" s="59"/>
      <c r="J1328" s="59"/>
      <c r="K1328" s="59"/>
      <c r="L1328" s="59"/>
      <c r="M1328" s="59"/>
      <c r="N1328" s="59"/>
      <c r="O1328" s="59"/>
      <c r="P1328" s="59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</row>
    <row r="1329" ht="27.75" customHeight="1">
      <c r="A1329" s="58"/>
      <c r="B1329" s="149"/>
      <c r="C1329" s="58"/>
      <c r="D1329" s="58"/>
      <c r="E1329" s="58"/>
      <c r="F1329" s="58"/>
      <c r="G1329" s="58"/>
      <c r="H1329" s="58"/>
      <c r="I1329" s="59"/>
      <c r="J1329" s="59"/>
      <c r="K1329" s="59"/>
      <c r="L1329" s="59"/>
      <c r="M1329" s="59"/>
      <c r="N1329" s="59"/>
      <c r="O1329" s="59"/>
      <c r="P1329" s="59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</row>
    <row r="1330" ht="27.75" customHeight="1">
      <c r="A1330" s="58"/>
      <c r="B1330" s="149"/>
      <c r="C1330" s="58"/>
      <c r="D1330" s="58"/>
      <c r="E1330" s="58"/>
      <c r="F1330" s="58"/>
      <c r="G1330" s="58"/>
      <c r="H1330" s="58"/>
      <c r="I1330" s="59"/>
      <c r="J1330" s="59"/>
      <c r="K1330" s="59"/>
      <c r="L1330" s="59"/>
      <c r="M1330" s="59"/>
      <c r="N1330" s="59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</row>
    <row r="1331" ht="27.75" customHeight="1">
      <c r="A1331" s="58"/>
      <c r="B1331" s="149"/>
      <c r="C1331" s="58"/>
      <c r="D1331" s="58"/>
      <c r="E1331" s="58"/>
      <c r="F1331" s="58"/>
      <c r="G1331" s="58"/>
      <c r="H1331" s="58"/>
      <c r="I1331" s="59"/>
      <c r="J1331" s="59"/>
      <c r="K1331" s="59"/>
      <c r="L1331" s="59"/>
      <c r="M1331" s="59"/>
      <c r="N1331" s="59"/>
      <c r="O1331" s="59"/>
      <c r="P1331" s="59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</row>
    <row r="1332" ht="27.75" customHeight="1">
      <c r="A1332" s="58"/>
      <c r="B1332" s="149"/>
      <c r="C1332" s="58"/>
      <c r="D1332" s="58"/>
      <c r="E1332" s="58"/>
      <c r="F1332" s="58"/>
      <c r="G1332" s="58"/>
      <c r="H1332" s="58"/>
      <c r="I1332" s="59"/>
      <c r="J1332" s="59"/>
      <c r="K1332" s="59"/>
      <c r="L1332" s="59"/>
      <c r="M1332" s="59"/>
      <c r="N1332" s="59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</row>
    <row r="1333" ht="27.75" customHeight="1">
      <c r="A1333" s="58"/>
      <c r="B1333" s="149"/>
      <c r="C1333" s="58"/>
      <c r="D1333" s="58"/>
      <c r="E1333" s="58"/>
      <c r="F1333" s="58"/>
      <c r="G1333" s="58"/>
      <c r="H1333" s="58"/>
      <c r="I1333" s="59"/>
      <c r="J1333" s="59"/>
      <c r="K1333" s="59"/>
      <c r="L1333" s="59"/>
      <c r="M1333" s="59"/>
      <c r="N1333" s="59"/>
      <c r="O1333" s="59"/>
      <c r="P1333" s="59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</row>
    <row r="1334" ht="27.75" customHeight="1">
      <c r="A1334" s="58"/>
      <c r="B1334" s="149"/>
      <c r="C1334" s="58"/>
      <c r="D1334" s="58"/>
      <c r="E1334" s="58"/>
      <c r="F1334" s="58"/>
      <c r="G1334" s="58"/>
      <c r="H1334" s="58"/>
      <c r="I1334" s="59"/>
      <c r="J1334" s="59"/>
      <c r="K1334" s="59"/>
      <c r="L1334" s="59"/>
      <c r="M1334" s="59"/>
      <c r="N1334" s="59"/>
      <c r="O1334" s="59"/>
      <c r="P1334" s="59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</row>
    <row r="1335" ht="27.75" customHeight="1">
      <c r="A1335" s="58"/>
      <c r="B1335" s="149"/>
      <c r="C1335" s="58"/>
      <c r="D1335" s="58"/>
      <c r="E1335" s="58"/>
      <c r="F1335" s="58"/>
      <c r="G1335" s="58"/>
      <c r="H1335" s="58"/>
      <c r="I1335" s="59"/>
      <c r="J1335" s="59"/>
      <c r="K1335" s="59"/>
      <c r="L1335" s="59"/>
      <c r="M1335" s="59"/>
      <c r="N1335" s="59"/>
      <c r="O1335" s="59"/>
      <c r="P1335" s="59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</row>
    <row r="1336" ht="27.75" customHeight="1">
      <c r="A1336" s="58"/>
      <c r="B1336" s="149"/>
      <c r="C1336" s="58"/>
      <c r="D1336" s="58"/>
      <c r="E1336" s="58"/>
      <c r="F1336" s="58"/>
      <c r="G1336" s="58"/>
      <c r="H1336" s="58"/>
      <c r="I1336" s="59"/>
      <c r="J1336" s="59"/>
      <c r="K1336" s="59"/>
      <c r="L1336" s="59"/>
      <c r="M1336" s="59"/>
      <c r="N1336" s="59"/>
      <c r="O1336" s="59"/>
      <c r="P1336" s="59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</row>
    <row r="1337" ht="27.75" customHeight="1">
      <c r="A1337" s="58"/>
      <c r="B1337" s="149"/>
      <c r="C1337" s="58"/>
      <c r="D1337" s="58"/>
      <c r="E1337" s="58"/>
      <c r="F1337" s="58"/>
      <c r="G1337" s="58"/>
      <c r="H1337" s="58"/>
      <c r="I1337" s="59"/>
      <c r="J1337" s="59"/>
      <c r="K1337" s="59"/>
      <c r="L1337" s="59"/>
      <c r="M1337" s="59"/>
      <c r="N1337" s="59"/>
      <c r="O1337" s="59"/>
      <c r="P1337" s="59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</row>
    <row r="1338" ht="27.75" customHeight="1">
      <c r="A1338" s="58"/>
      <c r="B1338" s="149"/>
      <c r="C1338" s="58"/>
      <c r="D1338" s="58"/>
      <c r="E1338" s="58"/>
      <c r="F1338" s="58"/>
      <c r="G1338" s="58"/>
      <c r="H1338" s="58"/>
      <c r="I1338" s="59"/>
      <c r="J1338" s="59"/>
      <c r="K1338" s="59"/>
      <c r="L1338" s="59"/>
      <c r="M1338" s="59"/>
      <c r="N1338" s="59"/>
      <c r="O1338" s="59"/>
      <c r="P1338" s="59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</row>
    <row r="1339" ht="27.75" customHeight="1">
      <c r="A1339" s="58"/>
      <c r="B1339" s="149"/>
      <c r="C1339" s="58"/>
      <c r="D1339" s="58"/>
      <c r="E1339" s="58"/>
      <c r="F1339" s="58"/>
      <c r="G1339" s="58"/>
      <c r="H1339" s="58"/>
      <c r="I1339" s="59"/>
      <c r="J1339" s="59"/>
      <c r="K1339" s="59"/>
      <c r="L1339" s="59"/>
      <c r="M1339" s="59"/>
      <c r="N1339" s="59"/>
      <c r="O1339" s="59"/>
      <c r="P1339" s="59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</row>
    <row r="1340" ht="27.75" customHeight="1">
      <c r="A1340" s="58"/>
      <c r="B1340" s="149"/>
      <c r="C1340" s="58"/>
      <c r="D1340" s="58"/>
      <c r="E1340" s="58"/>
      <c r="F1340" s="58"/>
      <c r="G1340" s="58"/>
      <c r="H1340" s="58"/>
      <c r="I1340" s="59"/>
      <c r="J1340" s="59"/>
      <c r="K1340" s="59"/>
      <c r="L1340" s="59"/>
      <c r="M1340" s="59"/>
      <c r="N1340" s="59"/>
      <c r="O1340" s="59"/>
      <c r="P1340" s="59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</row>
    <row r="1341" ht="27.75" customHeight="1">
      <c r="A1341" s="58"/>
      <c r="B1341" s="149"/>
      <c r="C1341" s="58"/>
      <c r="D1341" s="58"/>
      <c r="E1341" s="58"/>
      <c r="F1341" s="58"/>
      <c r="G1341" s="58"/>
      <c r="H1341" s="58"/>
      <c r="I1341" s="59"/>
      <c r="J1341" s="59"/>
      <c r="K1341" s="59"/>
      <c r="L1341" s="59"/>
      <c r="M1341" s="59"/>
      <c r="N1341" s="59"/>
      <c r="O1341" s="59"/>
      <c r="P1341" s="59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</row>
    <row r="1342" ht="27.75" customHeight="1">
      <c r="A1342" s="58"/>
      <c r="B1342" s="149"/>
      <c r="C1342" s="58"/>
      <c r="D1342" s="58"/>
      <c r="E1342" s="58"/>
      <c r="F1342" s="58"/>
      <c r="G1342" s="58"/>
      <c r="H1342" s="58"/>
      <c r="I1342" s="59"/>
      <c r="J1342" s="59"/>
      <c r="K1342" s="59"/>
      <c r="L1342" s="59"/>
      <c r="M1342" s="59"/>
      <c r="N1342" s="59"/>
      <c r="O1342" s="59"/>
      <c r="P1342" s="59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</row>
    <row r="1343" ht="27.75" customHeight="1">
      <c r="A1343" s="58"/>
      <c r="B1343" s="149"/>
      <c r="C1343" s="58"/>
      <c r="D1343" s="58"/>
      <c r="E1343" s="58"/>
      <c r="F1343" s="58"/>
      <c r="G1343" s="58"/>
      <c r="H1343" s="58"/>
      <c r="I1343" s="59"/>
      <c r="J1343" s="59"/>
      <c r="K1343" s="59"/>
      <c r="L1343" s="59"/>
      <c r="M1343" s="59"/>
      <c r="N1343" s="59"/>
      <c r="O1343" s="59"/>
      <c r="P1343" s="59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</row>
    <row r="1344" ht="27.75" customHeight="1">
      <c r="A1344" s="58"/>
      <c r="B1344" s="149"/>
      <c r="C1344" s="58"/>
      <c r="D1344" s="58"/>
      <c r="E1344" s="58"/>
      <c r="F1344" s="58"/>
      <c r="G1344" s="58"/>
      <c r="H1344" s="58"/>
      <c r="I1344" s="59"/>
      <c r="J1344" s="59"/>
      <c r="K1344" s="59"/>
      <c r="L1344" s="59"/>
      <c r="M1344" s="59"/>
      <c r="N1344" s="59"/>
      <c r="O1344" s="59"/>
      <c r="P1344" s="59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</row>
    <row r="1345" ht="27.75" customHeight="1">
      <c r="A1345" s="58"/>
      <c r="B1345" s="149"/>
      <c r="C1345" s="58"/>
      <c r="D1345" s="58"/>
      <c r="E1345" s="58"/>
      <c r="F1345" s="58"/>
      <c r="G1345" s="58"/>
      <c r="H1345" s="58"/>
      <c r="I1345" s="59"/>
      <c r="J1345" s="59"/>
      <c r="K1345" s="59"/>
      <c r="L1345" s="59"/>
      <c r="M1345" s="59"/>
      <c r="N1345" s="59"/>
      <c r="O1345" s="59"/>
      <c r="P1345" s="59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</row>
    <row r="1346" ht="27.75" customHeight="1">
      <c r="A1346" s="58"/>
      <c r="B1346" s="149"/>
      <c r="C1346" s="58"/>
      <c r="D1346" s="58"/>
      <c r="E1346" s="58"/>
      <c r="F1346" s="58"/>
      <c r="G1346" s="58"/>
      <c r="H1346" s="58"/>
      <c r="I1346" s="59"/>
      <c r="J1346" s="59"/>
      <c r="K1346" s="59"/>
      <c r="L1346" s="59"/>
      <c r="M1346" s="59"/>
      <c r="N1346" s="59"/>
      <c r="O1346" s="59"/>
      <c r="P1346" s="59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</row>
    <row r="1347" ht="27.75" customHeight="1">
      <c r="A1347" s="58"/>
      <c r="B1347" s="149"/>
      <c r="C1347" s="58"/>
      <c r="D1347" s="58"/>
      <c r="E1347" s="58"/>
      <c r="F1347" s="58"/>
      <c r="G1347" s="58"/>
      <c r="H1347" s="58"/>
      <c r="I1347" s="59"/>
      <c r="J1347" s="59"/>
      <c r="K1347" s="59"/>
      <c r="L1347" s="59"/>
      <c r="M1347" s="59"/>
      <c r="N1347" s="59"/>
      <c r="O1347" s="59"/>
      <c r="P1347" s="59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</row>
    <row r="1348" ht="27.75" customHeight="1">
      <c r="A1348" s="58"/>
      <c r="B1348" s="149"/>
      <c r="C1348" s="58"/>
      <c r="D1348" s="58"/>
      <c r="E1348" s="58"/>
      <c r="F1348" s="58"/>
      <c r="G1348" s="58"/>
      <c r="H1348" s="58"/>
      <c r="I1348" s="59"/>
      <c r="J1348" s="59"/>
      <c r="K1348" s="59"/>
      <c r="L1348" s="59"/>
      <c r="M1348" s="59"/>
      <c r="N1348" s="59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</row>
    <row r="1349" ht="27.75" customHeight="1">
      <c r="A1349" s="58"/>
      <c r="B1349" s="149"/>
      <c r="C1349" s="58"/>
      <c r="D1349" s="58"/>
      <c r="E1349" s="58"/>
      <c r="F1349" s="58"/>
      <c r="G1349" s="58"/>
      <c r="H1349" s="58"/>
      <c r="I1349" s="59"/>
      <c r="J1349" s="59"/>
      <c r="K1349" s="59"/>
      <c r="L1349" s="59"/>
      <c r="M1349" s="59"/>
      <c r="N1349" s="59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</row>
    <row r="1350" ht="27.75" customHeight="1">
      <c r="A1350" s="58"/>
      <c r="B1350" s="149"/>
      <c r="C1350" s="58"/>
      <c r="D1350" s="58"/>
      <c r="E1350" s="58"/>
      <c r="F1350" s="58"/>
      <c r="G1350" s="58"/>
      <c r="H1350" s="58"/>
      <c r="I1350" s="59"/>
      <c r="J1350" s="59"/>
      <c r="K1350" s="59"/>
      <c r="L1350" s="59"/>
      <c r="M1350" s="59"/>
      <c r="N1350" s="59"/>
      <c r="O1350" s="59"/>
      <c r="P1350" s="59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</row>
    <row r="1351" ht="27.75" customHeight="1">
      <c r="A1351" s="58"/>
      <c r="B1351" s="149"/>
      <c r="C1351" s="58"/>
      <c r="D1351" s="58"/>
      <c r="E1351" s="58"/>
      <c r="F1351" s="58"/>
      <c r="G1351" s="58"/>
      <c r="H1351" s="58"/>
      <c r="I1351" s="59"/>
      <c r="J1351" s="59"/>
      <c r="K1351" s="59"/>
      <c r="L1351" s="59"/>
      <c r="M1351" s="59"/>
      <c r="N1351" s="59"/>
      <c r="O1351" s="59"/>
      <c r="P1351" s="59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</row>
    <row r="1352" ht="27.75" customHeight="1">
      <c r="A1352" s="58"/>
      <c r="B1352" s="149"/>
      <c r="C1352" s="58"/>
      <c r="D1352" s="58"/>
      <c r="E1352" s="58"/>
      <c r="F1352" s="58"/>
      <c r="G1352" s="58"/>
      <c r="H1352" s="58"/>
      <c r="I1352" s="59"/>
      <c r="J1352" s="59"/>
      <c r="K1352" s="59"/>
      <c r="L1352" s="59"/>
      <c r="M1352" s="59"/>
      <c r="N1352" s="59"/>
      <c r="O1352" s="59"/>
      <c r="P1352" s="59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</row>
    <row r="1353" ht="27.75" customHeight="1">
      <c r="A1353" s="58"/>
      <c r="B1353" s="149"/>
      <c r="C1353" s="58"/>
      <c r="D1353" s="58"/>
      <c r="E1353" s="58"/>
      <c r="F1353" s="58"/>
      <c r="G1353" s="58"/>
      <c r="H1353" s="58"/>
      <c r="I1353" s="59"/>
      <c r="J1353" s="59"/>
      <c r="K1353" s="59"/>
      <c r="L1353" s="59"/>
      <c r="M1353" s="59"/>
      <c r="N1353" s="59"/>
      <c r="O1353" s="59"/>
      <c r="P1353" s="59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</row>
    <row r="1354" ht="27.75" customHeight="1">
      <c r="A1354" s="58"/>
      <c r="B1354" s="149"/>
      <c r="C1354" s="58"/>
      <c r="D1354" s="58"/>
      <c r="E1354" s="58"/>
      <c r="F1354" s="58"/>
      <c r="G1354" s="58"/>
      <c r="H1354" s="58"/>
      <c r="I1354" s="59"/>
      <c r="J1354" s="59"/>
      <c r="K1354" s="59"/>
      <c r="L1354" s="59"/>
      <c r="M1354" s="59"/>
      <c r="N1354" s="59"/>
      <c r="O1354" s="59"/>
      <c r="P1354" s="59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</row>
    <row r="1355" ht="27.75" customHeight="1">
      <c r="A1355" s="58"/>
      <c r="B1355" s="149"/>
      <c r="C1355" s="58"/>
      <c r="D1355" s="58"/>
      <c r="E1355" s="58"/>
      <c r="F1355" s="58"/>
      <c r="G1355" s="58"/>
      <c r="H1355" s="58"/>
      <c r="I1355" s="59"/>
      <c r="J1355" s="59"/>
      <c r="K1355" s="59"/>
      <c r="L1355" s="59"/>
      <c r="M1355" s="59"/>
      <c r="N1355" s="59"/>
      <c r="O1355" s="59"/>
      <c r="P1355" s="59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</row>
    <row r="1356" ht="27.75" customHeight="1">
      <c r="A1356" s="58"/>
      <c r="B1356" s="149"/>
      <c r="C1356" s="58"/>
      <c r="D1356" s="58"/>
      <c r="E1356" s="58"/>
      <c r="F1356" s="58"/>
      <c r="G1356" s="58"/>
      <c r="H1356" s="58"/>
      <c r="I1356" s="59"/>
      <c r="J1356" s="59"/>
      <c r="K1356" s="59"/>
      <c r="L1356" s="59"/>
      <c r="M1356" s="59"/>
      <c r="N1356" s="59"/>
      <c r="O1356" s="59"/>
      <c r="P1356" s="59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</row>
    <row r="1357" ht="27.75" customHeight="1">
      <c r="A1357" s="58"/>
      <c r="B1357" s="149"/>
      <c r="C1357" s="58"/>
      <c r="D1357" s="58"/>
      <c r="E1357" s="58"/>
      <c r="F1357" s="58"/>
      <c r="G1357" s="58"/>
      <c r="H1357" s="58"/>
      <c r="I1357" s="59"/>
      <c r="J1357" s="59"/>
      <c r="K1357" s="59"/>
      <c r="L1357" s="59"/>
      <c r="M1357" s="59"/>
      <c r="N1357" s="59"/>
      <c r="O1357" s="59"/>
      <c r="P1357" s="59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</row>
    <row r="1358" ht="27.75" customHeight="1">
      <c r="A1358" s="58"/>
      <c r="B1358" s="149"/>
      <c r="C1358" s="58"/>
      <c r="D1358" s="58"/>
      <c r="E1358" s="58"/>
      <c r="F1358" s="58"/>
      <c r="G1358" s="58"/>
      <c r="H1358" s="58"/>
      <c r="I1358" s="59"/>
      <c r="J1358" s="59"/>
      <c r="K1358" s="59"/>
      <c r="L1358" s="59"/>
      <c r="M1358" s="59"/>
      <c r="N1358" s="59"/>
      <c r="O1358" s="59"/>
      <c r="P1358" s="59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</row>
    <row r="1359" ht="27.75" customHeight="1">
      <c r="A1359" s="58"/>
      <c r="B1359" s="149"/>
      <c r="C1359" s="58"/>
      <c r="D1359" s="58"/>
      <c r="E1359" s="58"/>
      <c r="F1359" s="58"/>
      <c r="G1359" s="58"/>
      <c r="H1359" s="58"/>
      <c r="I1359" s="59"/>
      <c r="J1359" s="59"/>
      <c r="K1359" s="59"/>
      <c r="L1359" s="59"/>
      <c r="M1359" s="59"/>
      <c r="N1359" s="59"/>
      <c r="O1359" s="59"/>
      <c r="P1359" s="59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</row>
    <row r="1360" ht="27.75" customHeight="1">
      <c r="A1360" s="58"/>
      <c r="B1360" s="149"/>
      <c r="C1360" s="58"/>
      <c r="D1360" s="58"/>
      <c r="E1360" s="58"/>
      <c r="F1360" s="58"/>
      <c r="G1360" s="58"/>
      <c r="H1360" s="58"/>
      <c r="I1360" s="59"/>
      <c r="J1360" s="59"/>
      <c r="K1360" s="59"/>
      <c r="L1360" s="59"/>
      <c r="M1360" s="59"/>
      <c r="N1360" s="59"/>
      <c r="O1360" s="59"/>
      <c r="P1360" s="59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</row>
    <row r="1361" ht="27.75" customHeight="1">
      <c r="A1361" s="58"/>
      <c r="B1361" s="149"/>
      <c r="C1361" s="58"/>
      <c r="D1361" s="58"/>
      <c r="E1361" s="58"/>
      <c r="F1361" s="58"/>
      <c r="G1361" s="58"/>
      <c r="H1361" s="58"/>
      <c r="I1361" s="59"/>
      <c r="J1361" s="59"/>
      <c r="K1361" s="59"/>
      <c r="L1361" s="59"/>
      <c r="M1361" s="59"/>
      <c r="N1361" s="59"/>
      <c r="O1361" s="59"/>
      <c r="P1361" s="59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</row>
    <row r="1362" ht="27.75" customHeight="1">
      <c r="A1362" s="58"/>
      <c r="B1362" s="149"/>
      <c r="C1362" s="58"/>
      <c r="D1362" s="58"/>
      <c r="E1362" s="58"/>
      <c r="F1362" s="58"/>
      <c r="G1362" s="58"/>
      <c r="H1362" s="58"/>
      <c r="I1362" s="59"/>
      <c r="J1362" s="59"/>
      <c r="K1362" s="59"/>
      <c r="L1362" s="59"/>
      <c r="M1362" s="59"/>
      <c r="N1362" s="59"/>
      <c r="O1362" s="59"/>
      <c r="P1362" s="59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</row>
    <row r="1363" ht="27.75" customHeight="1">
      <c r="A1363" s="58"/>
      <c r="B1363" s="149"/>
      <c r="C1363" s="58"/>
      <c r="D1363" s="58"/>
      <c r="E1363" s="58"/>
      <c r="F1363" s="58"/>
      <c r="G1363" s="58"/>
      <c r="H1363" s="58"/>
      <c r="I1363" s="59"/>
      <c r="J1363" s="59"/>
      <c r="K1363" s="59"/>
      <c r="L1363" s="59"/>
      <c r="M1363" s="59"/>
      <c r="N1363" s="59"/>
      <c r="O1363" s="59"/>
      <c r="P1363" s="59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</row>
    <row r="1364" ht="27.75" customHeight="1">
      <c r="A1364" s="58"/>
      <c r="B1364" s="149"/>
      <c r="C1364" s="58"/>
      <c r="D1364" s="58"/>
      <c r="E1364" s="58"/>
      <c r="F1364" s="58"/>
      <c r="G1364" s="58"/>
      <c r="H1364" s="58"/>
      <c r="I1364" s="59"/>
      <c r="J1364" s="59"/>
      <c r="K1364" s="59"/>
      <c r="L1364" s="59"/>
      <c r="M1364" s="59"/>
      <c r="N1364" s="59"/>
      <c r="O1364" s="59"/>
      <c r="P1364" s="59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</row>
    <row r="1365" ht="27.75" customHeight="1">
      <c r="A1365" s="58"/>
      <c r="B1365" s="149"/>
      <c r="C1365" s="58"/>
      <c r="D1365" s="58"/>
      <c r="E1365" s="58"/>
      <c r="F1365" s="58"/>
      <c r="G1365" s="58"/>
      <c r="H1365" s="58"/>
      <c r="I1365" s="59"/>
      <c r="J1365" s="59"/>
      <c r="K1365" s="59"/>
      <c r="L1365" s="59"/>
      <c r="M1365" s="59"/>
      <c r="N1365" s="59"/>
      <c r="O1365" s="59"/>
      <c r="P1365" s="59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</row>
    <row r="1366" ht="27.75" customHeight="1">
      <c r="A1366" s="58"/>
      <c r="B1366" s="149"/>
      <c r="C1366" s="58"/>
      <c r="D1366" s="58"/>
      <c r="E1366" s="58"/>
      <c r="F1366" s="58"/>
      <c r="G1366" s="58"/>
      <c r="H1366" s="58"/>
      <c r="I1366" s="59"/>
      <c r="J1366" s="59"/>
      <c r="K1366" s="59"/>
      <c r="L1366" s="59"/>
      <c r="M1366" s="59"/>
      <c r="N1366" s="59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</row>
    <row r="1367" ht="27.75" customHeight="1">
      <c r="A1367" s="58"/>
      <c r="B1367" s="149"/>
      <c r="C1367" s="58"/>
      <c r="D1367" s="58"/>
      <c r="E1367" s="58"/>
      <c r="F1367" s="58"/>
      <c r="G1367" s="58"/>
      <c r="H1367" s="58"/>
      <c r="I1367" s="59"/>
      <c r="J1367" s="59"/>
      <c r="K1367" s="59"/>
      <c r="L1367" s="59"/>
      <c r="M1367" s="59"/>
      <c r="N1367" s="59"/>
      <c r="O1367" s="59"/>
      <c r="P1367" s="59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</row>
    <row r="1368" ht="27.75" customHeight="1">
      <c r="A1368" s="58"/>
      <c r="B1368" s="149"/>
      <c r="C1368" s="58"/>
      <c r="D1368" s="58"/>
      <c r="E1368" s="58"/>
      <c r="F1368" s="58"/>
      <c r="G1368" s="58"/>
      <c r="H1368" s="58"/>
      <c r="I1368" s="59"/>
      <c r="J1368" s="59"/>
      <c r="K1368" s="59"/>
      <c r="L1368" s="59"/>
      <c r="M1368" s="59"/>
      <c r="N1368" s="59"/>
      <c r="O1368" s="59"/>
      <c r="P1368" s="59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</row>
    <row r="1369" ht="27.75" customHeight="1">
      <c r="A1369" s="58"/>
      <c r="B1369" s="149"/>
      <c r="C1369" s="58"/>
      <c r="D1369" s="58"/>
      <c r="E1369" s="58"/>
      <c r="F1369" s="58"/>
      <c r="G1369" s="58"/>
      <c r="H1369" s="58"/>
      <c r="I1369" s="59"/>
      <c r="J1369" s="59"/>
      <c r="K1369" s="59"/>
      <c r="L1369" s="59"/>
      <c r="M1369" s="59"/>
      <c r="N1369" s="59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</row>
    <row r="1370" ht="27.75" customHeight="1">
      <c r="A1370" s="58"/>
      <c r="B1370" s="149"/>
      <c r="C1370" s="58"/>
      <c r="D1370" s="58"/>
      <c r="E1370" s="58"/>
      <c r="F1370" s="58"/>
      <c r="G1370" s="58"/>
      <c r="H1370" s="58"/>
      <c r="I1370" s="59"/>
      <c r="J1370" s="59"/>
      <c r="K1370" s="59"/>
      <c r="L1370" s="59"/>
      <c r="M1370" s="59"/>
      <c r="N1370" s="59"/>
      <c r="O1370" s="59"/>
      <c r="P1370" s="59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</row>
    <row r="1371" ht="27.75" customHeight="1">
      <c r="A1371" s="58"/>
      <c r="B1371" s="149"/>
      <c r="C1371" s="58"/>
      <c r="D1371" s="58"/>
      <c r="E1371" s="58"/>
      <c r="F1371" s="58"/>
      <c r="G1371" s="58"/>
      <c r="H1371" s="58"/>
      <c r="I1371" s="59"/>
      <c r="J1371" s="59"/>
      <c r="K1371" s="59"/>
      <c r="L1371" s="59"/>
      <c r="M1371" s="59"/>
      <c r="N1371" s="59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</row>
    <row r="1372" ht="27.75" customHeight="1">
      <c r="A1372" s="58"/>
      <c r="B1372" s="149"/>
      <c r="C1372" s="58"/>
      <c r="D1372" s="58"/>
      <c r="E1372" s="58"/>
      <c r="F1372" s="58"/>
      <c r="G1372" s="58"/>
      <c r="H1372" s="58"/>
      <c r="I1372" s="59"/>
      <c r="J1372" s="59"/>
      <c r="K1372" s="59"/>
      <c r="L1372" s="59"/>
      <c r="M1372" s="59"/>
      <c r="N1372" s="59"/>
      <c r="O1372" s="59"/>
      <c r="P1372" s="59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</row>
    <row r="1373" ht="27.75" customHeight="1">
      <c r="A1373" s="58"/>
      <c r="B1373" s="149"/>
      <c r="C1373" s="58"/>
      <c r="D1373" s="58"/>
      <c r="E1373" s="58"/>
      <c r="F1373" s="58"/>
      <c r="G1373" s="58"/>
      <c r="H1373" s="58"/>
      <c r="I1373" s="59"/>
      <c r="J1373" s="59"/>
      <c r="K1373" s="59"/>
      <c r="L1373" s="59"/>
      <c r="M1373" s="59"/>
      <c r="N1373" s="59"/>
      <c r="O1373" s="59"/>
      <c r="P1373" s="59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</row>
    <row r="1374" ht="27.75" customHeight="1">
      <c r="A1374" s="58"/>
      <c r="B1374" s="149"/>
      <c r="C1374" s="58"/>
      <c r="D1374" s="58"/>
      <c r="E1374" s="58"/>
      <c r="F1374" s="58"/>
      <c r="G1374" s="58"/>
      <c r="H1374" s="58"/>
      <c r="I1374" s="59"/>
      <c r="J1374" s="59"/>
      <c r="K1374" s="59"/>
      <c r="L1374" s="59"/>
      <c r="M1374" s="59"/>
      <c r="N1374" s="59"/>
      <c r="O1374" s="59"/>
      <c r="P1374" s="59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</row>
    <row r="1375" ht="27.75" customHeight="1">
      <c r="A1375" s="58"/>
      <c r="B1375" s="149"/>
      <c r="C1375" s="58"/>
      <c r="D1375" s="58"/>
      <c r="E1375" s="58"/>
      <c r="F1375" s="58"/>
      <c r="G1375" s="58"/>
      <c r="H1375" s="58"/>
      <c r="I1375" s="59"/>
      <c r="J1375" s="59"/>
      <c r="K1375" s="59"/>
      <c r="L1375" s="59"/>
      <c r="M1375" s="59"/>
      <c r="N1375" s="59"/>
      <c r="O1375" s="59"/>
      <c r="P1375" s="59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</row>
    <row r="1376" ht="27.75" customHeight="1">
      <c r="A1376" s="58"/>
      <c r="B1376" s="149"/>
      <c r="C1376" s="58"/>
      <c r="D1376" s="58"/>
      <c r="E1376" s="58"/>
      <c r="F1376" s="58"/>
      <c r="G1376" s="58"/>
      <c r="H1376" s="58"/>
      <c r="I1376" s="59"/>
      <c r="J1376" s="59"/>
      <c r="K1376" s="59"/>
      <c r="L1376" s="59"/>
      <c r="M1376" s="59"/>
      <c r="N1376" s="59"/>
      <c r="O1376" s="59"/>
      <c r="P1376" s="59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</row>
    <row r="1377" ht="27.75" customHeight="1">
      <c r="A1377" s="58"/>
      <c r="B1377" s="149"/>
      <c r="C1377" s="58"/>
      <c r="D1377" s="58"/>
      <c r="E1377" s="58"/>
      <c r="F1377" s="58"/>
      <c r="G1377" s="58"/>
      <c r="H1377" s="58"/>
      <c r="I1377" s="59"/>
      <c r="J1377" s="59"/>
      <c r="K1377" s="59"/>
      <c r="L1377" s="59"/>
      <c r="M1377" s="59"/>
      <c r="N1377" s="59"/>
      <c r="O1377" s="59"/>
      <c r="P1377" s="59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</row>
    <row r="1378" ht="27.75" customHeight="1">
      <c r="A1378" s="58"/>
      <c r="B1378" s="149"/>
      <c r="C1378" s="58"/>
      <c r="D1378" s="58"/>
      <c r="E1378" s="58"/>
      <c r="F1378" s="58"/>
      <c r="G1378" s="58"/>
      <c r="H1378" s="58"/>
      <c r="I1378" s="59"/>
      <c r="J1378" s="59"/>
      <c r="K1378" s="59"/>
      <c r="L1378" s="59"/>
      <c r="M1378" s="59"/>
      <c r="N1378" s="59"/>
      <c r="O1378" s="59"/>
      <c r="P1378" s="59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</row>
    <row r="1379" ht="27.75" customHeight="1">
      <c r="A1379" s="58"/>
      <c r="B1379" s="149"/>
      <c r="C1379" s="58"/>
      <c r="D1379" s="58"/>
      <c r="E1379" s="58"/>
      <c r="F1379" s="58"/>
      <c r="G1379" s="58"/>
      <c r="H1379" s="58"/>
      <c r="I1379" s="59"/>
      <c r="J1379" s="59"/>
      <c r="K1379" s="59"/>
      <c r="L1379" s="59"/>
      <c r="M1379" s="59"/>
      <c r="N1379" s="59"/>
      <c r="O1379" s="59"/>
      <c r="P1379" s="59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</row>
    <row r="1380" ht="27.75" customHeight="1">
      <c r="A1380" s="58"/>
      <c r="B1380" s="149"/>
      <c r="C1380" s="58"/>
      <c r="D1380" s="58"/>
      <c r="E1380" s="58"/>
      <c r="F1380" s="58"/>
      <c r="G1380" s="58"/>
      <c r="H1380" s="58"/>
      <c r="I1380" s="59"/>
      <c r="J1380" s="59"/>
      <c r="K1380" s="59"/>
      <c r="L1380" s="59"/>
      <c r="M1380" s="59"/>
      <c r="N1380" s="59"/>
      <c r="O1380" s="59"/>
      <c r="P1380" s="59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</row>
    <row r="1381" ht="27.75" customHeight="1">
      <c r="A1381" s="58"/>
      <c r="B1381" s="149"/>
      <c r="C1381" s="58"/>
      <c r="D1381" s="58"/>
      <c r="E1381" s="58"/>
      <c r="F1381" s="58"/>
      <c r="G1381" s="58"/>
      <c r="H1381" s="58"/>
      <c r="I1381" s="59"/>
      <c r="J1381" s="59"/>
      <c r="K1381" s="59"/>
      <c r="L1381" s="59"/>
      <c r="M1381" s="59"/>
      <c r="N1381" s="59"/>
      <c r="O1381" s="59"/>
      <c r="P1381" s="59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</row>
    <row r="1382" ht="27.75" customHeight="1">
      <c r="A1382" s="58"/>
      <c r="B1382" s="149"/>
      <c r="C1382" s="58"/>
      <c r="D1382" s="58"/>
      <c r="E1382" s="58"/>
      <c r="F1382" s="58"/>
      <c r="G1382" s="58"/>
      <c r="H1382" s="58"/>
      <c r="I1382" s="59"/>
      <c r="J1382" s="59"/>
      <c r="K1382" s="59"/>
      <c r="L1382" s="59"/>
      <c r="M1382" s="59"/>
      <c r="N1382" s="59"/>
      <c r="O1382" s="59"/>
      <c r="P1382" s="59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</row>
    <row r="1383" ht="27.75" customHeight="1">
      <c r="A1383" s="58"/>
      <c r="B1383" s="149"/>
      <c r="C1383" s="58"/>
      <c r="D1383" s="58"/>
      <c r="E1383" s="58"/>
      <c r="F1383" s="58"/>
      <c r="G1383" s="58"/>
      <c r="H1383" s="58"/>
      <c r="I1383" s="59"/>
      <c r="J1383" s="59"/>
      <c r="K1383" s="59"/>
      <c r="L1383" s="59"/>
      <c r="M1383" s="59"/>
      <c r="N1383" s="59"/>
      <c r="O1383" s="59"/>
      <c r="P1383" s="59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</row>
    <row r="1384" ht="27.75" customHeight="1">
      <c r="A1384" s="58"/>
      <c r="B1384" s="149"/>
      <c r="C1384" s="58"/>
      <c r="D1384" s="58"/>
      <c r="E1384" s="58"/>
      <c r="F1384" s="58"/>
      <c r="G1384" s="58"/>
      <c r="H1384" s="58"/>
      <c r="I1384" s="59"/>
      <c r="J1384" s="59"/>
      <c r="K1384" s="59"/>
      <c r="L1384" s="59"/>
      <c r="M1384" s="59"/>
      <c r="N1384" s="59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</row>
    <row r="1385" ht="27.75" customHeight="1">
      <c r="A1385" s="58"/>
      <c r="B1385" s="149"/>
      <c r="C1385" s="58"/>
      <c r="D1385" s="58"/>
      <c r="E1385" s="58"/>
      <c r="F1385" s="58"/>
      <c r="G1385" s="58"/>
      <c r="H1385" s="58"/>
      <c r="I1385" s="59"/>
      <c r="J1385" s="59"/>
      <c r="K1385" s="59"/>
      <c r="L1385" s="59"/>
      <c r="M1385" s="59"/>
      <c r="N1385" s="59"/>
      <c r="O1385" s="59"/>
      <c r="P1385" s="59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</row>
    <row r="1386" ht="27.75" customHeight="1">
      <c r="A1386" s="58"/>
      <c r="B1386" s="149"/>
      <c r="C1386" s="58"/>
      <c r="D1386" s="58"/>
      <c r="E1386" s="58"/>
      <c r="F1386" s="58"/>
      <c r="G1386" s="58"/>
      <c r="H1386" s="58"/>
      <c r="I1386" s="59"/>
      <c r="J1386" s="59"/>
      <c r="K1386" s="59"/>
      <c r="L1386" s="59"/>
      <c r="M1386" s="59"/>
      <c r="N1386" s="59"/>
      <c r="O1386" s="59"/>
      <c r="P1386" s="59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</row>
    <row r="1387" ht="27.75" customHeight="1">
      <c r="A1387" s="58"/>
      <c r="B1387" s="149"/>
      <c r="C1387" s="58"/>
      <c r="D1387" s="58"/>
      <c r="E1387" s="58"/>
      <c r="F1387" s="58"/>
      <c r="G1387" s="58"/>
      <c r="H1387" s="58"/>
      <c r="I1387" s="59"/>
      <c r="J1387" s="59"/>
      <c r="K1387" s="59"/>
      <c r="L1387" s="59"/>
      <c r="M1387" s="59"/>
      <c r="N1387" s="59"/>
      <c r="O1387" s="59"/>
      <c r="P1387" s="59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</row>
    <row r="1388" ht="27.75" customHeight="1">
      <c r="A1388" s="58"/>
      <c r="B1388" s="149"/>
      <c r="C1388" s="58"/>
      <c r="D1388" s="58"/>
      <c r="E1388" s="58"/>
      <c r="F1388" s="58"/>
      <c r="G1388" s="58"/>
      <c r="H1388" s="58"/>
      <c r="I1388" s="59"/>
      <c r="J1388" s="59"/>
      <c r="K1388" s="59"/>
      <c r="L1388" s="59"/>
      <c r="M1388" s="59"/>
      <c r="N1388" s="59"/>
      <c r="O1388" s="59"/>
      <c r="P1388" s="59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</row>
    <row r="1389" ht="27.75" customHeight="1">
      <c r="A1389" s="58"/>
      <c r="B1389" s="149"/>
      <c r="C1389" s="58"/>
      <c r="D1389" s="58"/>
      <c r="E1389" s="58"/>
      <c r="F1389" s="58"/>
      <c r="G1389" s="58"/>
      <c r="H1389" s="58"/>
      <c r="I1389" s="59"/>
      <c r="J1389" s="59"/>
      <c r="K1389" s="59"/>
      <c r="L1389" s="59"/>
      <c r="M1389" s="59"/>
      <c r="N1389" s="59"/>
      <c r="O1389" s="59"/>
      <c r="P1389" s="59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</row>
    <row r="1390" ht="27.75" customHeight="1">
      <c r="A1390" s="58"/>
      <c r="B1390" s="149"/>
      <c r="C1390" s="58"/>
      <c r="D1390" s="58"/>
      <c r="E1390" s="58"/>
      <c r="F1390" s="58"/>
      <c r="G1390" s="58"/>
      <c r="H1390" s="58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</row>
    <row r="1391" ht="27.75" customHeight="1">
      <c r="A1391" s="58"/>
      <c r="B1391" s="149"/>
      <c r="C1391" s="58"/>
      <c r="D1391" s="58"/>
      <c r="E1391" s="58"/>
      <c r="F1391" s="58"/>
      <c r="G1391" s="58"/>
      <c r="H1391" s="58"/>
      <c r="I1391" s="59"/>
      <c r="J1391" s="59"/>
      <c r="K1391" s="59"/>
      <c r="L1391" s="59"/>
      <c r="M1391" s="59"/>
      <c r="N1391" s="59"/>
      <c r="O1391" s="59"/>
      <c r="P1391" s="59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</row>
    <row r="1392" ht="27.75" customHeight="1">
      <c r="A1392" s="58"/>
      <c r="B1392" s="149"/>
      <c r="C1392" s="58"/>
      <c r="D1392" s="58"/>
      <c r="E1392" s="58"/>
      <c r="F1392" s="58"/>
      <c r="G1392" s="58"/>
      <c r="H1392" s="58"/>
      <c r="I1392" s="59"/>
      <c r="J1392" s="59"/>
      <c r="K1392" s="59"/>
      <c r="L1392" s="59"/>
      <c r="M1392" s="59"/>
      <c r="N1392" s="59"/>
      <c r="O1392" s="59"/>
      <c r="P1392" s="59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</row>
    <row r="1393" ht="27.75" customHeight="1">
      <c r="A1393" s="58"/>
      <c r="B1393" s="149"/>
      <c r="C1393" s="58"/>
      <c r="D1393" s="58"/>
      <c r="E1393" s="58"/>
      <c r="F1393" s="58"/>
      <c r="G1393" s="58"/>
      <c r="H1393" s="58"/>
      <c r="I1393" s="59"/>
      <c r="J1393" s="59"/>
      <c r="K1393" s="59"/>
      <c r="L1393" s="59"/>
      <c r="M1393" s="59"/>
      <c r="N1393" s="59"/>
      <c r="O1393" s="59"/>
      <c r="P1393" s="59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</row>
    <row r="1394" ht="27.75" customHeight="1">
      <c r="A1394" s="58"/>
      <c r="B1394" s="149"/>
      <c r="C1394" s="58"/>
      <c r="D1394" s="58"/>
      <c r="E1394" s="58"/>
      <c r="F1394" s="58"/>
      <c r="G1394" s="58"/>
      <c r="H1394" s="58"/>
      <c r="I1394" s="59"/>
      <c r="J1394" s="59"/>
      <c r="K1394" s="59"/>
      <c r="L1394" s="59"/>
      <c r="M1394" s="59"/>
      <c r="N1394" s="59"/>
      <c r="O1394" s="59"/>
      <c r="P1394" s="59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</row>
    <row r="1395" ht="27.75" customHeight="1">
      <c r="A1395" s="58"/>
      <c r="B1395" s="149"/>
      <c r="C1395" s="58"/>
      <c r="D1395" s="58"/>
      <c r="E1395" s="58"/>
      <c r="F1395" s="58"/>
      <c r="G1395" s="58"/>
      <c r="H1395" s="58"/>
      <c r="I1395" s="59"/>
      <c r="J1395" s="59"/>
      <c r="K1395" s="59"/>
      <c r="L1395" s="59"/>
      <c r="M1395" s="59"/>
      <c r="N1395" s="59"/>
      <c r="O1395" s="59"/>
      <c r="P1395" s="59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</row>
    <row r="1396" ht="27.75" customHeight="1">
      <c r="A1396" s="58"/>
      <c r="B1396" s="149"/>
      <c r="C1396" s="58"/>
      <c r="D1396" s="58"/>
      <c r="E1396" s="58"/>
      <c r="F1396" s="58"/>
      <c r="G1396" s="58"/>
      <c r="H1396" s="58"/>
      <c r="I1396" s="59"/>
      <c r="J1396" s="59"/>
      <c r="K1396" s="59"/>
      <c r="L1396" s="59"/>
      <c r="M1396" s="59"/>
      <c r="N1396" s="59"/>
      <c r="O1396" s="59"/>
      <c r="P1396" s="59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</row>
    <row r="1397" ht="27.75" customHeight="1">
      <c r="A1397" s="58"/>
      <c r="B1397" s="149"/>
      <c r="C1397" s="58"/>
      <c r="D1397" s="58"/>
      <c r="E1397" s="58"/>
      <c r="F1397" s="58"/>
      <c r="G1397" s="58"/>
      <c r="H1397" s="58"/>
      <c r="I1397" s="59"/>
      <c r="J1397" s="59"/>
      <c r="K1397" s="59"/>
      <c r="L1397" s="59"/>
      <c r="M1397" s="59"/>
      <c r="N1397" s="59"/>
      <c r="O1397" s="59"/>
      <c r="P1397" s="59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</row>
    <row r="1398" ht="27.75" customHeight="1">
      <c r="A1398" s="58"/>
      <c r="B1398" s="149"/>
      <c r="C1398" s="58"/>
      <c r="D1398" s="58"/>
      <c r="E1398" s="58"/>
      <c r="F1398" s="58"/>
      <c r="G1398" s="58"/>
      <c r="H1398" s="58"/>
      <c r="I1398" s="59"/>
      <c r="J1398" s="59"/>
      <c r="K1398" s="59"/>
      <c r="L1398" s="59"/>
      <c r="M1398" s="59"/>
      <c r="N1398" s="59"/>
      <c r="O1398" s="59"/>
      <c r="P1398" s="59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</row>
    <row r="1399" ht="27.75" customHeight="1">
      <c r="A1399" s="58"/>
      <c r="B1399" s="149"/>
      <c r="C1399" s="58"/>
      <c r="D1399" s="58"/>
      <c r="E1399" s="58"/>
      <c r="F1399" s="58"/>
      <c r="G1399" s="58"/>
      <c r="H1399" s="58"/>
      <c r="I1399" s="59"/>
      <c r="J1399" s="59"/>
      <c r="K1399" s="59"/>
      <c r="L1399" s="59"/>
      <c r="M1399" s="59"/>
      <c r="N1399" s="59"/>
      <c r="O1399" s="59"/>
      <c r="P1399" s="59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</row>
    <row r="1400" ht="27.75" customHeight="1">
      <c r="A1400" s="58"/>
      <c r="B1400" s="149"/>
      <c r="C1400" s="58"/>
      <c r="D1400" s="58"/>
      <c r="E1400" s="58"/>
      <c r="F1400" s="58"/>
      <c r="G1400" s="58"/>
      <c r="H1400" s="58"/>
      <c r="I1400" s="59"/>
      <c r="J1400" s="59"/>
      <c r="K1400" s="59"/>
      <c r="L1400" s="59"/>
      <c r="M1400" s="59"/>
      <c r="N1400" s="59"/>
      <c r="O1400" s="59"/>
      <c r="P1400" s="59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</row>
    <row r="1401" ht="27.75" customHeight="1">
      <c r="A1401" s="58"/>
      <c r="B1401" s="149"/>
      <c r="C1401" s="58"/>
      <c r="D1401" s="58"/>
      <c r="E1401" s="58"/>
      <c r="F1401" s="58"/>
      <c r="G1401" s="58"/>
      <c r="H1401" s="58"/>
      <c r="I1401" s="59"/>
      <c r="J1401" s="59"/>
      <c r="K1401" s="59"/>
      <c r="L1401" s="59"/>
      <c r="M1401" s="59"/>
      <c r="N1401" s="59"/>
      <c r="O1401" s="59"/>
      <c r="P1401" s="59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</row>
    <row r="1402" ht="27.75" customHeight="1">
      <c r="A1402" s="58"/>
      <c r="B1402" s="149"/>
      <c r="C1402" s="58"/>
      <c r="D1402" s="58"/>
      <c r="E1402" s="58"/>
      <c r="F1402" s="58"/>
      <c r="G1402" s="58"/>
      <c r="H1402" s="58"/>
      <c r="I1402" s="59"/>
      <c r="J1402" s="59"/>
      <c r="K1402" s="59"/>
      <c r="L1402" s="59"/>
      <c r="M1402" s="59"/>
      <c r="N1402" s="59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</row>
    <row r="1403" ht="27.75" customHeight="1">
      <c r="A1403" s="58"/>
      <c r="B1403" s="149"/>
      <c r="C1403" s="58"/>
      <c r="D1403" s="58"/>
      <c r="E1403" s="58"/>
      <c r="F1403" s="58"/>
      <c r="G1403" s="58"/>
      <c r="H1403" s="58"/>
      <c r="I1403" s="59"/>
      <c r="J1403" s="59"/>
      <c r="K1403" s="59"/>
      <c r="L1403" s="59"/>
      <c r="M1403" s="59"/>
      <c r="N1403" s="59"/>
      <c r="O1403" s="59"/>
      <c r="P1403" s="59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</row>
    <row r="1404" ht="27.75" customHeight="1">
      <c r="A1404" s="58"/>
      <c r="B1404" s="149"/>
      <c r="C1404" s="58"/>
      <c r="D1404" s="58"/>
      <c r="E1404" s="58"/>
      <c r="F1404" s="58"/>
      <c r="G1404" s="58"/>
      <c r="H1404" s="58"/>
      <c r="I1404" s="59"/>
      <c r="J1404" s="59"/>
      <c r="K1404" s="59"/>
      <c r="L1404" s="59"/>
      <c r="M1404" s="59"/>
      <c r="N1404" s="59"/>
      <c r="O1404" s="59"/>
      <c r="P1404" s="59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</row>
    <row r="1405" ht="27.75" customHeight="1">
      <c r="A1405" s="58"/>
      <c r="B1405" s="149"/>
      <c r="C1405" s="58"/>
      <c r="D1405" s="58"/>
      <c r="E1405" s="58"/>
      <c r="F1405" s="58"/>
      <c r="G1405" s="58"/>
      <c r="H1405" s="58"/>
      <c r="I1405" s="59"/>
      <c r="J1405" s="59"/>
      <c r="K1405" s="59"/>
      <c r="L1405" s="59"/>
      <c r="M1405" s="59"/>
      <c r="N1405" s="59"/>
      <c r="O1405" s="59"/>
      <c r="P1405" s="59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</row>
    <row r="1406" ht="27.75" customHeight="1">
      <c r="A1406" s="58"/>
      <c r="B1406" s="149"/>
      <c r="C1406" s="58"/>
      <c r="D1406" s="58"/>
      <c r="E1406" s="58"/>
      <c r="F1406" s="58"/>
      <c r="G1406" s="58"/>
      <c r="H1406" s="58"/>
      <c r="I1406" s="59"/>
      <c r="J1406" s="59"/>
      <c r="K1406" s="59"/>
      <c r="L1406" s="59"/>
      <c r="M1406" s="59"/>
      <c r="N1406" s="59"/>
      <c r="O1406" s="59"/>
      <c r="P1406" s="59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</row>
    <row r="1407" ht="27.75" customHeight="1">
      <c r="A1407" s="58"/>
      <c r="B1407" s="149"/>
      <c r="C1407" s="58"/>
      <c r="D1407" s="58"/>
      <c r="E1407" s="58"/>
      <c r="F1407" s="58"/>
      <c r="G1407" s="58"/>
      <c r="H1407" s="58"/>
      <c r="I1407" s="59"/>
      <c r="J1407" s="59"/>
      <c r="K1407" s="59"/>
      <c r="L1407" s="59"/>
      <c r="M1407" s="59"/>
      <c r="N1407" s="59"/>
      <c r="O1407" s="59"/>
      <c r="P1407" s="59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</row>
    <row r="1408" ht="27.75" customHeight="1">
      <c r="A1408" s="58"/>
      <c r="B1408" s="149"/>
      <c r="C1408" s="58"/>
      <c r="D1408" s="58"/>
      <c r="E1408" s="58"/>
      <c r="F1408" s="58"/>
      <c r="G1408" s="58"/>
      <c r="H1408" s="58"/>
      <c r="I1408" s="59"/>
      <c r="J1408" s="59"/>
      <c r="K1408" s="59"/>
      <c r="L1408" s="59"/>
      <c r="M1408" s="59"/>
      <c r="N1408" s="59"/>
      <c r="O1408" s="59"/>
      <c r="P1408" s="59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</row>
    <row r="1409" ht="27.75" customHeight="1">
      <c r="A1409" s="58"/>
      <c r="B1409" s="149"/>
      <c r="C1409" s="58"/>
      <c r="D1409" s="58"/>
      <c r="E1409" s="58"/>
      <c r="F1409" s="58"/>
      <c r="G1409" s="58"/>
      <c r="H1409" s="58"/>
      <c r="I1409" s="59"/>
      <c r="J1409" s="59"/>
      <c r="K1409" s="59"/>
      <c r="L1409" s="59"/>
      <c r="M1409" s="59"/>
      <c r="N1409" s="59"/>
      <c r="O1409" s="59"/>
      <c r="P1409" s="59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</row>
    <row r="1410" ht="27.75" customHeight="1">
      <c r="A1410" s="58"/>
      <c r="B1410" s="149"/>
      <c r="C1410" s="58"/>
      <c r="D1410" s="58"/>
      <c r="E1410" s="58"/>
      <c r="F1410" s="58"/>
      <c r="G1410" s="58"/>
      <c r="H1410" s="58"/>
      <c r="I1410" s="59"/>
      <c r="J1410" s="59"/>
      <c r="K1410" s="59"/>
      <c r="L1410" s="59"/>
      <c r="M1410" s="59"/>
      <c r="N1410" s="59"/>
      <c r="O1410" s="59"/>
      <c r="P1410" s="59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</row>
    <row r="1411" ht="27.75" customHeight="1">
      <c r="A1411" s="58"/>
      <c r="B1411" s="149"/>
      <c r="C1411" s="58"/>
      <c r="D1411" s="58"/>
      <c r="E1411" s="58"/>
      <c r="F1411" s="58"/>
      <c r="G1411" s="58"/>
      <c r="H1411" s="58"/>
      <c r="I1411" s="59"/>
      <c r="J1411" s="59"/>
      <c r="K1411" s="59"/>
      <c r="L1411" s="59"/>
      <c r="M1411" s="59"/>
      <c r="N1411" s="59"/>
      <c r="O1411" s="59"/>
      <c r="P1411" s="59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</row>
    <row r="1412" ht="27.75" customHeight="1">
      <c r="A1412" s="58"/>
      <c r="B1412" s="149"/>
      <c r="C1412" s="58"/>
      <c r="D1412" s="58"/>
      <c r="E1412" s="58"/>
      <c r="F1412" s="58"/>
      <c r="G1412" s="58"/>
      <c r="H1412" s="58"/>
      <c r="I1412" s="59"/>
      <c r="J1412" s="59"/>
      <c r="K1412" s="59"/>
      <c r="L1412" s="59"/>
      <c r="M1412" s="59"/>
      <c r="N1412" s="59"/>
      <c r="O1412" s="59"/>
      <c r="P1412" s="59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</row>
    <row r="1413" ht="27.75" customHeight="1">
      <c r="A1413" s="58"/>
      <c r="B1413" s="149"/>
      <c r="C1413" s="58"/>
      <c r="D1413" s="58"/>
      <c r="E1413" s="58"/>
      <c r="F1413" s="58"/>
      <c r="G1413" s="58"/>
      <c r="H1413" s="58"/>
      <c r="I1413" s="59"/>
      <c r="J1413" s="59"/>
      <c r="K1413" s="59"/>
      <c r="L1413" s="59"/>
      <c r="M1413" s="59"/>
      <c r="N1413" s="59"/>
      <c r="O1413" s="59"/>
      <c r="P1413" s="59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</row>
    <row r="1414" ht="27.75" customHeight="1">
      <c r="A1414" s="58"/>
      <c r="B1414" s="149"/>
      <c r="C1414" s="58"/>
      <c r="D1414" s="58"/>
      <c r="E1414" s="58"/>
      <c r="F1414" s="58"/>
      <c r="G1414" s="58"/>
      <c r="H1414" s="58"/>
      <c r="I1414" s="59"/>
      <c r="J1414" s="59"/>
      <c r="K1414" s="59"/>
      <c r="L1414" s="59"/>
      <c r="M1414" s="59"/>
      <c r="N1414" s="59"/>
      <c r="O1414" s="59"/>
      <c r="P1414" s="59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</row>
    <row r="1415" ht="27.75" customHeight="1">
      <c r="A1415" s="58"/>
      <c r="B1415" s="149"/>
      <c r="C1415" s="58"/>
      <c r="D1415" s="58"/>
      <c r="E1415" s="58"/>
      <c r="F1415" s="58"/>
      <c r="G1415" s="58"/>
      <c r="H1415" s="58"/>
      <c r="I1415" s="59"/>
      <c r="J1415" s="59"/>
      <c r="K1415" s="59"/>
      <c r="L1415" s="59"/>
      <c r="M1415" s="59"/>
      <c r="N1415" s="59"/>
      <c r="O1415" s="59"/>
      <c r="P1415" s="59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</row>
    <row r="1416" ht="27.75" customHeight="1">
      <c r="A1416" s="58"/>
      <c r="B1416" s="149"/>
      <c r="C1416" s="58"/>
      <c r="D1416" s="58"/>
      <c r="E1416" s="58"/>
      <c r="F1416" s="58"/>
      <c r="G1416" s="58"/>
      <c r="H1416" s="58"/>
      <c r="I1416" s="59"/>
      <c r="J1416" s="59"/>
      <c r="K1416" s="59"/>
      <c r="L1416" s="59"/>
      <c r="M1416" s="59"/>
      <c r="N1416" s="59"/>
      <c r="O1416" s="59"/>
      <c r="P1416" s="59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</row>
    <row r="1417" ht="27.75" customHeight="1">
      <c r="A1417" s="58"/>
      <c r="B1417" s="149"/>
      <c r="C1417" s="58"/>
      <c r="D1417" s="58"/>
      <c r="E1417" s="58"/>
      <c r="F1417" s="58"/>
      <c r="G1417" s="58"/>
      <c r="H1417" s="58"/>
      <c r="I1417" s="59"/>
      <c r="J1417" s="59"/>
      <c r="K1417" s="59"/>
      <c r="L1417" s="59"/>
      <c r="M1417" s="59"/>
      <c r="N1417" s="59"/>
      <c r="O1417" s="59"/>
      <c r="P1417" s="59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</row>
    <row r="1418" ht="27.75" customHeight="1">
      <c r="A1418" s="58"/>
      <c r="B1418" s="149"/>
      <c r="C1418" s="58"/>
      <c r="D1418" s="58"/>
      <c r="E1418" s="58"/>
      <c r="F1418" s="58"/>
      <c r="G1418" s="58"/>
      <c r="H1418" s="58"/>
      <c r="I1418" s="59"/>
      <c r="J1418" s="59"/>
      <c r="K1418" s="59"/>
      <c r="L1418" s="59"/>
      <c r="M1418" s="59"/>
      <c r="N1418" s="59"/>
      <c r="O1418" s="59"/>
      <c r="P1418" s="59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</row>
    <row r="1419" ht="27.75" customHeight="1">
      <c r="A1419" s="58"/>
      <c r="B1419" s="149"/>
      <c r="C1419" s="58"/>
      <c r="D1419" s="58"/>
      <c r="E1419" s="58"/>
      <c r="F1419" s="58"/>
      <c r="G1419" s="58"/>
      <c r="H1419" s="58"/>
      <c r="I1419" s="59"/>
      <c r="J1419" s="59"/>
      <c r="K1419" s="59"/>
      <c r="L1419" s="59"/>
      <c r="M1419" s="59"/>
      <c r="N1419" s="59"/>
      <c r="O1419" s="59"/>
      <c r="P1419" s="59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</row>
    <row r="1420" ht="27.75" customHeight="1">
      <c r="A1420" s="58"/>
      <c r="B1420" s="149"/>
      <c r="C1420" s="58"/>
      <c r="D1420" s="58"/>
      <c r="E1420" s="58"/>
      <c r="F1420" s="58"/>
      <c r="G1420" s="58"/>
      <c r="H1420" s="58"/>
      <c r="I1420" s="59"/>
      <c r="J1420" s="59"/>
      <c r="K1420" s="59"/>
      <c r="L1420" s="59"/>
      <c r="M1420" s="59"/>
      <c r="N1420" s="59"/>
      <c r="O1420" s="59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</row>
    <row r="1421" ht="27.75" customHeight="1">
      <c r="A1421" s="58"/>
      <c r="B1421" s="149"/>
      <c r="C1421" s="58"/>
      <c r="D1421" s="58"/>
      <c r="E1421" s="58"/>
      <c r="F1421" s="58"/>
      <c r="G1421" s="58"/>
      <c r="H1421" s="58"/>
      <c r="I1421" s="59"/>
      <c r="J1421" s="59"/>
      <c r="K1421" s="59"/>
      <c r="L1421" s="59"/>
      <c r="M1421" s="59"/>
      <c r="N1421" s="59"/>
      <c r="O1421" s="59"/>
      <c r="P1421" s="59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</row>
    <row r="1422" ht="27.75" customHeight="1">
      <c r="A1422" s="58"/>
      <c r="B1422" s="149"/>
      <c r="C1422" s="58"/>
      <c r="D1422" s="58"/>
      <c r="E1422" s="58"/>
      <c r="F1422" s="58"/>
      <c r="G1422" s="58"/>
      <c r="H1422" s="58"/>
      <c r="I1422" s="59"/>
      <c r="J1422" s="59"/>
      <c r="K1422" s="59"/>
      <c r="L1422" s="59"/>
      <c r="M1422" s="59"/>
      <c r="N1422" s="59"/>
      <c r="O1422" s="59"/>
      <c r="P1422" s="59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</row>
    <row r="1423" ht="27.75" customHeight="1">
      <c r="A1423" s="58"/>
      <c r="B1423" s="149"/>
      <c r="C1423" s="58"/>
      <c r="D1423" s="58"/>
      <c r="E1423" s="58"/>
      <c r="F1423" s="58"/>
      <c r="G1423" s="58"/>
      <c r="H1423" s="58"/>
      <c r="I1423" s="59"/>
      <c r="J1423" s="59"/>
      <c r="K1423" s="59"/>
      <c r="L1423" s="59"/>
      <c r="M1423" s="59"/>
      <c r="N1423" s="59"/>
      <c r="O1423" s="59"/>
      <c r="P1423" s="59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</row>
    <row r="1424" ht="27.75" customHeight="1">
      <c r="A1424" s="58"/>
      <c r="B1424" s="149"/>
      <c r="C1424" s="58"/>
      <c r="D1424" s="58"/>
      <c r="E1424" s="58"/>
      <c r="F1424" s="58"/>
      <c r="G1424" s="58"/>
      <c r="H1424" s="58"/>
      <c r="I1424" s="59"/>
      <c r="J1424" s="59"/>
      <c r="K1424" s="59"/>
      <c r="L1424" s="59"/>
      <c r="M1424" s="59"/>
      <c r="N1424" s="59"/>
      <c r="O1424" s="59"/>
      <c r="P1424" s="59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</row>
    <row r="1425" ht="27.75" customHeight="1">
      <c r="A1425" s="58"/>
      <c r="B1425" s="149"/>
      <c r="C1425" s="58"/>
      <c r="D1425" s="58"/>
      <c r="E1425" s="58"/>
      <c r="F1425" s="58"/>
      <c r="G1425" s="58"/>
      <c r="H1425" s="58"/>
      <c r="I1425" s="59"/>
      <c r="J1425" s="59"/>
      <c r="K1425" s="59"/>
      <c r="L1425" s="59"/>
      <c r="M1425" s="59"/>
      <c r="N1425" s="59"/>
      <c r="O1425" s="59"/>
      <c r="P1425" s="59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</row>
    <row r="1426" ht="27.75" customHeight="1">
      <c r="A1426" s="58"/>
      <c r="B1426" s="149"/>
      <c r="C1426" s="58"/>
      <c r="D1426" s="58"/>
      <c r="E1426" s="58"/>
      <c r="F1426" s="58"/>
      <c r="G1426" s="58"/>
      <c r="H1426" s="58"/>
      <c r="I1426" s="59"/>
      <c r="J1426" s="59"/>
      <c r="K1426" s="59"/>
      <c r="L1426" s="59"/>
      <c r="M1426" s="59"/>
      <c r="N1426" s="59"/>
      <c r="O1426" s="59"/>
      <c r="P1426" s="59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</row>
    <row r="1427" ht="27.75" customHeight="1">
      <c r="A1427" s="58"/>
      <c r="B1427" s="149"/>
      <c r="C1427" s="58"/>
      <c r="D1427" s="58"/>
      <c r="E1427" s="58"/>
      <c r="F1427" s="58"/>
      <c r="G1427" s="58"/>
      <c r="H1427" s="58"/>
      <c r="I1427" s="59"/>
      <c r="J1427" s="59"/>
      <c r="K1427" s="59"/>
      <c r="L1427" s="59"/>
      <c r="M1427" s="59"/>
      <c r="N1427" s="59"/>
      <c r="O1427" s="59"/>
      <c r="P1427" s="59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</row>
    <row r="1428" ht="27.75" customHeight="1">
      <c r="A1428" s="58"/>
      <c r="B1428" s="149"/>
      <c r="C1428" s="58"/>
      <c r="D1428" s="58"/>
      <c r="E1428" s="58"/>
      <c r="F1428" s="58"/>
      <c r="G1428" s="58"/>
      <c r="H1428" s="58"/>
      <c r="I1428" s="59"/>
      <c r="J1428" s="59"/>
      <c r="K1428" s="59"/>
      <c r="L1428" s="59"/>
      <c r="M1428" s="59"/>
      <c r="N1428" s="59"/>
      <c r="O1428" s="59"/>
      <c r="P1428" s="59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</row>
    <row r="1429" ht="27.75" customHeight="1">
      <c r="A1429" s="58"/>
      <c r="B1429" s="149"/>
      <c r="C1429" s="58"/>
      <c r="D1429" s="58"/>
      <c r="E1429" s="58"/>
      <c r="F1429" s="58"/>
      <c r="G1429" s="58"/>
      <c r="H1429" s="58"/>
      <c r="I1429" s="59"/>
      <c r="J1429" s="59"/>
      <c r="K1429" s="59"/>
      <c r="L1429" s="59"/>
      <c r="M1429" s="59"/>
      <c r="N1429" s="59"/>
      <c r="O1429" s="59"/>
      <c r="P1429" s="59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</row>
    <row r="1430" ht="27.75" customHeight="1">
      <c r="A1430" s="58"/>
      <c r="B1430" s="149"/>
      <c r="C1430" s="58"/>
      <c r="D1430" s="58"/>
      <c r="E1430" s="58"/>
      <c r="F1430" s="58"/>
      <c r="G1430" s="58"/>
      <c r="H1430" s="58"/>
      <c r="I1430" s="59"/>
      <c r="J1430" s="59"/>
      <c r="K1430" s="59"/>
      <c r="L1430" s="59"/>
      <c r="M1430" s="59"/>
      <c r="N1430" s="59"/>
      <c r="O1430" s="59"/>
      <c r="P1430" s="59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</row>
    <row r="1431" ht="27.75" customHeight="1">
      <c r="A1431" s="58"/>
      <c r="B1431" s="149"/>
      <c r="C1431" s="58"/>
      <c r="D1431" s="58"/>
      <c r="E1431" s="58"/>
      <c r="F1431" s="58"/>
      <c r="G1431" s="58"/>
      <c r="H1431" s="58"/>
      <c r="I1431" s="59"/>
      <c r="J1431" s="59"/>
      <c r="K1431" s="59"/>
      <c r="L1431" s="59"/>
      <c r="M1431" s="59"/>
      <c r="N1431" s="59"/>
      <c r="O1431" s="59"/>
      <c r="P1431" s="59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</row>
    <row r="1432" ht="27.75" customHeight="1">
      <c r="A1432" s="58"/>
      <c r="B1432" s="149"/>
      <c r="C1432" s="58"/>
      <c r="D1432" s="58"/>
      <c r="E1432" s="58"/>
      <c r="F1432" s="58"/>
      <c r="G1432" s="58"/>
      <c r="H1432" s="58"/>
      <c r="I1432" s="59"/>
      <c r="J1432" s="59"/>
      <c r="K1432" s="59"/>
      <c r="L1432" s="59"/>
      <c r="M1432" s="59"/>
      <c r="N1432" s="59"/>
      <c r="O1432" s="59"/>
      <c r="P1432" s="59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</row>
    <row r="1433" ht="27.75" customHeight="1">
      <c r="A1433" s="58"/>
      <c r="B1433" s="149"/>
      <c r="C1433" s="58"/>
      <c r="D1433" s="58"/>
      <c r="E1433" s="58"/>
      <c r="F1433" s="58"/>
      <c r="G1433" s="58"/>
      <c r="H1433" s="58"/>
      <c r="I1433" s="59"/>
      <c r="J1433" s="59"/>
      <c r="K1433" s="59"/>
      <c r="L1433" s="59"/>
      <c r="M1433" s="59"/>
      <c r="N1433" s="59"/>
      <c r="O1433" s="59"/>
      <c r="P1433" s="59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</row>
    <row r="1434" ht="27.75" customHeight="1">
      <c r="A1434" s="58"/>
      <c r="B1434" s="149"/>
      <c r="C1434" s="58"/>
      <c r="D1434" s="58"/>
      <c r="E1434" s="58"/>
      <c r="F1434" s="58"/>
      <c r="G1434" s="58"/>
      <c r="H1434" s="58"/>
      <c r="I1434" s="59"/>
      <c r="J1434" s="59"/>
      <c r="K1434" s="59"/>
      <c r="L1434" s="59"/>
      <c r="M1434" s="59"/>
      <c r="N1434" s="59"/>
      <c r="O1434" s="59"/>
      <c r="P1434" s="59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</row>
    <row r="1435" ht="27.75" customHeight="1">
      <c r="A1435" s="58"/>
      <c r="B1435" s="149"/>
      <c r="C1435" s="58"/>
      <c r="D1435" s="58"/>
      <c r="E1435" s="58"/>
      <c r="F1435" s="58"/>
      <c r="G1435" s="58"/>
      <c r="H1435" s="58"/>
      <c r="I1435" s="59"/>
      <c r="J1435" s="59"/>
      <c r="K1435" s="59"/>
      <c r="L1435" s="59"/>
      <c r="M1435" s="59"/>
      <c r="N1435" s="59"/>
      <c r="O1435" s="59"/>
      <c r="P1435" s="59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</row>
    <row r="1436" ht="27.75" customHeight="1">
      <c r="A1436" s="58"/>
      <c r="B1436" s="149"/>
      <c r="C1436" s="58"/>
      <c r="D1436" s="58"/>
      <c r="E1436" s="58"/>
      <c r="F1436" s="58"/>
      <c r="G1436" s="58"/>
      <c r="H1436" s="58"/>
      <c r="I1436" s="59"/>
      <c r="J1436" s="59"/>
      <c r="K1436" s="59"/>
      <c r="L1436" s="59"/>
      <c r="M1436" s="59"/>
      <c r="N1436" s="59"/>
      <c r="O1436" s="59"/>
      <c r="P1436" s="59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</row>
    <row r="1437" ht="27.75" customHeight="1">
      <c r="A1437" s="58"/>
      <c r="B1437" s="149"/>
      <c r="C1437" s="58"/>
      <c r="D1437" s="58"/>
      <c r="E1437" s="58"/>
      <c r="F1437" s="58"/>
      <c r="G1437" s="58"/>
      <c r="H1437" s="58"/>
      <c r="I1437" s="59"/>
      <c r="J1437" s="59"/>
      <c r="K1437" s="59"/>
      <c r="L1437" s="59"/>
      <c r="M1437" s="59"/>
      <c r="N1437" s="59"/>
      <c r="O1437" s="59"/>
      <c r="P1437" s="59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</row>
    <row r="1438" ht="27.75" customHeight="1">
      <c r="A1438" s="58"/>
      <c r="B1438" s="149"/>
      <c r="C1438" s="58"/>
      <c r="D1438" s="58"/>
      <c r="E1438" s="58"/>
      <c r="F1438" s="58"/>
      <c r="G1438" s="58"/>
      <c r="H1438" s="58"/>
      <c r="I1438" s="59"/>
      <c r="J1438" s="59"/>
      <c r="K1438" s="59"/>
      <c r="L1438" s="59"/>
      <c r="M1438" s="59"/>
      <c r="N1438" s="59"/>
      <c r="O1438" s="59"/>
      <c r="P1438" s="59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</row>
    <row r="1439" ht="27.75" customHeight="1">
      <c r="A1439" s="58"/>
      <c r="B1439" s="149"/>
      <c r="C1439" s="58"/>
      <c r="D1439" s="58"/>
      <c r="E1439" s="58"/>
      <c r="F1439" s="58"/>
      <c r="G1439" s="58"/>
      <c r="H1439" s="58"/>
      <c r="I1439" s="59"/>
      <c r="J1439" s="59"/>
      <c r="K1439" s="59"/>
      <c r="L1439" s="59"/>
      <c r="M1439" s="59"/>
      <c r="N1439" s="59"/>
      <c r="O1439" s="59"/>
      <c r="P1439" s="59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</row>
    <row r="1440" ht="27.75" customHeight="1">
      <c r="A1440" s="58"/>
      <c r="B1440" s="149"/>
      <c r="C1440" s="58"/>
      <c r="D1440" s="58"/>
      <c r="E1440" s="58"/>
      <c r="F1440" s="58"/>
      <c r="G1440" s="58"/>
      <c r="H1440" s="58"/>
      <c r="I1440" s="59"/>
      <c r="J1440" s="59"/>
      <c r="K1440" s="59"/>
      <c r="L1440" s="59"/>
      <c r="M1440" s="59"/>
      <c r="N1440" s="59"/>
      <c r="O1440" s="59"/>
      <c r="P1440" s="59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</row>
    <row r="1441" ht="27.75" customHeight="1">
      <c r="A1441" s="58"/>
      <c r="B1441" s="149"/>
      <c r="C1441" s="58"/>
      <c r="D1441" s="58"/>
      <c r="E1441" s="58"/>
      <c r="F1441" s="58"/>
      <c r="G1441" s="58"/>
      <c r="H1441" s="58"/>
      <c r="I1441" s="59"/>
      <c r="J1441" s="59"/>
      <c r="K1441" s="59"/>
      <c r="L1441" s="59"/>
      <c r="M1441" s="59"/>
      <c r="N1441" s="59"/>
      <c r="O1441" s="59"/>
      <c r="P1441" s="59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</row>
    <row r="1442" ht="27.75" customHeight="1">
      <c r="A1442" s="58"/>
      <c r="B1442" s="149"/>
      <c r="C1442" s="58"/>
      <c r="D1442" s="58"/>
      <c r="E1442" s="58"/>
      <c r="F1442" s="58"/>
      <c r="G1442" s="58"/>
      <c r="H1442" s="58"/>
      <c r="I1442" s="59"/>
      <c r="J1442" s="59"/>
      <c r="K1442" s="59"/>
      <c r="L1442" s="59"/>
      <c r="M1442" s="59"/>
      <c r="N1442" s="59"/>
      <c r="O1442" s="59"/>
      <c r="P1442" s="59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</row>
    <row r="1443" ht="27.75" customHeight="1">
      <c r="A1443" s="58"/>
      <c r="B1443" s="149"/>
      <c r="C1443" s="58"/>
      <c r="D1443" s="58"/>
      <c r="E1443" s="58"/>
      <c r="F1443" s="58"/>
      <c r="G1443" s="58"/>
      <c r="H1443" s="58"/>
      <c r="I1443" s="59"/>
      <c r="J1443" s="59"/>
      <c r="K1443" s="59"/>
      <c r="L1443" s="59"/>
      <c r="M1443" s="59"/>
      <c r="N1443" s="59"/>
      <c r="O1443" s="59"/>
      <c r="P1443" s="59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</row>
    <row r="1444" ht="27.75" customHeight="1">
      <c r="A1444" s="58"/>
      <c r="B1444" s="149"/>
      <c r="C1444" s="58"/>
      <c r="D1444" s="58"/>
      <c r="E1444" s="58"/>
      <c r="F1444" s="58"/>
      <c r="G1444" s="58"/>
      <c r="H1444" s="58"/>
      <c r="I1444" s="59"/>
      <c r="J1444" s="59"/>
      <c r="K1444" s="59"/>
      <c r="L1444" s="59"/>
      <c r="M1444" s="59"/>
      <c r="N1444" s="59"/>
      <c r="O1444" s="59"/>
      <c r="P1444" s="59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</row>
    <row r="1445" ht="27.75" customHeight="1">
      <c r="A1445" s="58"/>
      <c r="B1445" s="149"/>
      <c r="C1445" s="58"/>
      <c r="D1445" s="58"/>
      <c r="E1445" s="58"/>
      <c r="F1445" s="58"/>
      <c r="G1445" s="58"/>
      <c r="H1445" s="58"/>
      <c r="I1445" s="59"/>
      <c r="J1445" s="59"/>
      <c r="K1445" s="59"/>
      <c r="L1445" s="59"/>
      <c r="M1445" s="59"/>
      <c r="N1445" s="59"/>
      <c r="O1445" s="59"/>
      <c r="P1445" s="59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</row>
    <row r="1446" ht="27.75" customHeight="1">
      <c r="A1446" s="58"/>
      <c r="B1446" s="149"/>
      <c r="C1446" s="58"/>
      <c r="D1446" s="58"/>
      <c r="E1446" s="58"/>
      <c r="F1446" s="58"/>
      <c r="G1446" s="58"/>
      <c r="H1446" s="58"/>
      <c r="I1446" s="59"/>
      <c r="J1446" s="59"/>
      <c r="K1446" s="59"/>
      <c r="L1446" s="59"/>
      <c r="M1446" s="59"/>
      <c r="N1446" s="59"/>
      <c r="O1446" s="59"/>
      <c r="P1446" s="59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</row>
    <row r="1447" ht="27.75" customHeight="1">
      <c r="A1447" s="58"/>
      <c r="B1447" s="149"/>
      <c r="C1447" s="58"/>
      <c r="D1447" s="58"/>
      <c r="E1447" s="58"/>
      <c r="F1447" s="58"/>
      <c r="G1447" s="58"/>
      <c r="H1447" s="58"/>
      <c r="I1447" s="59"/>
      <c r="J1447" s="59"/>
      <c r="K1447" s="59"/>
      <c r="L1447" s="59"/>
      <c r="M1447" s="59"/>
      <c r="N1447" s="59"/>
      <c r="O1447" s="59"/>
      <c r="P1447" s="59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</row>
    <row r="1448" ht="27.75" customHeight="1">
      <c r="A1448" s="58"/>
      <c r="B1448" s="149"/>
      <c r="C1448" s="58"/>
      <c r="D1448" s="58"/>
      <c r="E1448" s="58"/>
      <c r="F1448" s="58"/>
      <c r="G1448" s="58"/>
      <c r="H1448" s="58"/>
      <c r="I1448" s="59"/>
      <c r="J1448" s="59"/>
      <c r="K1448" s="59"/>
      <c r="L1448" s="59"/>
      <c r="M1448" s="59"/>
      <c r="N1448" s="59"/>
      <c r="O1448" s="59"/>
      <c r="P1448" s="59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</row>
    <row r="1449" ht="27.75" customHeight="1">
      <c r="A1449" s="58"/>
      <c r="B1449" s="149"/>
      <c r="C1449" s="58"/>
      <c r="D1449" s="58"/>
      <c r="E1449" s="58"/>
      <c r="F1449" s="58"/>
      <c r="G1449" s="58"/>
      <c r="H1449" s="58"/>
      <c r="I1449" s="59"/>
      <c r="J1449" s="59"/>
      <c r="K1449" s="59"/>
      <c r="L1449" s="59"/>
      <c r="M1449" s="59"/>
      <c r="N1449" s="59"/>
      <c r="O1449" s="59"/>
      <c r="P1449" s="59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</row>
    <row r="1450" ht="27.75" customHeight="1">
      <c r="A1450" s="58"/>
      <c r="B1450" s="149"/>
      <c r="C1450" s="58"/>
      <c r="D1450" s="58"/>
      <c r="E1450" s="58"/>
      <c r="F1450" s="58"/>
      <c r="G1450" s="58"/>
      <c r="H1450" s="58"/>
      <c r="I1450" s="59"/>
      <c r="J1450" s="59"/>
      <c r="K1450" s="59"/>
      <c r="L1450" s="59"/>
      <c r="M1450" s="59"/>
      <c r="N1450" s="59"/>
      <c r="O1450" s="59"/>
      <c r="P1450" s="59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</row>
    <row r="1451" ht="27.75" customHeight="1">
      <c r="A1451" s="58"/>
      <c r="B1451" s="149"/>
      <c r="C1451" s="58"/>
      <c r="D1451" s="58"/>
      <c r="E1451" s="58"/>
      <c r="F1451" s="58"/>
      <c r="G1451" s="58"/>
      <c r="H1451" s="58"/>
      <c r="I1451" s="59"/>
      <c r="J1451" s="59"/>
      <c r="K1451" s="59"/>
      <c r="L1451" s="59"/>
      <c r="M1451" s="59"/>
      <c r="N1451" s="59"/>
      <c r="O1451" s="59"/>
      <c r="P1451" s="59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</row>
    <row r="1452" ht="27.75" customHeight="1">
      <c r="A1452" s="58"/>
      <c r="B1452" s="149"/>
      <c r="C1452" s="58"/>
      <c r="D1452" s="58"/>
      <c r="E1452" s="58"/>
      <c r="F1452" s="58"/>
      <c r="G1452" s="58"/>
      <c r="H1452" s="58"/>
      <c r="I1452" s="59"/>
      <c r="J1452" s="59"/>
      <c r="K1452" s="59"/>
      <c r="L1452" s="59"/>
      <c r="M1452" s="59"/>
      <c r="N1452" s="59"/>
      <c r="O1452" s="59"/>
      <c r="P1452" s="59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</row>
    <row r="1453" ht="27.75" customHeight="1">
      <c r="A1453" s="58"/>
      <c r="B1453" s="149"/>
      <c r="C1453" s="58"/>
      <c r="D1453" s="58"/>
      <c r="E1453" s="58"/>
      <c r="F1453" s="58"/>
      <c r="G1453" s="58"/>
      <c r="H1453" s="58"/>
      <c r="I1453" s="59"/>
      <c r="J1453" s="59"/>
      <c r="K1453" s="59"/>
      <c r="L1453" s="59"/>
      <c r="M1453" s="59"/>
      <c r="N1453" s="59"/>
      <c r="O1453" s="59"/>
      <c r="P1453" s="59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</row>
    <row r="1454" ht="27.75" customHeight="1">
      <c r="A1454" s="58"/>
      <c r="B1454" s="149"/>
      <c r="C1454" s="58"/>
      <c r="D1454" s="58"/>
      <c r="E1454" s="58"/>
      <c r="F1454" s="58"/>
      <c r="G1454" s="58"/>
      <c r="H1454" s="58"/>
      <c r="I1454" s="59"/>
      <c r="J1454" s="59"/>
      <c r="K1454" s="59"/>
      <c r="L1454" s="59"/>
      <c r="M1454" s="59"/>
      <c r="N1454" s="59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</row>
    <row r="1455" ht="27.75" customHeight="1">
      <c r="A1455" s="58"/>
      <c r="B1455" s="149"/>
      <c r="C1455" s="58"/>
      <c r="D1455" s="58"/>
      <c r="E1455" s="58"/>
      <c r="F1455" s="58"/>
      <c r="G1455" s="58"/>
      <c r="H1455" s="58"/>
      <c r="I1455" s="59"/>
      <c r="J1455" s="59"/>
      <c r="K1455" s="59"/>
      <c r="L1455" s="59"/>
      <c r="M1455" s="59"/>
      <c r="N1455" s="59"/>
      <c r="O1455" s="59"/>
      <c r="P1455" s="59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</row>
    <row r="1456" ht="27.75" customHeight="1">
      <c r="A1456" s="58"/>
      <c r="B1456" s="149"/>
      <c r="C1456" s="58"/>
      <c r="D1456" s="58"/>
      <c r="E1456" s="58"/>
      <c r="F1456" s="58"/>
      <c r="G1456" s="58"/>
      <c r="H1456" s="58"/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</row>
    <row r="1457" ht="27.75" customHeight="1">
      <c r="A1457" s="58"/>
      <c r="B1457" s="149"/>
      <c r="C1457" s="58"/>
      <c r="D1457" s="58"/>
      <c r="E1457" s="58"/>
      <c r="F1457" s="58"/>
      <c r="G1457" s="58"/>
      <c r="H1457" s="58"/>
      <c r="I1457" s="59"/>
      <c r="J1457" s="59"/>
      <c r="K1457" s="59"/>
      <c r="L1457" s="59"/>
      <c r="M1457" s="59"/>
      <c r="N1457" s="59"/>
      <c r="O1457" s="59"/>
      <c r="P1457" s="59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</row>
    <row r="1458" ht="27.75" customHeight="1">
      <c r="A1458" s="58"/>
      <c r="B1458" s="149"/>
      <c r="C1458" s="58"/>
      <c r="D1458" s="58"/>
      <c r="E1458" s="58"/>
      <c r="F1458" s="58"/>
      <c r="G1458" s="58"/>
      <c r="H1458" s="58"/>
      <c r="I1458" s="59"/>
      <c r="J1458" s="59"/>
      <c r="K1458" s="59"/>
      <c r="L1458" s="59"/>
      <c r="M1458" s="59"/>
      <c r="N1458" s="59"/>
      <c r="O1458" s="59"/>
      <c r="P1458" s="59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</row>
    <row r="1459" ht="27.75" customHeight="1">
      <c r="A1459" s="58"/>
      <c r="B1459" s="149"/>
      <c r="C1459" s="58"/>
      <c r="D1459" s="58"/>
      <c r="E1459" s="58"/>
      <c r="F1459" s="58"/>
      <c r="G1459" s="58"/>
      <c r="H1459" s="58"/>
      <c r="I1459" s="59"/>
      <c r="J1459" s="59"/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</row>
    <row r="1460" ht="27.75" customHeight="1">
      <c r="A1460" s="58"/>
      <c r="B1460" s="149"/>
      <c r="C1460" s="58"/>
      <c r="D1460" s="58"/>
      <c r="E1460" s="58"/>
      <c r="F1460" s="58"/>
      <c r="G1460" s="58"/>
      <c r="H1460" s="58"/>
      <c r="I1460" s="59"/>
      <c r="J1460" s="59"/>
      <c r="K1460" s="59"/>
      <c r="L1460" s="59"/>
      <c r="M1460" s="59"/>
      <c r="N1460" s="59"/>
      <c r="O1460" s="59"/>
      <c r="P1460" s="59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</row>
    <row r="1461" ht="27.75" customHeight="1">
      <c r="A1461" s="58"/>
      <c r="B1461" s="149"/>
      <c r="C1461" s="58"/>
      <c r="D1461" s="58"/>
      <c r="E1461" s="58"/>
      <c r="F1461" s="58"/>
      <c r="G1461" s="58"/>
      <c r="H1461" s="58"/>
      <c r="I1461" s="59"/>
      <c r="J1461" s="59"/>
      <c r="K1461" s="59"/>
      <c r="L1461" s="59"/>
      <c r="M1461" s="59"/>
      <c r="N1461" s="59"/>
      <c r="O1461" s="59"/>
      <c r="P1461" s="59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</row>
    <row r="1462" ht="27.75" customHeight="1">
      <c r="A1462" s="58"/>
      <c r="B1462" s="149"/>
      <c r="C1462" s="58"/>
      <c r="D1462" s="58"/>
      <c r="E1462" s="58"/>
      <c r="F1462" s="58"/>
      <c r="G1462" s="58"/>
      <c r="H1462" s="58"/>
      <c r="I1462" s="59"/>
      <c r="J1462" s="59"/>
      <c r="K1462" s="59"/>
      <c r="L1462" s="59"/>
      <c r="M1462" s="59"/>
      <c r="N1462" s="59"/>
      <c r="O1462" s="59"/>
      <c r="P1462" s="59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</row>
    <row r="1463" ht="27.75" customHeight="1">
      <c r="A1463" s="58"/>
      <c r="B1463" s="149"/>
      <c r="C1463" s="58"/>
      <c r="D1463" s="58"/>
      <c r="E1463" s="58"/>
      <c r="F1463" s="58"/>
      <c r="G1463" s="58"/>
      <c r="H1463" s="58"/>
      <c r="I1463" s="59"/>
      <c r="J1463" s="59"/>
      <c r="K1463" s="59"/>
      <c r="L1463" s="59"/>
      <c r="M1463" s="59"/>
      <c r="N1463" s="59"/>
      <c r="O1463" s="59"/>
      <c r="P1463" s="59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</row>
    <row r="1464" ht="27.75" customHeight="1">
      <c r="A1464" s="58"/>
      <c r="B1464" s="149"/>
      <c r="C1464" s="58"/>
      <c r="D1464" s="58"/>
      <c r="E1464" s="58"/>
      <c r="F1464" s="58"/>
      <c r="G1464" s="58"/>
      <c r="H1464" s="58"/>
      <c r="I1464" s="59"/>
      <c r="J1464" s="59"/>
      <c r="K1464" s="59"/>
      <c r="L1464" s="59"/>
      <c r="M1464" s="59"/>
      <c r="N1464" s="59"/>
      <c r="O1464" s="59"/>
      <c r="P1464" s="59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</row>
    <row r="1465" ht="27.75" customHeight="1">
      <c r="A1465" s="58"/>
      <c r="B1465" s="149"/>
      <c r="C1465" s="58"/>
      <c r="D1465" s="58"/>
      <c r="E1465" s="58"/>
      <c r="F1465" s="58"/>
      <c r="G1465" s="58"/>
      <c r="H1465" s="58"/>
      <c r="I1465" s="59"/>
      <c r="J1465" s="59"/>
      <c r="K1465" s="59"/>
      <c r="L1465" s="59"/>
      <c r="M1465" s="59"/>
      <c r="N1465" s="59"/>
      <c r="O1465" s="59"/>
      <c r="P1465" s="59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</row>
    <row r="1466" ht="27.75" customHeight="1">
      <c r="A1466" s="58"/>
      <c r="B1466" s="149"/>
      <c r="C1466" s="58"/>
      <c r="D1466" s="58"/>
      <c r="E1466" s="58"/>
      <c r="F1466" s="58"/>
      <c r="G1466" s="58"/>
      <c r="H1466" s="58"/>
      <c r="I1466" s="59"/>
      <c r="J1466" s="59"/>
      <c r="K1466" s="59"/>
      <c r="L1466" s="59"/>
      <c r="M1466" s="59"/>
      <c r="N1466" s="59"/>
      <c r="O1466" s="59"/>
      <c r="P1466" s="59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</row>
    <row r="1467" ht="27.75" customHeight="1">
      <c r="A1467" s="58"/>
      <c r="B1467" s="149"/>
      <c r="C1467" s="58"/>
      <c r="D1467" s="58"/>
      <c r="E1467" s="58"/>
      <c r="F1467" s="58"/>
      <c r="G1467" s="58"/>
      <c r="H1467" s="58"/>
      <c r="I1467" s="59"/>
      <c r="J1467" s="59"/>
      <c r="K1467" s="59"/>
      <c r="L1467" s="59"/>
      <c r="M1467" s="59"/>
      <c r="N1467" s="59"/>
      <c r="O1467" s="59"/>
      <c r="P1467" s="59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</row>
    <row r="1468" ht="27.75" customHeight="1">
      <c r="A1468" s="58"/>
      <c r="B1468" s="149"/>
      <c r="C1468" s="58"/>
      <c r="D1468" s="58"/>
      <c r="E1468" s="58"/>
      <c r="F1468" s="58"/>
      <c r="G1468" s="58"/>
      <c r="H1468" s="58"/>
      <c r="I1468" s="59"/>
      <c r="J1468" s="59"/>
      <c r="K1468" s="59"/>
      <c r="L1468" s="59"/>
      <c r="M1468" s="59"/>
      <c r="N1468" s="59"/>
      <c r="O1468" s="59"/>
      <c r="P1468" s="59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</row>
    <row r="1469" ht="27.75" customHeight="1">
      <c r="A1469" s="58"/>
      <c r="B1469" s="149"/>
      <c r="C1469" s="58"/>
      <c r="D1469" s="58"/>
      <c r="E1469" s="58"/>
      <c r="F1469" s="58"/>
      <c r="G1469" s="58"/>
      <c r="H1469" s="58"/>
      <c r="I1469" s="59"/>
      <c r="J1469" s="59"/>
      <c r="K1469" s="59"/>
      <c r="L1469" s="59"/>
      <c r="M1469" s="59"/>
      <c r="N1469" s="59"/>
      <c r="O1469" s="59"/>
      <c r="P1469" s="59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</row>
    <row r="1470" ht="27.75" customHeight="1">
      <c r="A1470" s="58"/>
      <c r="B1470" s="149"/>
      <c r="C1470" s="58"/>
      <c r="D1470" s="58"/>
      <c r="E1470" s="58"/>
      <c r="F1470" s="58"/>
      <c r="G1470" s="58"/>
      <c r="H1470" s="58"/>
      <c r="I1470" s="59"/>
      <c r="J1470" s="59"/>
      <c r="K1470" s="59"/>
      <c r="L1470" s="59"/>
      <c r="M1470" s="59"/>
      <c r="N1470" s="59"/>
      <c r="O1470" s="59"/>
      <c r="P1470" s="59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</row>
    <row r="1471" ht="27.75" customHeight="1">
      <c r="A1471" s="58"/>
      <c r="B1471" s="149"/>
      <c r="C1471" s="58"/>
      <c r="D1471" s="58"/>
      <c r="E1471" s="58"/>
      <c r="F1471" s="58"/>
      <c r="G1471" s="58"/>
      <c r="H1471" s="58"/>
      <c r="I1471" s="59"/>
      <c r="J1471" s="59"/>
      <c r="K1471" s="59"/>
      <c r="L1471" s="59"/>
      <c r="M1471" s="59"/>
      <c r="N1471" s="59"/>
      <c r="O1471" s="59"/>
      <c r="P1471" s="59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</row>
    <row r="1472" ht="27.75" customHeight="1">
      <c r="A1472" s="58"/>
      <c r="B1472" s="149"/>
      <c r="C1472" s="58"/>
      <c r="D1472" s="58"/>
      <c r="E1472" s="58"/>
      <c r="F1472" s="58"/>
      <c r="G1472" s="58"/>
      <c r="H1472" s="58"/>
      <c r="I1472" s="59"/>
      <c r="J1472" s="59"/>
      <c r="K1472" s="59"/>
      <c r="L1472" s="59"/>
      <c r="M1472" s="59"/>
      <c r="N1472" s="59"/>
      <c r="O1472" s="59"/>
      <c r="P1472" s="59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</row>
    <row r="1473" ht="27.75" customHeight="1">
      <c r="A1473" s="58"/>
      <c r="B1473" s="149"/>
      <c r="C1473" s="58"/>
      <c r="D1473" s="58"/>
      <c r="E1473" s="58"/>
      <c r="F1473" s="58"/>
      <c r="G1473" s="58"/>
      <c r="H1473" s="58"/>
      <c r="I1473" s="59"/>
      <c r="J1473" s="59"/>
      <c r="K1473" s="59"/>
      <c r="L1473" s="59"/>
      <c r="M1473" s="59"/>
      <c r="N1473" s="59"/>
      <c r="O1473" s="59"/>
      <c r="P1473" s="59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</row>
    <row r="1474" ht="27.75" customHeight="1">
      <c r="A1474" s="58"/>
      <c r="B1474" s="149"/>
      <c r="C1474" s="58"/>
      <c r="D1474" s="58"/>
      <c r="E1474" s="58"/>
      <c r="F1474" s="58"/>
      <c r="G1474" s="58"/>
      <c r="H1474" s="58"/>
      <c r="I1474" s="59"/>
      <c r="J1474" s="59"/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</row>
    <row r="1475" ht="27.75" customHeight="1">
      <c r="A1475" s="58"/>
      <c r="B1475" s="149"/>
      <c r="C1475" s="58"/>
      <c r="D1475" s="58"/>
      <c r="E1475" s="58"/>
      <c r="F1475" s="58"/>
      <c r="G1475" s="58"/>
      <c r="H1475" s="58"/>
      <c r="I1475" s="59"/>
      <c r="J1475" s="59"/>
      <c r="K1475" s="59"/>
      <c r="L1475" s="59"/>
      <c r="M1475" s="59"/>
      <c r="N1475" s="59"/>
      <c r="O1475" s="59"/>
      <c r="P1475" s="59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</row>
    <row r="1476" ht="27.75" customHeight="1">
      <c r="A1476" s="58"/>
      <c r="B1476" s="149"/>
      <c r="C1476" s="58"/>
      <c r="D1476" s="58"/>
      <c r="E1476" s="58"/>
      <c r="F1476" s="58"/>
      <c r="G1476" s="58"/>
      <c r="H1476" s="58"/>
      <c r="I1476" s="59"/>
      <c r="J1476" s="59"/>
      <c r="K1476" s="59"/>
      <c r="L1476" s="59"/>
      <c r="M1476" s="59"/>
      <c r="N1476" s="59"/>
      <c r="O1476" s="59"/>
      <c r="P1476" s="59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</row>
    <row r="1477" ht="27.75" customHeight="1">
      <c r="A1477" s="58"/>
      <c r="B1477" s="149"/>
      <c r="C1477" s="58"/>
      <c r="D1477" s="58"/>
      <c r="E1477" s="58"/>
      <c r="F1477" s="58"/>
      <c r="G1477" s="58"/>
      <c r="H1477" s="58"/>
      <c r="I1477" s="59"/>
      <c r="J1477" s="59"/>
      <c r="K1477" s="59"/>
      <c r="L1477" s="59"/>
      <c r="M1477" s="59"/>
      <c r="N1477" s="59"/>
      <c r="O1477" s="59"/>
      <c r="P1477" s="59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</row>
    <row r="1478" ht="27.75" customHeight="1">
      <c r="A1478" s="58"/>
      <c r="B1478" s="149"/>
      <c r="C1478" s="58"/>
      <c r="D1478" s="58"/>
      <c r="E1478" s="58"/>
      <c r="F1478" s="58"/>
      <c r="G1478" s="58"/>
      <c r="H1478" s="58"/>
      <c r="I1478" s="59"/>
      <c r="J1478" s="59"/>
      <c r="K1478" s="59"/>
      <c r="L1478" s="59"/>
      <c r="M1478" s="59"/>
      <c r="N1478" s="59"/>
      <c r="O1478" s="59"/>
      <c r="P1478" s="59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</row>
    <row r="1479" ht="27.75" customHeight="1">
      <c r="A1479" s="58"/>
      <c r="B1479" s="149"/>
      <c r="C1479" s="58"/>
      <c r="D1479" s="58"/>
      <c r="E1479" s="58"/>
      <c r="F1479" s="58"/>
      <c r="G1479" s="58"/>
      <c r="H1479" s="58"/>
      <c r="I1479" s="59"/>
      <c r="J1479" s="59"/>
      <c r="K1479" s="59"/>
      <c r="L1479" s="59"/>
      <c r="M1479" s="59"/>
      <c r="N1479" s="59"/>
      <c r="O1479" s="59"/>
      <c r="P1479" s="59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</row>
    <row r="1480" ht="27.75" customHeight="1">
      <c r="A1480" s="58"/>
      <c r="B1480" s="149"/>
      <c r="C1480" s="58"/>
      <c r="D1480" s="58"/>
      <c r="E1480" s="58"/>
      <c r="F1480" s="58"/>
      <c r="G1480" s="58"/>
      <c r="H1480" s="58"/>
      <c r="I1480" s="59"/>
      <c r="J1480" s="59"/>
      <c r="K1480" s="59"/>
      <c r="L1480" s="59"/>
      <c r="M1480" s="59"/>
      <c r="N1480" s="59"/>
      <c r="O1480" s="59"/>
      <c r="P1480" s="59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</row>
    <row r="1481" ht="27.75" customHeight="1">
      <c r="A1481" s="58"/>
      <c r="B1481" s="149"/>
      <c r="C1481" s="58"/>
      <c r="D1481" s="58"/>
      <c r="E1481" s="58"/>
      <c r="F1481" s="58"/>
      <c r="G1481" s="58"/>
      <c r="H1481" s="58"/>
      <c r="I1481" s="59"/>
      <c r="J1481" s="59"/>
      <c r="K1481" s="59"/>
      <c r="L1481" s="59"/>
      <c r="M1481" s="59"/>
      <c r="N1481" s="59"/>
      <c r="O1481" s="59"/>
      <c r="P1481" s="59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</row>
    <row r="1482" ht="27.75" customHeight="1">
      <c r="A1482" s="58"/>
      <c r="B1482" s="149"/>
      <c r="C1482" s="58"/>
      <c r="D1482" s="58"/>
      <c r="E1482" s="58"/>
      <c r="F1482" s="58"/>
      <c r="G1482" s="58"/>
      <c r="H1482" s="58"/>
      <c r="I1482" s="59"/>
      <c r="J1482" s="59"/>
      <c r="K1482" s="59"/>
      <c r="L1482" s="59"/>
      <c r="M1482" s="59"/>
      <c r="N1482" s="59"/>
      <c r="O1482" s="59"/>
      <c r="P1482" s="59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</row>
    <row r="1483" ht="27.75" customHeight="1">
      <c r="A1483" s="58"/>
      <c r="B1483" s="149"/>
      <c r="C1483" s="58"/>
      <c r="D1483" s="58"/>
      <c r="E1483" s="58"/>
      <c r="F1483" s="58"/>
      <c r="G1483" s="58"/>
      <c r="H1483" s="58"/>
      <c r="I1483" s="59"/>
      <c r="J1483" s="59"/>
      <c r="K1483" s="59"/>
      <c r="L1483" s="59"/>
      <c r="M1483" s="59"/>
      <c r="N1483" s="59"/>
      <c r="O1483" s="59"/>
      <c r="P1483" s="59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</row>
    <row r="1484" ht="27.75" customHeight="1">
      <c r="A1484" s="58"/>
      <c r="B1484" s="149"/>
      <c r="C1484" s="58"/>
      <c r="D1484" s="58"/>
      <c r="E1484" s="58"/>
      <c r="F1484" s="58"/>
      <c r="G1484" s="58"/>
      <c r="H1484" s="58"/>
      <c r="I1484" s="59"/>
      <c r="J1484" s="59"/>
      <c r="K1484" s="59"/>
      <c r="L1484" s="59"/>
      <c r="M1484" s="59"/>
      <c r="N1484" s="59"/>
      <c r="O1484" s="59"/>
      <c r="P1484" s="59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</row>
    <row r="1485" ht="27.75" customHeight="1">
      <c r="A1485" s="58"/>
      <c r="B1485" s="149"/>
      <c r="C1485" s="58"/>
      <c r="D1485" s="58"/>
      <c r="E1485" s="58"/>
      <c r="F1485" s="58"/>
      <c r="G1485" s="58"/>
      <c r="H1485" s="58"/>
      <c r="I1485" s="59"/>
      <c r="J1485" s="59"/>
      <c r="K1485" s="59"/>
      <c r="L1485" s="59"/>
      <c r="M1485" s="59"/>
      <c r="N1485" s="59"/>
      <c r="O1485" s="59"/>
      <c r="P1485" s="59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</row>
    <row r="1486" ht="27.75" customHeight="1">
      <c r="A1486" s="58"/>
      <c r="B1486" s="149"/>
      <c r="C1486" s="58"/>
      <c r="D1486" s="58"/>
      <c r="E1486" s="58"/>
      <c r="F1486" s="58"/>
      <c r="G1486" s="58"/>
      <c r="H1486" s="58"/>
      <c r="I1486" s="59"/>
      <c r="J1486" s="59"/>
      <c r="K1486" s="59"/>
      <c r="L1486" s="59"/>
      <c r="M1486" s="59"/>
      <c r="N1486" s="59"/>
      <c r="O1486" s="59"/>
      <c r="P1486" s="59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</row>
    <row r="1487" ht="27.75" customHeight="1">
      <c r="A1487" s="58"/>
      <c r="B1487" s="149"/>
      <c r="C1487" s="58"/>
      <c r="D1487" s="58"/>
      <c r="E1487" s="58"/>
      <c r="F1487" s="58"/>
      <c r="G1487" s="58"/>
      <c r="H1487" s="58"/>
      <c r="I1487" s="59"/>
      <c r="J1487" s="59"/>
      <c r="K1487" s="59"/>
      <c r="L1487" s="59"/>
      <c r="M1487" s="59"/>
      <c r="N1487" s="59"/>
      <c r="O1487" s="59"/>
      <c r="P1487" s="59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</row>
    <row r="1488" ht="27.75" customHeight="1">
      <c r="A1488" s="58"/>
      <c r="B1488" s="149"/>
      <c r="C1488" s="58"/>
      <c r="D1488" s="58"/>
      <c r="E1488" s="58"/>
      <c r="F1488" s="58"/>
      <c r="G1488" s="58"/>
      <c r="H1488" s="58"/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</row>
    <row r="1489" ht="27.75" customHeight="1">
      <c r="A1489" s="58"/>
      <c r="B1489" s="149"/>
      <c r="C1489" s="58"/>
      <c r="D1489" s="58"/>
      <c r="E1489" s="58"/>
      <c r="F1489" s="58"/>
      <c r="G1489" s="58"/>
      <c r="H1489" s="58"/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</row>
    <row r="1490" ht="27.75" customHeight="1">
      <c r="A1490" s="58"/>
      <c r="B1490" s="149"/>
      <c r="C1490" s="58"/>
      <c r="D1490" s="58"/>
      <c r="E1490" s="58"/>
      <c r="F1490" s="58"/>
      <c r="G1490" s="58"/>
      <c r="H1490" s="58"/>
      <c r="I1490" s="59"/>
      <c r="J1490" s="59"/>
      <c r="K1490" s="59"/>
      <c r="L1490" s="59"/>
      <c r="M1490" s="59"/>
      <c r="N1490" s="59"/>
      <c r="O1490" s="59"/>
      <c r="P1490" s="59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</row>
    <row r="1491" ht="27.75" customHeight="1">
      <c r="A1491" s="58"/>
      <c r="B1491" s="149"/>
      <c r="C1491" s="58"/>
      <c r="D1491" s="58"/>
      <c r="E1491" s="58"/>
      <c r="F1491" s="58"/>
      <c r="G1491" s="58"/>
      <c r="H1491" s="58"/>
      <c r="I1491" s="59"/>
      <c r="J1491" s="59"/>
      <c r="K1491" s="59"/>
      <c r="L1491" s="59"/>
      <c r="M1491" s="59"/>
      <c r="N1491" s="59"/>
      <c r="O1491" s="59"/>
      <c r="P1491" s="59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</row>
    <row r="1492" ht="27.75" customHeight="1">
      <c r="A1492" s="58"/>
      <c r="B1492" s="149"/>
      <c r="C1492" s="58"/>
      <c r="D1492" s="58"/>
      <c r="E1492" s="58"/>
      <c r="F1492" s="58"/>
      <c r="G1492" s="58"/>
      <c r="H1492" s="58"/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</row>
    <row r="1493" ht="27.75" customHeight="1">
      <c r="A1493" s="58"/>
      <c r="B1493" s="149"/>
      <c r="C1493" s="58"/>
      <c r="D1493" s="58"/>
      <c r="E1493" s="58"/>
      <c r="F1493" s="58"/>
      <c r="G1493" s="58"/>
      <c r="H1493" s="58"/>
      <c r="I1493" s="59"/>
      <c r="J1493" s="59"/>
      <c r="K1493" s="59"/>
      <c r="L1493" s="59"/>
      <c r="M1493" s="59"/>
      <c r="N1493" s="59"/>
      <c r="O1493" s="59"/>
      <c r="P1493" s="59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</row>
    <row r="1494" ht="27.75" customHeight="1">
      <c r="A1494" s="58"/>
      <c r="B1494" s="149"/>
      <c r="C1494" s="58"/>
      <c r="D1494" s="58"/>
      <c r="E1494" s="58"/>
      <c r="F1494" s="58"/>
      <c r="G1494" s="58"/>
      <c r="H1494" s="58"/>
      <c r="I1494" s="59"/>
      <c r="J1494" s="59"/>
      <c r="K1494" s="59"/>
      <c r="L1494" s="59"/>
      <c r="M1494" s="59"/>
      <c r="N1494" s="59"/>
      <c r="O1494" s="59"/>
      <c r="P1494" s="59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</row>
    <row r="1495" ht="27.75" customHeight="1">
      <c r="A1495" s="58"/>
      <c r="B1495" s="149"/>
      <c r="C1495" s="58"/>
      <c r="D1495" s="58"/>
      <c r="E1495" s="58"/>
      <c r="F1495" s="58"/>
      <c r="G1495" s="58"/>
      <c r="H1495" s="58"/>
      <c r="I1495" s="59"/>
      <c r="J1495" s="59"/>
      <c r="K1495" s="59"/>
      <c r="L1495" s="59"/>
      <c r="M1495" s="59"/>
      <c r="N1495" s="59"/>
      <c r="O1495" s="59"/>
      <c r="P1495" s="59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</row>
    <row r="1496" ht="27.75" customHeight="1">
      <c r="A1496" s="58"/>
      <c r="B1496" s="149"/>
      <c r="C1496" s="58"/>
      <c r="D1496" s="58"/>
      <c r="E1496" s="58"/>
      <c r="F1496" s="58"/>
      <c r="G1496" s="58"/>
      <c r="H1496" s="58"/>
      <c r="I1496" s="59"/>
      <c r="J1496" s="59"/>
      <c r="K1496" s="59"/>
      <c r="L1496" s="59"/>
      <c r="M1496" s="59"/>
      <c r="N1496" s="59"/>
      <c r="O1496" s="59"/>
      <c r="P1496" s="59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</row>
    <row r="1497" ht="27.75" customHeight="1">
      <c r="A1497" s="58"/>
      <c r="B1497" s="149"/>
      <c r="C1497" s="58"/>
      <c r="D1497" s="58"/>
      <c r="E1497" s="58"/>
      <c r="F1497" s="58"/>
      <c r="G1497" s="58"/>
      <c r="H1497" s="58"/>
      <c r="I1497" s="59"/>
      <c r="J1497" s="59"/>
      <c r="K1497" s="59"/>
      <c r="L1497" s="59"/>
      <c r="M1497" s="59"/>
      <c r="N1497" s="59"/>
      <c r="O1497" s="59"/>
      <c r="P1497" s="59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</row>
    <row r="1498" ht="27.75" customHeight="1">
      <c r="A1498" s="58"/>
      <c r="B1498" s="149"/>
      <c r="C1498" s="58"/>
      <c r="D1498" s="58"/>
      <c r="E1498" s="58"/>
      <c r="F1498" s="58"/>
      <c r="G1498" s="58"/>
      <c r="H1498" s="58"/>
      <c r="I1498" s="59"/>
      <c r="J1498" s="59"/>
      <c r="K1498" s="59"/>
      <c r="L1498" s="59"/>
      <c r="M1498" s="59"/>
      <c r="N1498" s="59"/>
      <c r="O1498" s="59"/>
      <c r="P1498" s="59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</row>
    <row r="1499" ht="27.75" customHeight="1">
      <c r="A1499" s="58"/>
      <c r="B1499" s="149"/>
      <c r="C1499" s="58"/>
      <c r="D1499" s="58"/>
      <c r="E1499" s="58"/>
      <c r="F1499" s="58"/>
      <c r="G1499" s="58"/>
      <c r="H1499" s="58"/>
      <c r="I1499" s="59"/>
      <c r="J1499" s="59"/>
      <c r="K1499" s="59"/>
      <c r="L1499" s="59"/>
      <c r="M1499" s="59"/>
      <c r="N1499" s="59"/>
      <c r="O1499" s="59"/>
      <c r="P1499" s="59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</row>
    <row r="1500" ht="27.75" customHeight="1">
      <c r="A1500" s="58"/>
      <c r="B1500" s="149"/>
      <c r="C1500" s="58"/>
      <c r="D1500" s="58"/>
      <c r="E1500" s="58"/>
      <c r="F1500" s="58"/>
      <c r="G1500" s="58"/>
      <c r="H1500" s="58"/>
      <c r="I1500" s="59"/>
      <c r="J1500" s="59"/>
      <c r="K1500" s="59"/>
      <c r="L1500" s="59"/>
      <c r="M1500" s="59"/>
      <c r="N1500" s="59"/>
      <c r="O1500" s="59"/>
      <c r="P1500" s="59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</row>
    <row r="1501" ht="27.75" customHeight="1">
      <c r="A1501" s="58"/>
      <c r="B1501" s="149"/>
      <c r="C1501" s="58"/>
      <c r="D1501" s="58"/>
      <c r="E1501" s="58"/>
      <c r="F1501" s="58"/>
      <c r="G1501" s="58"/>
      <c r="H1501" s="58"/>
      <c r="I1501" s="59"/>
      <c r="J1501" s="59"/>
      <c r="K1501" s="59"/>
      <c r="L1501" s="59"/>
      <c r="M1501" s="59"/>
      <c r="N1501" s="59"/>
      <c r="O1501" s="59"/>
      <c r="P1501" s="59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</row>
    <row r="1502" ht="27.75" customHeight="1">
      <c r="A1502" s="58"/>
      <c r="B1502" s="149"/>
      <c r="C1502" s="58"/>
      <c r="D1502" s="58"/>
      <c r="E1502" s="58"/>
      <c r="F1502" s="58"/>
      <c r="G1502" s="58"/>
      <c r="H1502" s="58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</row>
    <row r="1503" ht="27.75" customHeight="1">
      <c r="A1503" s="58"/>
      <c r="B1503" s="149"/>
      <c r="C1503" s="58"/>
      <c r="D1503" s="58"/>
      <c r="E1503" s="58"/>
      <c r="F1503" s="58"/>
      <c r="G1503" s="58"/>
      <c r="H1503" s="58"/>
      <c r="I1503" s="59"/>
      <c r="J1503" s="59"/>
      <c r="K1503" s="59"/>
      <c r="L1503" s="59"/>
      <c r="M1503" s="59"/>
      <c r="N1503" s="59"/>
      <c r="O1503" s="59"/>
      <c r="P1503" s="59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</row>
    <row r="1504" ht="27.75" customHeight="1">
      <c r="A1504" s="58"/>
      <c r="B1504" s="149"/>
      <c r="C1504" s="58"/>
      <c r="D1504" s="58"/>
      <c r="E1504" s="58"/>
      <c r="F1504" s="58"/>
      <c r="G1504" s="58"/>
      <c r="H1504" s="58"/>
      <c r="I1504" s="59"/>
      <c r="J1504" s="59"/>
      <c r="K1504" s="59"/>
      <c r="L1504" s="59"/>
      <c r="M1504" s="59"/>
      <c r="N1504" s="59"/>
      <c r="O1504" s="59"/>
      <c r="P1504" s="59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</row>
    <row r="1505" ht="27.75" customHeight="1">
      <c r="A1505" s="58"/>
      <c r="B1505" s="149"/>
      <c r="C1505" s="58"/>
      <c r="D1505" s="58"/>
      <c r="E1505" s="58"/>
      <c r="F1505" s="58"/>
      <c r="G1505" s="58"/>
      <c r="H1505" s="58"/>
      <c r="I1505" s="59"/>
      <c r="J1505" s="59"/>
      <c r="K1505" s="59"/>
      <c r="L1505" s="59"/>
      <c r="M1505" s="59"/>
      <c r="N1505" s="59"/>
      <c r="O1505" s="59"/>
      <c r="P1505" s="59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</row>
    <row r="1506" ht="27.75" customHeight="1">
      <c r="A1506" s="58"/>
      <c r="B1506" s="149"/>
      <c r="C1506" s="58"/>
      <c r="D1506" s="58"/>
      <c r="E1506" s="58"/>
      <c r="F1506" s="58"/>
      <c r="G1506" s="58"/>
      <c r="H1506" s="58"/>
      <c r="I1506" s="59"/>
      <c r="J1506" s="59"/>
      <c r="K1506" s="59"/>
      <c r="L1506" s="59"/>
      <c r="M1506" s="59"/>
      <c r="N1506" s="59"/>
      <c r="O1506" s="59"/>
      <c r="P1506" s="59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</row>
    <row r="1507" ht="27.75" customHeight="1">
      <c r="A1507" s="58"/>
      <c r="B1507" s="149"/>
      <c r="C1507" s="58"/>
      <c r="D1507" s="58"/>
      <c r="E1507" s="58"/>
      <c r="F1507" s="58"/>
      <c r="G1507" s="58"/>
      <c r="H1507" s="58"/>
      <c r="I1507" s="59"/>
      <c r="J1507" s="59"/>
      <c r="K1507" s="59"/>
      <c r="L1507" s="59"/>
      <c r="M1507" s="59"/>
      <c r="N1507" s="59"/>
      <c r="O1507" s="59"/>
      <c r="P1507" s="59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</row>
    <row r="1508" ht="27.75" customHeight="1">
      <c r="A1508" s="58"/>
      <c r="B1508" s="149"/>
      <c r="C1508" s="58"/>
      <c r="D1508" s="58"/>
      <c r="E1508" s="58"/>
      <c r="F1508" s="58"/>
      <c r="G1508" s="58"/>
      <c r="H1508" s="58"/>
      <c r="I1508" s="59"/>
      <c r="J1508" s="59"/>
      <c r="K1508" s="59"/>
      <c r="L1508" s="59"/>
      <c r="M1508" s="59"/>
      <c r="N1508" s="59"/>
      <c r="O1508" s="59"/>
      <c r="P1508" s="59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</row>
    <row r="1509" ht="27.75" customHeight="1">
      <c r="A1509" s="58"/>
      <c r="B1509" s="149"/>
      <c r="C1509" s="58"/>
      <c r="D1509" s="58"/>
      <c r="E1509" s="58"/>
      <c r="F1509" s="58"/>
      <c r="G1509" s="58"/>
      <c r="H1509" s="58"/>
      <c r="I1509" s="59"/>
      <c r="J1509" s="59"/>
      <c r="K1509" s="59"/>
      <c r="L1509" s="59"/>
      <c r="M1509" s="59"/>
      <c r="N1509" s="59"/>
      <c r="O1509" s="59"/>
      <c r="P1509" s="59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</row>
    <row r="1510" ht="27.75" customHeight="1">
      <c r="A1510" s="58"/>
      <c r="B1510" s="149"/>
      <c r="C1510" s="58"/>
      <c r="D1510" s="58"/>
      <c r="E1510" s="58"/>
      <c r="F1510" s="58"/>
      <c r="G1510" s="58"/>
      <c r="H1510" s="58"/>
      <c r="I1510" s="59"/>
      <c r="J1510" s="59"/>
      <c r="K1510" s="59"/>
      <c r="L1510" s="59"/>
      <c r="M1510" s="59"/>
      <c r="N1510" s="59"/>
      <c r="O1510" s="59"/>
      <c r="P1510" s="59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</row>
    <row r="1511" ht="27.75" customHeight="1">
      <c r="A1511" s="58"/>
      <c r="B1511" s="149"/>
      <c r="C1511" s="58"/>
      <c r="D1511" s="58"/>
      <c r="E1511" s="58"/>
      <c r="F1511" s="58"/>
      <c r="G1511" s="58"/>
      <c r="H1511" s="58"/>
      <c r="I1511" s="59"/>
      <c r="J1511" s="59"/>
      <c r="K1511" s="59"/>
      <c r="L1511" s="59"/>
      <c r="M1511" s="59"/>
      <c r="N1511" s="59"/>
      <c r="O1511" s="59"/>
      <c r="P1511" s="59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</row>
    <row r="1512" ht="27.75" customHeight="1">
      <c r="A1512" s="58"/>
      <c r="B1512" s="149"/>
      <c r="C1512" s="58"/>
      <c r="D1512" s="58"/>
      <c r="E1512" s="58"/>
      <c r="F1512" s="58"/>
      <c r="G1512" s="58"/>
      <c r="H1512" s="58"/>
      <c r="I1512" s="59"/>
      <c r="J1512" s="59"/>
      <c r="K1512" s="59"/>
      <c r="L1512" s="59"/>
      <c r="M1512" s="59"/>
      <c r="N1512" s="59"/>
      <c r="O1512" s="59"/>
      <c r="P1512" s="59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</row>
    <row r="1513" ht="27.75" customHeight="1">
      <c r="A1513" s="58"/>
      <c r="B1513" s="149"/>
      <c r="C1513" s="58"/>
      <c r="D1513" s="58"/>
      <c r="E1513" s="58"/>
      <c r="F1513" s="58"/>
      <c r="G1513" s="58"/>
      <c r="H1513" s="58"/>
      <c r="I1513" s="59"/>
      <c r="J1513" s="59"/>
      <c r="K1513" s="59"/>
      <c r="L1513" s="59"/>
      <c r="M1513" s="59"/>
      <c r="N1513" s="59"/>
      <c r="O1513" s="59"/>
      <c r="P1513" s="59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</row>
    <row r="1514" ht="27.75" customHeight="1">
      <c r="A1514" s="58"/>
      <c r="B1514" s="149"/>
      <c r="C1514" s="58"/>
      <c r="D1514" s="58"/>
      <c r="E1514" s="58"/>
      <c r="F1514" s="58"/>
      <c r="G1514" s="58"/>
      <c r="H1514" s="58"/>
      <c r="I1514" s="59"/>
      <c r="J1514" s="59"/>
      <c r="K1514" s="59"/>
      <c r="L1514" s="59"/>
      <c r="M1514" s="59"/>
      <c r="N1514" s="59"/>
      <c r="O1514" s="59"/>
      <c r="P1514" s="59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</row>
    <row r="1515" ht="27.75" customHeight="1">
      <c r="A1515" s="58"/>
      <c r="B1515" s="149"/>
      <c r="C1515" s="58"/>
      <c r="D1515" s="58"/>
      <c r="E1515" s="58"/>
      <c r="F1515" s="58"/>
      <c r="G1515" s="58"/>
      <c r="H1515" s="58"/>
      <c r="I1515" s="59"/>
      <c r="J1515" s="59"/>
      <c r="K1515" s="59"/>
      <c r="L1515" s="59"/>
      <c r="M1515" s="59"/>
      <c r="N1515" s="59"/>
      <c r="O1515" s="59"/>
      <c r="P1515" s="59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</row>
    <row r="1516" ht="27.75" customHeight="1">
      <c r="A1516" s="58"/>
      <c r="B1516" s="149"/>
      <c r="C1516" s="58"/>
      <c r="D1516" s="58"/>
      <c r="E1516" s="58"/>
      <c r="F1516" s="58"/>
      <c r="G1516" s="58"/>
      <c r="H1516" s="58"/>
      <c r="I1516" s="59"/>
      <c r="J1516" s="59"/>
      <c r="K1516" s="59"/>
      <c r="L1516" s="59"/>
      <c r="M1516" s="59"/>
      <c r="N1516" s="59"/>
      <c r="O1516" s="59"/>
      <c r="P1516" s="59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</row>
    <row r="1517" ht="27.75" customHeight="1">
      <c r="A1517" s="58"/>
      <c r="B1517" s="149"/>
      <c r="C1517" s="58"/>
      <c r="D1517" s="58"/>
      <c r="E1517" s="58"/>
      <c r="F1517" s="58"/>
      <c r="G1517" s="58"/>
      <c r="H1517" s="58"/>
      <c r="I1517" s="59"/>
      <c r="J1517" s="59"/>
      <c r="K1517" s="59"/>
      <c r="L1517" s="59"/>
      <c r="M1517" s="59"/>
      <c r="N1517" s="59"/>
      <c r="O1517" s="59"/>
      <c r="P1517" s="59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</row>
    <row r="1518" ht="27.75" customHeight="1">
      <c r="A1518" s="58"/>
      <c r="B1518" s="149"/>
      <c r="C1518" s="58"/>
      <c r="D1518" s="58"/>
      <c r="E1518" s="58"/>
      <c r="F1518" s="58"/>
      <c r="G1518" s="58"/>
      <c r="H1518" s="58"/>
      <c r="I1518" s="59"/>
      <c r="J1518" s="59"/>
      <c r="K1518" s="59"/>
      <c r="L1518" s="59"/>
      <c r="M1518" s="59"/>
      <c r="N1518" s="59"/>
      <c r="O1518" s="59"/>
      <c r="P1518" s="59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</row>
    <row r="1519" ht="27.75" customHeight="1">
      <c r="A1519" s="58"/>
      <c r="B1519" s="149"/>
      <c r="C1519" s="58"/>
      <c r="D1519" s="58"/>
      <c r="E1519" s="58"/>
      <c r="F1519" s="58"/>
      <c r="G1519" s="58"/>
      <c r="H1519" s="58"/>
      <c r="I1519" s="59"/>
      <c r="J1519" s="59"/>
      <c r="K1519" s="59"/>
      <c r="L1519" s="59"/>
      <c r="M1519" s="59"/>
      <c r="N1519" s="59"/>
      <c r="O1519" s="59"/>
      <c r="P1519" s="59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</row>
    <row r="1520" ht="27.75" customHeight="1">
      <c r="A1520" s="58"/>
      <c r="B1520" s="149"/>
      <c r="C1520" s="58"/>
      <c r="D1520" s="58"/>
      <c r="E1520" s="58"/>
      <c r="F1520" s="58"/>
      <c r="G1520" s="58"/>
      <c r="H1520" s="58"/>
      <c r="I1520" s="59"/>
      <c r="J1520" s="59"/>
      <c r="K1520" s="59"/>
      <c r="L1520" s="59"/>
      <c r="M1520" s="59"/>
      <c r="N1520" s="59"/>
      <c r="O1520" s="59"/>
      <c r="P1520" s="59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</row>
    <row r="1521" ht="27.75" customHeight="1">
      <c r="A1521" s="58"/>
      <c r="B1521" s="149"/>
      <c r="C1521" s="58"/>
      <c r="D1521" s="58"/>
      <c r="E1521" s="58"/>
      <c r="F1521" s="58"/>
      <c r="G1521" s="58"/>
      <c r="H1521" s="58"/>
      <c r="I1521" s="59"/>
      <c r="J1521" s="59"/>
      <c r="K1521" s="59"/>
      <c r="L1521" s="59"/>
      <c r="M1521" s="59"/>
      <c r="N1521" s="59"/>
      <c r="O1521" s="59"/>
      <c r="P1521" s="59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</row>
    <row r="1522" ht="27.75" customHeight="1">
      <c r="A1522" s="58"/>
      <c r="B1522" s="149"/>
      <c r="C1522" s="58"/>
      <c r="D1522" s="58"/>
      <c r="E1522" s="58"/>
      <c r="F1522" s="58"/>
      <c r="G1522" s="58"/>
      <c r="H1522" s="58"/>
      <c r="I1522" s="59"/>
      <c r="J1522" s="59"/>
      <c r="K1522" s="59"/>
      <c r="L1522" s="59"/>
      <c r="M1522" s="59"/>
      <c r="N1522" s="59"/>
      <c r="O1522" s="59"/>
      <c r="P1522" s="59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</row>
    <row r="1523" ht="27.75" customHeight="1">
      <c r="A1523" s="58"/>
      <c r="B1523" s="149"/>
      <c r="C1523" s="58"/>
      <c r="D1523" s="58"/>
      <c r="E1523" s="58"/>
      <c r="F1523" s="58"/>
      <c r="G1523" s="58"/>
      <c r="H1523" s="58"/>
      <c r="I1523" s="59"/>
      <c r="J1523" s="59"/>
      <c r="K1523" s="59"/>
      <c r="L1523" s="59"/>
      <c r="M1523" s="59"/>
      <c r="N1523" s="59"/>
      <c r="O1523" s="59"/>
      <c r="P1523" s="59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</row>
    <row r="1524" ht="27.75" customHeight="1">
      <c r="A1524" s="58"/>
      <c r="B1524" s="149"/>
      <c r="C1524" s="58"/>
      <c r="D1524" s="58"/>
      <c r="E1524" s="58"/>
      <c r="F1524" s="58"/>
      <c r="G1524" s="58"/>
      <c r="H1524" s="58"/>
      <c r="I1524" s="59"/>
      <c r="J1524" s="59"/>
      <c r="K1524" s="59"/>
      <c r="L1524" s="59"/>
      <c r="M1524" s="59"/>
      <c r="N1524" s="59"/>
      <c r="O1524" s="59"/>
      <c r="P1524" s="59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</row>
    <row r="1525" ht="27.75" customHeight="1">
      <c r="A1525" s="58"/>
      <c r="B1525" s="149"/>
      <c r="C1525" s="58"/>
      <c r="D1525" s="58"/>
      <c r="E1525" s="58"/>
      <c r="F1525" s="58"/>
      <c r="G1525" s="58"/>
      <c r="H1525" s="58"/>
      <c r="I1525" s="59"/>
      <c r="J1525" s="59"/>
      <c r="K1525" s="59"/>
      <c r="L1525" s="59"/>
      <c r="M1525" s="59"/>
      <c r="N1525" s="59"/>
      <c r="O1525" s="59"/>
      <c r="P1525" s="59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</row>
    <row r="1526" ht="27.75" customHeight="1">
      <c r="A1526" s="58"/>
      <c r="B1526" s="149"/>
      <c r="C1526" s="58"/>
      <c r="D1526" s="58"/>
      <c r="E1526" s="58"/>
      <c r="F1526" s="58"/>
      <c r="G1526" s="58"/>
      <c r="H1526" s="58"/>
      <c r="I1526" s="59"/>
      <c r="J1526" s="59"/>
      <c r="K1526" s="59"/>
      <c r="L1526" s="59"/>
      <c r="M1526" s="59"/>
      <c r="N1526" s="59"/>
      <c r="O1526" s="59"/>
      <c r="P1526" s="59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</row>
    <row r="1527" ht="27.75" customHeight="1">
      <c r="A1527" s="58"/>
      <c r="B1527" s="149"/>
      <c r="C1527" s="58"/>
      <c r="D1527" s="58"/>
      <c r="E1527" s="58"/>
      <c r="F1527" s="58"/>
      <c r="G1527" s="58"/>
      <c r="H1527" s="58"/>
      <c r="I1527" s="59"/>
      <c r="J1527" s="59"/>
      <c r="K1527" s="59"/>
      <c r="L1527" s="59"/>
      <c r="M1527" s="59"/>
      <c r="N1527" s="59"/>
      <c r="O1527" s="59"/>
      <c r="P1527" s="59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</row>
    <row r="1528" ht="27.75" customHeight="1">
      <c r="A1528" s="58"/>
      <c r="B1528" s="149"/>
      <c r="C1528" s="58"/>
      <c r="D1528" s="58"/>
      <c r="E1528" s="58"/>
      <c r="F1528" s="58"/>
      <c r="G1528" s="58"/>
      <c r="H1528" s="58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</row>
    <row r="1529" ht="27.75" customHeight="1">
      <c r="A1529" s="58"/>
      <c r="B1529" s="149"/>
      <c r="C1529" s="58"/>
      <c r="D1529" s="58"/>
      <c r="E1529" s="58"/>
      <c r="F1529" s="58"/>
      <c r="G1529" s="58"/>
      <c r="H1529" s="58"/>
      <c r="I1529" s="59"/>
      <c r="J1529" s="59"/>
      <c r="K1529" s="59"/>
      <c r="L1529" s="59"/>
      <c r="M1529" s="59"/>
      <c r="N1529" s="59"/>
      <c r="O1529" s="59"/>
      <c r="P1529" s="59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</row>
    <row r="1530" ht="27.75" customHeight="1">
      <c r="A1530" s="58"/>
      <c r="B1530" s="149"/>
      <c r="C1530" s="58"/>
      <c r="D1530" s="58"/>
      <c r="E1530" s="58"/>
      <c r="F1530" s="58"/>
      <c r="G1530" s="58"/>
      <c r="H1530" s="58"/>
      <c r="I1530" s="59"/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</row>
    <row r="1531" ht="27.75" customHeight="1">
      <c r="A1531" s="58"/>
      <c r="B1531" s="149"/>
      <c r="C1531" s="58"/>
      <c r="D1531" s="58"/>
      <c r="E1531" s="58"/>
      <c r="F1531" s="58"/>
      <c r="G1531" s="58"/>
      <c r="H1531" s="58"/>
      <c r="I1531" s="59"/>
      <c r="J1531" s="59"/>
      <c r="K1531" s="59"/>
      <c r="L1531" s="59"/>
      <c r="M1531" s="59"/>
      <c r="N1531" s="59"/>
      <c r="O1531" s="59"/>
      <c r="P1531" s="59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</row>
    <row r="1532" ht="27.75" customHeight="1">
      <c r="A1532" s="58"/>
      <c r="B1532" s="149"/>
      <c r="C1532" s="58"/>
      <c r="D1532" s="58"/>
      <c r="E1532" s="58"/>
      <c r="F1532" s="58"/>
      <c r="G1532" s="58"/>
      <c r="H1532" s="58"/>
      <c r="I1532" s="59"/>
      <c r="J1532" s="59"/>
      <c r="K1532" s="59"/>
      <c r="L1532" s="59"/>
      <c r="M1532" s="59"/>
      <c r="N1532" s="59"/>
      <c r="O1532" s="59"/>
      <c r="P1532" s="59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</row>
    <row r="1533" ht="27.75" customHeight="1">
      <c r="A1533" s="58"/>
      <c r="B1533" s="149"/>
      <c r="C1533" s="58"/>
      <c r="D1533" s="58"/>
      <c r="E1533" s="58"/>
      <c r="F1533" s="58"/>
      <c r="G1533" s="58"/>
      <c r="H1533" s="58"/>
      <c r="I1533" s="59"/>
      <c r="J1533" s="59"/>
      <c r="K1533" s="59"/>
      <c r="L1533" s="59"/>
      <c r="M1533" s="59"/>
      <c r="N1533" s="59"/>
      <c r="O1533" s="59"/>
      <c r="P1533" s="59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</row>
    <row r="1534" ht="27.75" customHeight="1">
      <c r="A1534" s="58"/>
      <c r="B1534" s="149"/>
      <c r="C1534" s="58"/>
      <c r="D1534" s="58"/>
      <c r="E1534" s="58"/>
      <c r="F1534" s="58"/>
      <c r="G1534" s="58"/>
      <c r="H1534" s="58"/>
      <c r="I1534" s="59"/>
      <c r="J1534" s="59"/>
      <c r="K1534" s="59"/>
      <c r="L1534" s="59"/>
      <c r="M1534" s="59"/>
      <c r="N1534" s="59"/>
      <c r="O1534" s="59"/>
      <c r="P1534" s="59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</row>
    <row r="1535" ht="27.75" customHeight="1">
      <c r="A1535" s="58"/>
      <c r="B1535" s="149"/>
      <c r="C1535" s="58"/>
      <c r="D1535" s="58"/>
      <c r="E1535" s="58"/>
      <c r="F1535" s="58"/>
      <c r="G1535" s="58"/>
      <c r="H1535" s="58"/>
      <c r="I1535" s="59"/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</row>
    <row r="1536" ht="27.75" customHeight="1">
      <c r="A1536" s="58"/>
      <c r="B1536" s="149"/>
      <c r="C1536" s="58"/>
      <c r="D1536" s="58"/>
      <c r="E1536" s="58"/>
      <c r="F1536" s="58"/>
      <c r="G1536" s="58"/>
      <c r="H1536" s="58"/>
      <c r="I1536" s="59"/>
      <c r="J1536" s="59"/>
      <c r="K1536" s="59"/>
      <c r="L1536" s="59"/>
      <c r="M1536" s="59"/>
      <c r="N1536" s="59"/>
      <c r="O1536" s="59"/>
      <c r="P1536" s="59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</row>
    <row r="1537" ht="27.75" customHeight="1">
      <c r="A1537" s="58"/>
      <c r="B1537" s="149"/>
      <c r="C1537" s="58"/>
      <c r="D1537" s="58"/>
      <c r="E1537" s="58"/>
      <c r="F1537" s="58"/>
      <c r="G1537" s="58"/>
      <c r="H1537" s="58"/>
      <c r="I1537" s="59"/>
      <c r="J1537" s="59"/>
      <c r="K1537" s="59"/>
      <c r="L1537" s="59"/>
      <c r="M1537" s="59"/>
      <c r="N1537" s="59"/>
      <c r="O1537" s="59"/>
      <c r="P1537" s="59"/>
      <c r="Q1537" s="59"/>
      <c r="R1537" s="59"/>
      <c r="S1537" s="59"/>
      <c r="T1537" s="59"/>
      <c r="U1537" s="59"/>
      <c r="V1537" s="59"/>
      <c r="W1537" s="59"/>
      <c r="X1537" s="59"/>
      <c r="Y1537" s="59"/>
      <c r="Z1537" s="59"/>
    </row>
    <row r="1538" ht="27.75" customHeight="1">
      <c r="A1538" s="58"/>
      <c r="B1538" s="149"/>
      <c r="C1538" s="58"/>
      <c r="D1538" s="58"/>
      <c r="E1538" s="58"/>
      <c r="F1538" s="58"/>
      <c r="G1538" s="58"/>
      <c r="H1538" s="58"/>
      <c r="I1538" s="59"/>
      <c r="J1538" s="59"/>
      <c r="K1538" s="59"/>
      <c r="L1538" s="59"/>
      <c r="M1538" s="59"/>
      <c r="N1538" s="59"/>
      <c r="O1538" s="59"/>
      <c r="P1538" s="59"/>
      <c r="Q1538" s="59"/>
      <c r="R1538" s="59"/>
      <c r="S1538" s="59"/>
      <c r="T1538" s="59"/>
      <c r="U1538" s="59"/>
      <c r="V1538" s="59"/>
      <c r="W1538" s="59"/>
      <c r="X1538" s="59"/>
      <c r="Y1538" s="59"/>
      <c r="Z1538" s="59"/>
    </row>
    <row r="1539" ht="27.75" customHeight="1">
      <c r="A1539" s="58"/>
      <c r="B1539" s="149"/>
      <c r="C1539" s="58"/>
      <c r="D1539" s="58"/>
      <c r="E1539" s="58"/>
      <c r="F1539" s="58"/>
      <c r="G1539" s="58"/>
      <c r="H1539" s="58"/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  <c r="U1539" s="59"/>
      <c r="V1539" s="59"/>
      <c r="W1539" s="59"/>
      <c r="X1539" s="59"/>
      <c r="Y1539" s="59"/>
      <c r="Z1539" s="59"/>
    </row>
    <row r="1540" ht="27.75" customHeight="1">
      <c r="A1540" s="58"/>
      <c r="B1540" s="149"/>
      <c r="C1540" s="58"/>
      <c r="D1540" s="58"/>
      <c r="E1540" s="58"/>
      <c r="F1540" s="58"/>
      <c r="G1540" s="58"/>
      <c r="H1540" s="58"/>
      <c r="I1540" s="59"/>
      <c r="J1540" s="59"/>
      <c r="K1540" s="59"/>
      <c r="L1540" s="59"/>
      <c r="M1540" s="59"/>
      <c r="N1540" s="59"/>
      <c r="O1540" s="59"/>
      <c r="P1540" s="59"/>
      <c r="Q1540" s="59"/>
      <c r="R1540" s="59"/>
      <c r="S1540" s="59"/>
      <c r="T1540" s="59"/>
      <c r="U1540" s="59"/>
      <c r="V1540" s="59"/>
      <c r="W1540" s="59"/>
      <c r="X1540" s="59"/>
      <c r="Y1540" s="59"/>
      <c r="Z1540" s="59"/>
    </row>
    <row r="1541" ht="27.75" customHeight="1">
      <c r="A1541" s="58"/>
      <c r="B1541" s="149"/>
      <c r="C1541" s="58"/>
      <c r="D1541" s="58"/>
      <c r="E1541" s="58"/>
      <c r="F1541" s="58"/>
      <c r="G1541" s="58"/>
      <c r="H1541" s="58"/>
      <c r="I1541" s="59"/>
      <c r="J1541" s="59"/>
      <c r="K1541" s="59"/>
      <c r="L1541" s="59"/>
      <c r="M1541" s="59"/>
      <c r="N1541" s="59"/>
      <c r="O1541" s="59"/>
      <c r="P1541" s="59"/>
      <c r="Q1541" s="59"/>
      <c r="R1541" s="59"/>
      <c r="S1541" s="59"/>
      <c r="T1541" s="59"/>
      <c r="U1541" s="59"/>
      <c r="V1541" s="59"/>
      <c r="W1541" s="59"/>
      <c r="X1541" s="59"/>
      <c r="Y1541" s="59"/>
      <c r="Z1541" s="59"/>
    </row>
    <row r="1542" ht="27.75" customHeight="1">
      <c r="A1542" s="58"/>
      <c r="B1542" s="149"/>
      <c r="C1542" s="58"/>
      <c r="D1542" s="58"/>
      <c r="E1542" s="58"/>
      <c r="F1542" s="58"/>
      <c r="G1542" s="58"/>
      <c r="H1542" s="58"/>
      <c r="I1542" s="59"/>
      <c r="J1542" s="59"/>
      <c r="K1542" s="59"/>
      <c r="L1542" s="59"/>
      <c r="M1542" s="59"/>
      <c r="N1542" s="59"/>
      <c r="O1542" s="59"/>
      <c r="P1542" s="59"/>
      <c r="Q1542" s="59"/>
      <c r="R1542" s="59"/>
      <c r="S1542" s="59"/>
      <c r="T1542" s="59"/>
      <c r="U1542" s="59"/>
      <c r="V1542" s="59"/>
      <c r="W1542" s="59"/>
      <c r="X1542" s="59"/>
      <c r="Y1542" s="59"/>
      <c r="Z1542" s="59"/>
    </row>
    <row r="1543" ht="27.75" customHeight="1">
      <c r="A1543" s="58"/>
      <c r="B1543" s="149"/>
      <c r="C1543" s="58"/>
      <c r="D1543" s="58"/>
      <c r="E1543" s="58"/>
      <c r="F1543" s="58"/>
      <c r="G1543" s="58"/>
      <c r="H1543" s="58"/>
      <c r="I1543" s="59"/>
      <c r="J1543" s="59"/>
      <c r="K1543" s="59"/>
      <c r="L1543" s="59"/>
      <c r="M1543" s="59"/>
      <c r="N1543" s="59"/>
      <c r="O1543" s="59"/>
      <c r="P1543" s="59"/>
      <c r="Q1543" s="59"/>
      <c r="R1543" s="59"/>
      <c r="S1543" s="59"/>
      <c r="T1543" s="59"/>
      <c r="U1543" s="59"/>
      <c r="V1543" s="59"/>
      <c r="W1543" s="59"/>
      <c r="X1543" s="59"/>
      <c r="Y1543" s="59"/>
      <c r="Z1543" s="59"/>
    </row>
    <row r="1544" ht="27.75" customHeight="1">
      <c r="A1544" s="58"/>
      <c r="B1544" s="149"/>
      <c r="C1544" s="58"/>
      <c r="D1544" s="58"/>
      <c r="E1544" s="58"/>
      <c r="F1544" s="58"/>
      <c r="G1544" s="58"/>
      <c r="H1544" s="58"/>
      <c r="I1544" s="59"/>
      <c r="J1544" s="59"/>
      <c r="K1544" s="59"/>
      <c r="L1544" s="59"/>
      <c r="M1544" s="59"/>
      <c r="N1544" s="59"/>
      <c r="O1544" s="59"/>
      <c r="P1544" s="59"/>
      <c r="Q1544" s="59"/>
      <c r="R1544" s="59"/>
      <c r="S1544" s="59"/>
      <c r="T1544" s="59"/>
      <c r="U1544" s="59"/>
      <c r="V1544" s="59"/>
      <c r="W1544" s="59"/>
      <c r="X1544" s="59"/>
      <c r="Y1544" s="59"/>
      <c r="Z1544" s="59"/>
    </row>
    <row r="1545" ht="27.75" customHeight="1">
      <c r="A1545" s="58"/>
      <c r="B1545" s="149"/>
      <c r="C1545" s="58"/>
      <c r="D1545" s="58"/>
      <c r="E1545" s="58"/>
      <c r="F1545" s="58"/>
      <c r="G1545" s="58"/>
      <c r="H1545" s="58"/>
      <c r="I1545" s="59"/>
      <c r="J1545" s="59"/>
      <c r="K1545" s="59"/>
      <c r="L1545" s="59"/>
      <c r="M1545" s="59"/>
      <c r="N1545" s="59"/>
      <c r="O1545" s="59"/>
      <c r="P1545" s="59"/>
      <c r="Q1545" s="59"/>
      <c r="R1545" s="59"/>
      <c r="S1545" s="59"/>
      <c r="T1545" s="59"/>
      <c r="U1545" s="59"/>
      <c r="V1545" s="59"/>
      <c r="W1545" s="59"/>
      <c r="X1545" s="59"/>
      <c r="Y1545" s="59"/>
      <c r="Z1545" s="59"/>
    </row>
    <row r="1546" ht="27.75" customHeight="1">
      <c r="A1546" s="58"/>
      <c r="B1546" s="149"/>
      <c r="C1546" s="58"/>
      <c r="D1546" s="58"/>
      <c r="E1546" s="58"/>
      <c r="F1546" s="58"/>
      <c r="G1546" s="58"/>
      <c r="H1546" s="58"/>
      <c r="I1546" s="59"/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</row>
    <row r="1547" ht="27.75" customHeight="1">
      <c r="A1547" s="58"/>
      <c r="B1547" s="149"/>
      <c r="C1547" s="58"/>
      <c r="D1547" s="58"/>
      <c r="E1547" s="58"/>
      <c r="F1547" s="58"/>
      <c r="G1547" s="58"/>
      <c r="H1547" s="58"/>
      <c r="I1547" s="59"/>
      <c r="J1547" s="59"/>
      <c r="K1547" s="59"/>
      <c r="L1547" s="59"/>
      <c r="M1547" s="59"/>
      <c r="N1547" s="59"/>
      <c r="O1547" s="59"/>
      <c r="P1547" s="59"/>
      <c r="Q1547" s="59"/>
      <c r="R1547" s="59"/>
      <c r="S1547" s="59"/>
      <c r="T1547" s="59"/>
      <c r="U1547" s="59"/>
      <c r="V1547" s="59"/>
      <c r="W1547" s="59"/>
      <c r="X1547" s="59"/>
      <c r="Y1547" s="59"/>
      <c r="Z1547" s="59"/>
    </row>
    <row r="1548" ht="27.75" customHeight="1">
      <c r="A1548" s="58"/>
      <c r="B1548" s="149"/>
      <c r="C1548" s="58"/>
      <c r="D1548" s="58"/>
      <c r="E1548" s="58"/>
      <c r="F1548" s="58"/>
      <c r="G1548" s="58"/>
      <c r="H1548" s="58"/>
      <c r="I1548" s="59"/>
      <c r="J1548" s="59"/>
      <c r="K1548" s="59"/>
      <c r="L1548" s="59"/>
      <c r="M1548" s="59"/>
      <c r="N1548" s="59"/>
      <c r="O1548" s="59"/>
      <c r="P1548" s="59"/>
      <c r="Q1548" s="59"/>
      <c r="R1548" s="59"/>
      <c r="S1548" s="59"/>
      <c r="T1548" s="59"/>
      <c r="U1548" s="59"/>
      <c r="V1548" s="59"/>
      <c r="W1548" s="59"/>
      <c r="X1548" s="59"/>
      <c r="Y1548" s="59"/>
      <c r="Z1548" s="59"/>
    </row>
    <row r="1549" ht="27.75" customHeight="1">
      <c r="A1549" s="58"/>
      <c r="B1549" s="149"/>
      <c r="C1549" s="58"/>
      <c r="D1549" s="58"/>
      <c r="E1549" s="58"/>
      <c r="F1549" s="58"/>
      <c r="G1549" s="58"/>
      <c r="H1549" s="58"/>
      <c r="I1549" s="59"/>
      <c r="J1549" s="59"/>
      <c r="K1549" s="59"/>
      <c r="L1549" s="59"/>
      <c r="M1549" s="59"/>
      <c r="N1549" s="59"/>
      <c r="O1549" s="59"/>
      <c r="P1549" s="59"/>
      <c r="Q1549" s="59"/>
      <c r="R1549" s="59"/>
      <c r="S1549" s="59"/>
      <c r="T1549" s="59"/>
      <c r="U1549" s="59"/>
      <c r="V1549" s="59"/>
      <c r="W1549" s="59"/>
      <c r="X1549" s="59"/>
      <c r="Y1549" s="59"/>
      <c r="Z1549" s="59"/>
    </row>
    <row r="1550" ht="27.75" customHeight="1">
      <c r="A1550" s="58"/>
      <c r="B1550" s="149"/>
      <c r="C1550" s="58"/>
      <c r="D1550" s="58"/>
      <c r="E1550" s="58"/>
      <c r="F1550" s="58"/>
      <c r="G1550" s="58"/>
      <c r="H1550" s="58"/>
      <c r="I1550" s="59"/>
      <c r="J1550" s="59"/>
      <c r="K1550" s="59"/>
      <c r="L1550" s="59"/>
      <c r="M1550" s="59"/>
      <c r="N1550" s="59"/>
      <c r="O1550" s="59"/>
      <c r="P1550" s="59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</row>
    <row r="1551" ht="27.75" customHeight="1">
      <c r="A1551" s="58"/>
      <c r="B1551" s="149"/>
      <c r="C1551" s="58"/>
      <c r="D1551" s="58"/>
      <c r="E1551" s="58"/>
      <c r="F1551" s="58"/>
      <c r="G1551" s="58"/>
      <c r="H1551" s="58"/>
      <c r="I1551" s="59"/>
      <c r="J1551" s="59"/>
      <c r="K1551" s="59"/>
      <c r="L1551" s="59"/>
      <c r="M1551" s="59"/>
      <c r="N1551" s="59"/>
      <c r="O1551" s="59"/>
      <c r="P1551" s="59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</row>
    <row r="1552" ht="27.75" customHeight="1">
      <c r="A1552" s="58"/>
      <c r="B1552" s="149"/>
      <c r="C1552" s="58"/>
      <c r="D1552" s="58"/>
      <c r="E1552" s="58"/>
      <c r="F1552" s="58"/>
      <c r="G1552" s="58"/>
      <c r="H1552" s="58"/>
      <c r="I1552" s="59"/>
      <c r="J1552" s="59"/>
      <c r="K1552" s="59"/>
      <c r="L1552" s="59"/>
      <c r="M1552" s="59"/>
      <c r="N1552" s="59"/>
      <c r="O1552" s="59"/>
      <c r="P1552" s="59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</row>
    <row r="1553" ht="27.75" customHeight="1">
      <c r="A1553" s="58"/>
      <c r="B1553" s="149"/>
      <c r="C1553" s="58"/>
      <c r="D1553" s="58"/>
      <c r="E1553" s="58"/>
      <c r="F1553" s="58"/>
      <c r="G1553" s="58"/>
      <c r="H1553" s="58"/>
      <c r="I1553" s="59"/>
      <c r="J1553" s="59"/>
      <c r="K1553" s="59"/>
      <c r="L1553" s="59"/>
      <c r="M1553" s="59"/>
      <c r="N1553" s="59"/>
      <c r="O1553" s="59"/>
      <c r="P1553" s="59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</row>
    <row r="1554" ht="27.75" customHeight="1">
      <c r="A1554" s="58"/>
      <c r="B1554" s="149"/>
      <c r="C1554" s="58"/>
      <c r="D1554" s="58"/>
      <c r="E1554" s="58"/>
      <c r="F1554" s="58"/>
      <c r="G1554" s="58"/>
      <c r="H1554" s="58"/>
      <c r="I1554" s="59"/>
      <c r="J1554" s="59"/>
      <c r="K1554" s="59"/>
      <c r="L1554" s="59"/>
      <c r="M1554" s="59"/>
      <c r="N1554" s="59"/>
      <c r="O1554" s="59"/>
      <c r="P1554" s="59"/>
      <c r="Q1554" s="59"/>
      <c r="R1554" s="59"/>
      <c r="S1554" s="59"/>
      <c r="T1554" s="59"/>
      <c r="U1554" s="59"/>
      <c r="V1554" s="59"/>
      <c r="W1554" s="59"/>
      <c r="X1554" s="59"/>
      <c r="Y1554" s="59"/>
      <c r="Z1554" s="59"/>
    </row>
    <row r="1555" ht="27.75" customHeight="1">
      <c r="A1555" s="58"/>
      <c r="B1555" s="149"/>
      <c r="C1555" s="58"/>
      <c r="D1555" s="58"/>
      <c r="E1555" s="58"/>
      <c r="F1555" s="58"/>
      <c r="G1555" s="58"/>
      <c r="H1555" s="58"/>
      <c r="I1555" s="59"/>
      <c r="J1555" s="59"/>
      <c r="K1555" s="59"/>
      <c r="L1555" s="59"/>
      <c r="M1555" s="59"/>
      <c r="N1555" s="59"/>
      <c r="O1555" s="59"/>
      <c r="P1555" s="59"/>
      <c r="Q1555" s="59"/>
      <c r="R1555" s="59"/>
      <c r="S1555" s="59"/>
      <c r="T1555" s="59"/>
      <c r="U1555" s="59"/>
      <c r="V1555" s="59"/>
      <c r="W1555" s="59"/>
      <c r="X1555" s="59"/>
      <c r="Y1555" s="59"/>
      <c r="Z1555" s="59"/>
    </row>
    <row r="1556" ht="27.75" customHeight="1">
      <c r="A1556" s="58"/>
      <c r="B1556" s="149"/>
      <c r="C1556" s="58"/>
      <c r="D1556" s="58"/>
      <c r="E1556" s="58"/>
      <c r="F1556" s="58"/>
      <c r="G1556" s="58"/>
      <c r="H1556" s="58"/>
      <c r="I1556" s="59"/>
      <c r="J1556" s="59"/>
      <c r="K1556" s="59"/>
      <c r="L1556" s="59"/>
      <c r="M1556" s="59"/>
      <c r="N1556" s="59"/>
      <c r="O1556" s="59"/>
      <c r="P1556" s="59"/>
      <c r="Q1556" s="59"/>
      <c r="R1556" s="59"/>
      <c r="S1556" s="59"/>
      <c r="T1556" s="59"/>
      <c r="U1556" s="59"/>
      <c r="V1556" s="59"/>
      <c r="W1556" s="59"/>
      <c r="X1556" s="59"/>
      <c r="Y1556" s="59"/>
      <c r="Z1556" s="59"/>
    </row>
    <row r="1557" ht="27.75" customHeight="1">
      <c r="A1557" s="58"/>
      <c r="B1557" s="149"/>
      <c r="C1557" s="58"/>
      <c r="D1557" s="58"/>
      <c r="E1557" s="58"/>
      <c r="F1557" s="58"/>
      <c r="G1557" s="58"/>
      <c r="H1557" s="58"/>
      <c r="I1557" s="59"/>
      <c r="J1557" s="59"/>
      <c r="K1557" s="59"/>
      <c r="L1557" s="59"/>
      <c r="M1557" s="59"/>
      <c r="N1557" s="59"/>
      <c r="O1557" s="59"/>
      <c r="P1557" s="59"/>
      <c r="Q1557" s="59"/>
      <c r="R1557" s="59"/>
      <c r="S1557" s="59"/>
      <c r="T1557" s="59"/>
      <c r="U1557" s="59"/>
      <c r="V1557" s="59"/>
      <c r="W1557" s="59"/>
      <c r="X1557" s="59"/>
      <c r="Y1557" s="59"/>
      <c r="Z1557" s="59"/>
    </row>
    <row r="1558" ht="27.75" customHeight="1">
      <c r="A1558" s="58"/>
      <c r="B1558" s="149"/>
      <c r="C1558" s="58"/>
      <c r="D1558" s="58"/>
      <c r="E1558" s="58"/>
      <c r="F1558" s="58"/>
      <c r="G1558" s="58"/>
      <c r="H1558" s="58"/>
      <c r="I1558" s="59"/>
      <c r="J1558" s="59"/>
      <c r="K1558" s="59"/>
      <c r="L1558" s="59"/>
      <c r="M1558" s="59"/>
      <c r="N1558" s="59"/>
      <c r="O1558" s="59"/>
      <c r="P1558" s="59"/>
      <c r="Q1558" s="59"/>
      <c r="R1558" s="59"/>
      <c r="S1558" s="59"/>
      <c r="T1558" s="59"/>
      <c r="U1558" s="59"/>
      <c r="V1558" s="59"/>
      <c r="W1558" s="59"/>
      <c r="X1558" s="59"/>
      <c r="Y1558" s="59"/>
      <c r="Z1558" s="59"/>
    </row>
    <row r="1559" ht="27.75" customHeight="1">
      <c r="A1559" s="58"/>
      <c r="B1559" s="149"/>
      <c r="C1559" s="58"/>
      <c r="D1559" s="58"/>
      <c r="E1559" s="58"/>
      <c r="F1559" s="58"/>
      <c r="G1559" s="58"/>
      <c r="H1559" s="58"/>
      <c r="I1559" s="59"/>
      <c r="J1559" s="59"/>
      <c r="K1559" s="59"/>
      <c r="L1559" s="59"/>
      <c r="M1559" s="59"/>
      <c r="N1559" s="59"/>
      <c r="O1559" s="59"/>
      <c r="P1559" s="59"/>
      <c r="Q1559" s="59"/>
      <c r="R1559" s="59"/>
      <c r="S1559" s="59"/>
      <c r="T1559" s="59"/>
      <c r="U1559" s="59"/>
      <c r="V1559" s="59"/>
      <c r="W1559" s="59"/>
      <c r="X1559" s="59"/>
      <c r="Y1559" s="59"/>
      <c r="Z1559" s="59"/>
    </row>
    <row r="1560" ht="27.75" customHeight="1">
      <c r="A1560" s="58"/>
      <c r="B1560" s="149"/>
      <c r="C1560" s="58"/>
      <c r="D1560" s="58"/>
      <c r="E1560" s="58"/>
      <c r="F1560" s="58"/>
      <c r="G1560" s="58"/>
      <c r="H1560" s="58"/>
      <c r="I1560" s="59"/>
      <c r="J1560" s="59"/>
      <c r="K1560" s="59"/>
      <c r="L1560" s="59"/>
      <c r="M1560" s="59"/>
      <c r="N1560" s="59"/>
      <c r="O1560" s="59"/>
      <c r="P1560" s="59"/>
      <c r="Q1560" s="59"/>
      <c r="R1560" s="59"/>
      <c r="S1560" s="59"/>
      <c r="T1560" s="59"/>
      <c r="U1560" s="59"/>
      <c r="V1560" s="59"/>
      <c r="W1560" s="59"/>
      <c r="X1560" s="59"/>
      <c r="Y1560" s="59"/>
      <c r="Z1560" s="59"/>
    </row>
    <row r="1561" ht="27.75" customHeight="1">
      <c r="A1561" s="58"/>
      <c r="B1561" s="149"/>
      <c r="C1561" s="58"/>
      <c r="D1561" s="58"/>
      <c r="E1561" s="58"/>
      <c r="F1561" s="58"/>
      <c r="G1561" s="58"/>
      <c r="H1561" s="58"/>
      <c r="I1561" s="59"/>
      <c r="J1561" s="59"/>
      <c r="K1561" s="59"/>
      <c r="L1561" s="59"/>
      <c r="M1561" s="59"/>
      <c r="N1561" s="59"/>
      <c r="O1561" s="59"/>
      <c r="P1561" s="59"/>
      <c r="Q1561" s="59"/>
      <c r="R1561" s="59"/>
      <c r="S1561" s="59"/>
      <c r="T1561" s="59"/>
      <c r="U1561" s="59"/>
      <c r="V1561" s="59"/>
      <c r="W1561" s="59"/>
      <c r="X1561" s="59"/>
      <c r="Y1561" s="59"/>
      <c r="Z1561" s="59"/>
    </row>
    <row r="1562" ht="27.75" customHeight="1">
      <c r="A1562" s="58"/>
      <c r="B1562" s="149"/>
      <c r="C1562" s="58"/>
      <c r="D1562" s="58"/>
      <c r="E1562" s="58"/>
      <c r="F1562" s="58"/>
      <c r="G1562" s="58"/>
      <c r="H1562" s="58"/>
      <c r="I1562" s="59"/>
      <c r="J1562" s="59"/>
      <c r="K1562" s="59"/>
      <c r="L1562" s="59"/>
      <c r="M1562" s="59"/>
      <c r="N1562" s="59"/>
      <c r="O1562" s="59"/>
      <c r="P1562" s="59"/>
      <c r="Q1562" s="59"/>
      <c r="R1562" s="59"/>
      <c r="S1562" s="59"/>
      <c r="T1562" s="59"/>
      <c r="U1562" s="59"/>
      <c r="V1562" s="59"/>
      <c r="W1562" s="59"/>
      <c r="X1562" s="59"/>
      <c r="Y1562" s="59"/>
      <c r="Z1562" s="59"/>
    </row>
    <row r="1563" ht="27.75" customHeight="1">
      <c r="A1563" s="58"/>
      <c r="B1563" s="149"/>
      <c r="C1563" s="58"/>
      <c r="D1563" s="58"/>
      <c r="E1563" s="58"/>
      <c r="F1563" s="58"/>
      <c r="G1563" s="58"/>
      <c r="H1563" s="58"/>
      <c r="I1563" s="59"/>
      <c r="J1563" s="59"/>
      <c r="K1563" s="59"/>
      <c r="L1563" s="59"/>
      <c r="M1563" s="59"/>
      <c r="N1563" s="59"/>
      <c r="O1563" s="59"/>
      <c r="P1563" s="59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</row>
    <row r="1564" ht="27.75" customHeight="1">
      <c r="A1564" s="58"/>
      <c r="B1564" s="149"/>
      <c r="C1564" s="58"/>
      <c r="D1564" s="58"/>
      <c r="E1564" s="58"/>
      <c r="F1564" s="58"/>
      <c r="G1564" s="58"/>
      <c r="H1564" s="58"/>
      <c r="I1564" s="59"/>
      <c r="J1564" s="59"/>
      <c r="K1564" s="59"/>
      <c r="L1564" s="59"/>
      <c r="M1564" s="59"/>
      <c r="N1564" s="59"/>
      <c r="O1564" s="59"/>
      <c r="P1564" s="59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</row>
    <row r="1565" ht="27.75" customHeight="1">
      <c r="A1565" s="58"/>
      <c r="B1565" s="149"/>
      <c r="C1565" s="58"/>
      <c r="D1565" s="58"/>
      <c r="E1565" s="58"/>
      <c r="F1565" s="58"/>
      <c r="G1565" s="58"/>
      <c r="H1565" s="58"/>
      <c r="I1565" s="59"/>
      <c r="J1565" s="59"/>
      <c r="K1565" s="59"/>
      <c r="L1565" s="59"/>
      <c r="M1565" s="59"/>
      <c r="N1565" s="59"/>
      <c r="O1565" s="59"/>
      <c r="P1565" s="59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</row>
    <row r="1566" ht="27.75" customHeight="1">
      <c r="A1566" s="58"/>
      <c r="B1566" s="149"/>
      <c r="C1566" s="58"/>
      <c r="D1566" s="58"/>
      <c r="E1566" s="58"/>
      <c r="F1566" s="58"/>
      <c r="G1566" s="58"/>
      <c r="H1566" s="58"/>
      <c r="I1566" s="59"/>
      <c r="J1566" s="59"/>
      <c r="K1566" s="59"/>
      <c r="L1566" s="59"/>
      <c r="M1566" s="59"/>
      <c r="N1566" s="59"/>
      <c r="O1566" s="59"/>
      <c r="P1566" s="59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</row>
    <row r="1567" ht="27.75" customHeight="1">
      <c r="A1567" s="58"/>
      <c r="B1567" s="149"/>
      <c r="C1567" s="58"/>
      <c r="D1567" s="58"/>
      <c r="E1567" s="58"/>
      <c r="F1567" s="58"/>
      <c r="G1567" s="58"/>
      <c r="H1567" s="58"/>
      <c r="I1567" s="59"/>
      <c r="J1567" s="59"/>
      <c r="K1567" s="59"/>
      <c r="L1567" s="59"/>
      <c r="M1567" s="59"/>
      <c r="N1567" s="59"/>
      <c r="O1567" s="59"/>
      <c r="P1567" s="59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</row>
    <row r="1568" ht="27.75" customHeight="1">
      <c r="A1568" s="58"/>
      <c r="B1568" s="149"/>
      <c r="C1568" s="58"/>
      <c r="D1568" s="58"/>
      <c r="E1568" s="58"/>
      <c r="F1568" s="58"/>
      <c r="G1568" s="58"/>
      <c r="H1568" s="58"/>
      <c r="I1568" s="59"/>
      <c r="J1568" s="59"/>
      <c r="K1568" s="59"/>
      <c r="L1568" s="59"/>
      <c r="M1568" s="59"/>
      <c r="N1568" s="59"/>
      <c r="O1568" s="59"/>
      <c r="P1568" s="59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</row>
    <row r="1569" ht="27.75" customHeight="1">
      <c r="A1569" s="58"/>
      <c r="B1569" s="149"/>
      <c r="C1569" s="58"/>
      <c r="D1569" s="58"/>
      <c r="E1569" s="58"/>
      <c r="F1569" s="58"/>
      <c r="G1569" s="58"/>
      <c r="H1569" s="58"/>
      <c r="I1569" s="59"/>
      <c r="J1569" s="59"/>
      <c r="K1569" s="59"/>
      <c r="L1569" s="59"/>
      <c r="M1569" s="59"/>
      <c r="N1569" s="59"/>
      <c r="O1569" s="59"/>
      <c r="P1569" s="59"/>
      <c r="Q1569" s="59"/>
      <c r="R1569" s="59"/>
      <c r="S1569" s="59"/>
      <c r="T1569" s="59"/>
      <c r="U1569" s="59"/>
      <c r="V1569" s="59"/>
      <c r="W1569" s="59"/>
      <c r="X1569" s="59"/>
      <c r="Y1569" s="59"/>
      <c r="Z1569" s="59"/>
    </row>
    <row r="1570" ht="27.75" customHeight="1">
      <c r="A1570" s="58"/>
      <c r="B1570" s="149"/>
      <c r="C1570" s="58"/>
      <c r="D1570" s="58"/>
      <c r="E1570" s="58"/>
      <c r="F1570" s="58"/>
      <c r="G1570" s="58"/>
      <c r="H1570" s="58"/>
      <c r="I1570" s="59"/>
      <c r="J1570" s="59"/>
      <c r="K1570" s="59"/>
      <c r="L1570" s="59"/>
      <c r="M1570" s="59"/>
      <c r="N1570" s="59"/>
      <c r="O1570" s="59"/>
      <c r="P1570" s="59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</row>
    <row r="1571" ht="27.75" customHeight="1">
      <c r="A1571" s="58"/>
      <c r="B1571" s="149"/>
      <c r="C1571" s="58"/>
      <c r="D1571" s="58"/>
      <c r="E1571" s="58"/>
      <c r="F1571" s="58"/>
      <c r="G1571" s="58"/>
      <c r="H1571" s="58"/>
      <c r="I1571" s="59"/>
      <c r="J1571" s="59"/>
      <c r="K1571" s="59"/>
      <c r="L1571" s="59"/>
      <c r="M1571" s="59"/>
      <c r="N1571" s="59"/>
      <c r="O1571" s="59"/>
      <c r="P1571" s="59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</row>
    <row r="1572" ht="27.75" customHeight="1">
      <c r="A1572" s="58"/>
      <c r="B1572" s="149"/>
      <c r="C1572" s="58"/>
      <c r="D1572" s="58"/>
      <c r="E1572" s="58"/>
      <c r="F1572" s="58"/>
      <c r="G1572" s="58"/>
      <c r="H1572" s="58"/>
      <c r="I1572" s="59"/>
      <c r="J1572" s="59"/>
      <c r="K1572" s="59"/>
      <c r="L1572" s="59"/>
      <c r="M1572" s="59"/>
      <c r="N1572" s="59"/>
      <c r="O1572" s="59"/>
      <c r="P1572" s="59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</row>
    <row r="1573" ht="27.75" customHeight="1">
      <c r="A1573" s="58"/>
      <c r="B1573" s="149"/>
      <c r="C1573" s="58"/>
      <c r="D1573" s="58"/>
      <c r="E1573" s="58"/>
      <c r="F1573" s="58"/>
      <c r="G1573" s="58"/>
      <c r="H1573" s="58"/>
      <c r="I1573" s="59"/>
      <c r="J1573" s="59"/>
      <c r="K1573" s="59"/>
      <c r="L1573" s="59"/>
      <c r="M1573" s="59"/>
      <c r="N1573" s="59"/>
      <c r="O1573" s="59"/>
      <c r="P1573" s="59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</row>
    <row r="1574" ht="27.75" customHeight="1">
      <c r="A1574" s="58"/>
      <c r="B1574" s="149"/>
      <c r="C1574" s="58"/>
      <c r="D1574" s="58"/>
      <c r="E1574" s="58"/>
      <c r="F1574" s="58"/>
      <c r="G1574" s="58"/>
      <c r="H1574" s="58"/>
      <c r="I1574" s="59"/>
      <c r="J1574" s="59"/>
      <c r="K1574" s="59"/>
      <c r="L1574" s="59"/>
      <c r="M1574" s="59"/>
      <c r="N1574" s="59"/>
      <c r="O1574" s="59"/>
      <c r="P1574" s="59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</row>
    <row r="1575" ht="27.75" customHeight="1">
      <c r="A1575" s="58"/>
      <c r="B1575" s="149"/>
      <c r="C1575" s="58"/>
      <c r="D1575" s="58"/>
      <c r="E1575" s="58"/>
      <c r="F1575" s="58"/>
      <c r="G1575" s="58"/>
      <c r="H1575" s="58"/>
      <c r="I1575" s="59"/>
      <c r="J1575" s="59"/>
      <c r="K1575" s="59"/>
      <c r="L1575" s="59"/>
      <c r="M1575" s="59"/>
      <c r="N1575" s="59"/>
      <c r="O1575" s="59"/>
      <c r="P1575" s="59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</row>
    <row r="1576" ht="27.75" customHeight="1">
      <c r="A1576" s="58"/>
      <c r="B1576" s="149"/>
      <c r="C1576" s="58"/>
      <c r="D1576" s="58"/>
      <c r="E1576" s="58"/>
      <c r="F1576" s="58"/>
      <c r="G1576" s="58"/>
      <c r="H1576" s="58"/>
      <c r="I1576" s="59"/>
      <c r="J1576" s="59"/>
      <c r="K1576" s="59"/>
      <c r="L1576" s="59"/>
      <c r="M1576" s="59"/>
      <c r="N1576" s="59"/>
      <c r="O1576" s="59"/>
      <c r="P1576" s="59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</row>
    <row r="1577" ht="27.75" customHeight="1">
      <c r="A1577" s="58"/>
      <c r="B1577" s="149"/>
      <c r="C1577" s="58"/>
      <c r="D1577" s="58"/>
      <c r="E1577" s="58"/>
      <c r="F1577" s="58"/>
      <c r="G1577" s="58"/>
      <c r="H1577" s="58"/>
      <c r="I1577" s="59"/>
      <c r="J1577" s="59"/>
      <c r="K1577" s="59"/>
      <c r="L1577" s="59"/>
      <c r="M1577" s="59"/>
      <c r="N1577" s="59"/>
      <c r="O1577" s="59"/>
      <c r="P1577" s="59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</row>
    <row r="1578" ht="27.75" customHeight="1">
      <c r="A1578" s="58"/>
      <c r="B1578" s="149"/>
      <c r="C1578" s="58"/>
      <c r="D1578" s="58"/>
      <c r="E1578" s="58"/>
      <c r="F1578" s="58"/>
      <c r="G1578" s="58"/>
      <c r="H1578" s="58"/>
      <c r="I1578" s="59"/>
      <c r="J1578" s="59"/>
      <c r="K1578" s="59"/>
      <c r="L1578" s="59"/>
      <c r="M1578" s="59"/>
      <c r="N1578" s="59"/>
      <c r="O1578" s="59"/>
      <c r="P1578" s="59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</row>
    <row r="1579" ht="27.75" customHeight="1">
      <c r="A1579" s="58"/>
      <c r="B1579" s="149"/>
      <c r="C1579" s="58"/>
      <c r="D1579" s="58"/>
      <c r="E1579" s="58"/>
      <c r="F1579" s="58"/>
      <c r="G1579" s="58"/>
      <c r="H1579" s="58"/>
      <c r="I1579" s="59"/>
      <c r="J1579" s="59"/>
      <c r="K1579" s="59"/>
      <c r="L1579" s="59"/>
      <c r="M1579" s="59"/>
      <c r="N1579" s="59"/>
      <c r="O1579" s="59"/>
      <c r="P1579" s="59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</row>
    <row r="1580" ht="27.75" customHeight="1">
      <c r="A1580" s="58"/>
      <c r="B1580" s="149"/>
      <c r="C1580" s="58"/>
      <c r="D1580" s="58"/>
      <c r="E1580" s="58"/>
      <c r="F1580" s="58"/>
      <c r="G1580" s="58"/>
      <c r="H1580" s="58"/>
      <c r="I1580" s="59"/>
      <c r="J1580" s="59"/>
      <c r="K1580" s="59"/>
      <c r="L1580" s="59"/>
      <c r="M1580" s="59"/>
      <c r="N1580" s="59"/>
      <c r="O1580" s="59"/>
      <c r="P1580" s="59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</row>
    <row r="1581" ht="27.75" customHeight="1">
      <c r="A1581" s="58"/>
      <c r="B1581" s="149"/>
      <c r="C1581" s="58"/>
      <c r="D1581" s="58"/>
      <c r="E1581" s="58"/>
      <c r="F1581" s="58"/>
      <c r="G1581" s="58"/>
      <c r="H1581" s="58"/>
      <c r="I1581" s="59"/>
      <c r="J1581" s="59"/>
      <c r="K1581" s="59"/>
      <c r="L1581" s="59"/>
      <c r="M1581" s="59"/>
      <c r="N1581" s="59"/>
      <c r="O1581" s="59"/>
      <c r="P1581" s="59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</row>
    <row r="1582" ht="27.75" customHeight="1">
      <c r="A1582" s="58"/>
      <c r="B1582" s="149"/>
      <c r="C1582" s="58"/>
      <c r="D1582" s="58"/>
      <c r="E1582" s="58"/>
      <c r="F1582" s="58"/>
      <c r="G1582" s="58"/>
      <c r="H1582" s="58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</row>
    <row r="1583" ht="27.75" customHeight="1">
      <c r="A1583" s="58"/>
      <c r="B1583" s="149"/>
      <c r="C1583" s="58"/>
      <c r="D1583" s="58"/>
      <c r="E1583" s="58"/>
      <c r="F1583" s="58"/>
      <c r="G1583" s="58"/>
      <c r="H1583" s="58"/>
      <c r="I1583" s="59"/>
      <c r="J1583" s="59"/>
      <c r="K1583" s="59"/>
      <c r="L1583" s="59"/>
      <c r="M1583" s="59"/>
      <c r="N1583" s="59"/>
      <c r="O1583" s="59"/>
      <c r="P1583" s="59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</row>
    <row r="1584" ht="27.75" customHeight="1">
      <c r="A1584" s="58"/>
      <c r="B1584" s="149"/>
      <c r="C1584" s="58"/>
      <c r="D1584" s="58"/>
      <c r="E1584" s="58"/>
      <c r="F1584" s="58"/>
      <c r="G1584" s="58"/>
      <c r="H1584" s="58"/>
      <c r="I1584" s="59"/>
      <c r="J1584" s="59"/>
      <c r="K1584" s="59"/>
      <c r="L1584" s="59"/>
      <c r="M1584" s="59"/>
      <c r="N1584" s="59"/>
      <c r="O1584" s="59"/>
      <c r="P1584" s="59"/>
      <c r="Q1584" s="59"/>
      <c r="R1584" s="59"/>
      <c r="S1584" s="59"/>
      <c r="T1584" s="59"/>
      <c r="U1584" s="59"/>
      <c r="V1584" s="59"/>
      <c r="W1584" s="59"/>
      <c r="X1584" s="59"/>
      <c r="Y1584" s="59"/>
      <c r="Z1584" s="59"/>
    </row>
    <row r="1585" ht="27.75" customHeight="1">
      <c r="A1585" s="58"/>
      <c r="B1585" s="149"/>
      <c r="C1585" s="58"/>
      <c r="D1585" s="58"/>
      <c r="E1585" s="58"/>
      <c r="F1585" s="58"/>
      <c r="G1585" s="58"/>
      <c r="H1585" s="58"/>
      <c r="I1585" s="59"/>
      <c r="J1585" s="59"/>
      <c r="K1585" s="59"/>
      <c r="L1585" s="59"/>
      <c r="M1585" s="59"/>
      <c r="N1585" s="59"/>
      <c r="O1585" s="59"/>
      <c r="P1585" s="59"/>
      <c r="Q1585" s="59"/>
      <c r="R1585" s="59"/>
      <c r="S1585" s="59"/>
      <c r="T1585" s="59"/>
      <c r="U1585" s="59"/>
      <c r="V1585" s="59"/>
      <c r="W1585" s="59"/>
      <c r="X1585" s="59"/>
      <c r="Y1585" s="59"/>
      <c r="Z1585" s="59"/>
    </row>
    <row r="1586" ht="27.75" customHeight="1">
      <c r="A1586" s="58"/>
      <c r="B1586" s="149"/>
      <c r="C1586" s="58"/>
      <c r="D1586" s="58"/>
      <c r="E1586" s="58"/>
      <c r="F1586" s="58"/>
      <c r="G1586" s="58"/>
      <c r="H1586" s="58"/>
      <c r="I1586" s="59"/>
      <c r="J1586" s="59"/>
      <c r="K1586" s="59"/>
      <c r="L1586" s="59"/>
      <c r="M1586" s="59"/>
      <c r="N1586" s="59"/>
      <c r="O1586" s="59"/>
      <c r="P1586" s="59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</row>
    <row r="1587" ht="27.75" customHeight="1">
      <c r="A1587" s="58"/>
      <c r="B1587" s="149"/>
      <c r="C1587" s="58"/>
      <c r="D1587" s="58"/>
      <c r="E1587" s="58"/>
      <c r="F1587" s="58"/>
      <c r="G1587" s="58"/>
      <c r="H1587" s="58"/>
      <c r="I1587" s="59"/>
      <c r="J1587" s="59"/>
      <c r="K1587" s="59"/>
      <c r="L1587" s="59"/>
      <c r="M1587" s="59"/>
      <c r="N1587" s="59"/>
      <c r="O1587" s="59"/>
      <c r="P1587" s="59"/>
      <c r="Q1587" s="59"/>
      <c r="R1587" s="59"/>
      <c r="S1587" s="59"/>
      <c r="T1587" s="59"/>
      <c r="U1587" s="59"/>
      <c r="V1587" s="59"/>
      <c r="W1587" s="59"/>
      <c r="X1587" s="59"/>
      <c r="Y1587" s="59"/>
      <c r="Z1587" s="59"/>
    </row>
    <row r="1588" ht="27.75" customHeight="1">
      <c r="A1588" s="58"/>
      <c r="B1588" s="149"/>
      <c r="C1588" s="58"/>
      <c r="D1588" s="58"/>
      <c r="E1588" s="58"/>
      <c r="F1588" s="58"/>
      <c r="G1588" s="58"/>
      <c r="H1588" s="58"/>
      <c r="I1588" s="59"/>
      <c r="J1588" s="59"/>
      <c r="K1588" s="59"/>
      <c r="L1588" s="59"/>
      <c r="M1588" s="59"/>
      <c r="N1588" s="59"/>
      <c r="O1588" s="59"/>
      <c r="P1588" s="59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</row>
    <row r="1589" ht="27.75" customHeight="1">
      <c r="A1589" s="58"/>
      <c r="B1589" s="149"/>
      <c r="C1589" s="58"/>
      <c r="D1589" s="58"/>
      <c r="E1589" s="58"/>
      <c r="F1589" s="58"/>
      <c r="G1589" s="58"/>
      <c r="H1589" s="58"/>
      <c r="I1589" s="59"/>
      <c r="J1589" s="59"/>
      <c r="K1589" s="59"/>
      <c r="L1589" s="59"/>
      <c r="M1589" s="59"/>
      <c r="N1589" s="59"/>
      <c r="O1589" s="59"/>
      <c r="P1589" s="59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</row>
    <row r="1590" ht="27.75" customHeight="1">
      <c r="A1590" s="58"/>
      <c r="B1590" s="149"/>
      <c r="C1590" s="58"/>
      <c r="D1590" s="58"/>
      <c r="E1590" s="58"/>
      <c r="F1590" s="58"/>
      <c r="G1590" s="58"/>
      <c r="H1590" s="58"/>
      <c r="I1590" s="59"/>
      <c r="J1590" s="59"/>
      <c r="K1590" s="59"/>
      <c r="L1590" s="59"/>
      <c r="M1590" s="59"/>
      <c r="N1590" s="59"/>
      <c r="O1590" s="59"/>
      <c r="P1590" s="59"/>
      <c r="Q1590" s="59"/>
      <c r="R1590" s="59"/>
      <c r="S1590" s="59"/>
      <c r="T1590" s="59"/>
      <c r="U1590" s="59"/>
      <c r="V1590" s="59"/>
      <c r="W1590" s="59"/>
      <c r="X1590" s="59"/>
      <c r="Y1590" s="59"/>
      <c r="Z1590" s="59"/>
    </row>
    <row r="1591" ht="27.75" customHeight="1">
      <c r="A1591" s="58"/>
      <c r="B1591" s="149"/>
      <c r="C1591" s="58"/>
      <c r="D1591" s="58"/>
      <c r="E1591" s="58"/>
      <c r="F1591" s="58"/>
      <c r="G1591" s="58"/>
      <c r="H1591" s="58"/>
      <c r="I1591" s="59"/>
      <c r="J1591" s="59"/>
      <c r="K1591" s="59"/>
      <c r="L1591" s="59"/>
      <c r="M1591" s="59"/>
      <c r="N1591" s="59"/>
      <c r="O1591" s="59"/>
      <c r="P1591" s="59"/>
      <c r="Q1591" s="59"/>
      <c r="R1591" s="59"/>
      <c r="S1591" s="59"/>
      <c r="T1591" s="59"/>
      <c r="U1591" s="59"/>
      <c r="V1591" s="59"/>
      <c r="W1591" s="59"/>
      <c r="X1591" s="59"/>
      <c r="Y1591" s="59"/>
      <c r="Z1591" s="59"/>
    </row>
    <row r="1592" ht="27.75" customHeight="1">
      <c r="A1592" s="58"/>
      <c r="B1592" s="149"/>
      <c r="C1592" s="58"/>
      <c r="D1592" s="58"/>
      <c r="E1592" s="58"/>
      <c r="F1592" s="58"/>
      <c r="G1592" s="58"/>
      <c r="H1592" s="58"/>
      <c r="I1592" s="59"/>
      <c r="J1592" s="59"/>
      <c r="K1592" s="59"/>
      <c r="L1592" s="59"/>
      <c r="M1592" s="59"/>
      <c r="N1592" s="59"/>
      <c r="O1592" s="59"/>
      <c r="P1592" s="59"/>
      <c r="Q1592" s="59"/>
      <c r="R1592" s="59"/>
      <c r="S1592" s="59"/>
      <c r="T1592" s="59"/>
      <c r="U1592" s="59"/>
      <c r="V1592" s="59"/>
      <c r="W1592" s="59"/>
      <c r="X1592" s="59"/>
      <c r="Y1592" s="59"/>
      <c r="Z1592" s="59"/>
    </row>
    <row r="1593" ht="27.75" customHeight="1">
      <c r="A1593" s="58"/>
      <c r="B1593" s="149"/>
      <c r="C1593" s="58"/>
      <c r="D1593" s="58"/>
      <c r="E1593" s="58"/>
      <c r="F1593" s="58"/>
      <c r="G1593" s="58"/>
      <c r="H1593" s="58"/>
      <c r="I1593" s="59"/>
      <c r="J1593" s="59"/>
      <c r="K1593" s="59"/>
      <c r="L1593" s="59"/>
      <c r="M1593" s="59"/>
      <c r="N1593" s="59"/>
      <c r="O1593" s="59"/>
      <c r="P1593" s="59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</row>
    <row r="1594" ht="27.75" customHeight="1">
      <c r="A1594" s="58"/>
      <c r="B1594" s="149"/>
      <c r="C1594" s="58"/>
      <c r="D1594" s="58"/>
      <c r="E1594" s="58"/>
      <c r="F1594" s="58"/>
      <c r="G1594" s="58"/>
      <c r="H1594" s="58"/>
      <c r="I1594" s="59"/>
      <c r="J1594" s="59"/>
      <c r="K1594" s="59"/>
      <c r="L1594" s="59"/>
      <c r="M1594" s="59"/>
      <c r="N1594" s="59"/>
      <c r="O1594" s="59"/>
      <c r="P1594" s="59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</row>
    <row r="1595" ht="27.75" customHeight="1">
      <c r="A1595" s="58"/>
      <c r="B1595" s="149"/>
      <c r="C1595" s="58"/>
      <c r="D1595" s="58"/>
      <c r="E1595" s="58"/>
      <c r="F1595" s="58"/>
      <c r="G1595" s="58"/>
      <c r="H1595" s="58"/>
      <c r="I1595" s="59"/>
      <c r="J1595" s="59"/>
      <c r="K1595" s="59"/>
      <c r="L1595" s="59"/>
      <c r="M1595" s="59"/>
      <c r="N1595" s="59"/>
      <c r="O1595" s="59"/>
      <c r="P1595" s="59"/>
      <c r="Q1595" s="59"/>
      <c r="R1595" s="59"/>
      <c r="S1595" s="59"/>
      <c r="T1595" s="59"/>
      <c r="U1595" s="59"/>
      <c r="V1595" s="59"/>
      <c r="W1595" s="59"/>
      <c r="X1595" s="59"/>
      <c r="Y1595" s="59"/>
      <c r="Z1595" s="59"/>
    </row>
    <row r="1596" ht="27.75" customHeight="1">
      <c r="A1596" s="58"/>
      <c r="B1596" s="149"/>
      <c r="C1596" s="58"/>
      <c r="D1596" s="58"/>
      <c r="E1596" s="58"/>
      <c r="F1596" s="58"/>
      <c r="G1596" s="58"/>
      <c r="H1596" s="58"/>
      <c r="I1596" s="59"/>
      <c r="J1596" s="59"/>
      <c r="K1596" s="59"/>
      <c r="L1596" s="59"/>
      <c r="M1596" s="59"/>
      <c r="N1596" s="59"/>
      <c r="O1596" s="59"/>
      <c r="P1596" s="59"/>
      <c r="Q1596" s="59"/>
      <c r="R1596" s="59"/>
      <c r="S1596" s="59"/>
      <c r="T1596" s="59"/>
      <c r="U1596" s="59"/>
      <c r="V1596" s="59"/>
      <c r="W1596" s="59"/>
      <c r="X1596" s="59"/>
      <c r="Y1596" s="59"/>
      <c r="Z1596" s="59"/>
    </row>
    <row r="1597" ht="27.75" customHeight="1">
      <c r="A1597" s="58"/>
      <c r="B1597" s="149"/>
      <c r="C1597" s="58"/>
      <c r="D1597" s="58"/>
      <c r="E1597" s="58"/>
      <c r="F1597" s="58"/>
      <c r="G1597" s="58"/>
      <c r="H1597" s="58"/>
      <c r="I1597" s="59"/>
      <c r="J1597" s="59"/>
      <c r="K1597" s="59"/>
      <c r="L1597" s="59"/>
      <c r="M1597" s="59"/>
      <c r="N1597" s="59"/>
      <c r="O1597" s="59"/>
      <c r="P1597" s="59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</row>
    <row r="1598" ht="27.75" customHeight="1">
      <c r="A1598" s="58"/>
      <c r="B1598" s="149"/>
      <c r="C1598" s="58"/>
      <c r="D1598" s="58"/>
      <c r="E1598" s="58"/>
      <c r="F1598" s="58"/>
      <c r="G1598" s="58"/>
      <c r="H1598" s="58"/>
      <c r="I1598" s="59"/>
      <c r="J1598" s="59"/>
      <c r="K1598" s="59"/>
      <c r="L1598" s="59"/>
      <c r="M1598" s="59"/>
      <c r="N1598" s="59"/>
      <c r="O1598" s="59"/>
      <c r="P1598" s="59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</row>
    <row r="1599" ht="27.75" customHeight="1">
      <c r="A1599" s="58"/>
      <c r="B1599" s="149"/>
      <c r="C1599" s="58"/>
      <c r="D1599" s="58"/>
      <c r="E1599" s="58"/>
      <c r="F1599" s="58"/>
      <c r="G1599" s="58"/>
      <c r="H1599" s="58"/>
      <c r="I1599" s="59"/>
      <c r="J1599" s="59"/>
      <c r="K1599" s="59"/>
      <c r="L1599" s="59"/>
      <c r="M1599" s="59"/>
      <c r="N1599" s="59"/>
      <c r="O1599" s="59"/>
      <c r="P1599" s="59"/>
      <c r="Q1599" s="59"/>
      <c r="R1599" s="59"/>
      <c r="S1599" s="59"/>
      <c r="T1599" s="59"/>
      <c r="U1599" s="59"/>
      <c r="V1599" s="59"/>
      <c r="W1599" s="59"/>
      <c r="X1599" s="59"/>
      <c r="Y1599" s="59"/>
      <c r="Z1599" s="59"/>
    </row>
    <row r="1600" ht="27.75" customHeight="1">
      <c r="A1600" s="58"/>
      <c r="B1600" s="149"/>
      <c r="C1600" s="58"/>
      <c r="D1600" s="58"/>
      <c r="E1600" s="58"/>
      <c r="F1600" s="58"/>
      <c r="G1600" s="58"/>
      <c r="H1600" s="58"/>
      <c r="I1600" s="59"/>
      <c r="J1600" s="59"/>
      <c r="K1600" s="59"/>
      <c r="L1600" s="59"/>
      <c r="M1600" s="59"/>
      <c r="N1600" s="59"/>
      <c r="O1600" s="59"/>
      <c r="P1600" s="59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</row>
    <row r="1601" ht="27.75" customHeight="1">
      <c r="A1601" s="58"/>
      <c r="B1601" s="149"/>
      <c r="C1601" s="58"/>
      <c r="D1601" s="58"/>
      <c r="E1601" s="58"/>
      <c r="F1601" s="58"/>
      <c r="G1601" s="58"/>
      <c r="H1601" s="58"/>
      <c r="I1601" s="59"/>
      <c r="J1601" s="59"/>
      <c r="K1601" s="59"/>
      <c r="L1601" s="59"/>
      <c r="M1601" s="59"/>
      <c r="N1601" s="59"/>
      <c r="O1601" s="59"/>
      <c r="P1601" s="59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</row>
    <row r="1602" ht="27.75" customHeight="1">
      <c r="A1602" s="58"/>
      <c r="B1602" s="149"/>
      <c r="C1602" s="58"/>
      <c r="D1602" s="58"/>
      <c r="E1602" s="58"/>
      <c r="F1602" s="58"/>
      <c r="G1602" s="58"/>
      <c r="H1602" s="58"/>
      <c r="I1602" s="59"/>
      <c r="J1602" s="59"/>
      <c r="K1602" s="59"/>
      <c r="L1602" s="59"/>
      <c r="M1602" s="59"/>
      <c r="N1602" s="59"/>
      <c r="O1602" s="59"/>
      <c r="P1602" s="59"/>
      <c r="Q1602" s="59"/>
      <c r="R1602" s="59"/>
      <c r="S1602" s="59"/>
      <c r="T1602" s="59"/>
      <c r="U1602" s="59"/>
      <c r="V1602" s="59"/>
      <c r="W1602" s="59"/>
      <c r="X1602" s="59"/>
      <c r="Y1602" s="59"/>
      <c r="Z1602" s="59"/>
    </row>
    <row r="1603" ht="27.75" customHeight="1">
      <c r="A1603" s="58"/>
      <c r="B1603" s="149"/>
      <c r="C1603" s="58"/>
      <c r="D1603" s="58"/>
      <c r="E1603" s="58"/>
      <c r="F1603" s="58"/>
      <c r="G1603" s="58"/>
      <c r="H1603" s="58"/>
      <c r="I1603" s="59"/>
      <c r="J1603" s="59"/>
      <c r="K1603" s="59"/>
      <c r="L1603" s="59"/>
      <c r="M1603" s="59"/>
      <c r="N1603" s="59"/>
      <c r="O1603" s="59"/>
      <c r="P1603" s="59"/>
      <c r="Q1603" s="59"/>
      <c r="R1603" s="59"/>
      <c r="S1603" s="59"/>
      <c r="T1603" s="59"/>
      <c r="U1603" s="59"/>
      <c r="V1603" s="59"/>
      <c r="W1603" s="59"/>
      <c r="X1603" s="59"/>
      <c r="Y1603" s="59"/>
      <c r="Z1603" s="59"/>
    </row>
    <row r="1604" ht="27.75" customHeight="1">
      <c r="A1604" s="58"/>
      <c r="B1604" s="149"/>
      <c r="C1604" s="58"/>
      <c r="D1604" s="58"/>
      <c r="E1604" s="58"/>
      <c r="F1604" s="58"/>
      <c r="G1604" s="58"/>
      <c r="H1604" s="58"/>
      <c r="I1604" s="59"/>
      <c r="J1604" s="59"/>
      <c r="K1604" s="59"/>
      <c r="L1604" s="59"/>
      <c r="M1604" s="59"/>
      <c r="N1604" s="59"/>
      <c r="O1604" s="59"/>
      <c r="P1604" s="59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</row>
    <row r="1605" ht="27.75" customHeight="1">
      <c r="A1605" s="58"/>
      <c r="B1605" s="149"/>
      <c r="C1605" s="58"/>
      <c r="D1605" s="58"/>
      <c r="E1605" s="58"/>
      <c r="F1605" s="58"/>
      <c r="G1605" s="58"/>
      <c r="H1605" s="58"/>
      <c r="I1605" s="59"/>
      <c r="J1605" s="59"/>
      <c r="K1605" s="59"/>
      <c r="L1605" s="59"/>
      <c r="M1605" s="59"/>
      <c r="N1605" s="59"/>
      <c r="O1605" s="59"/>
      <c r="P1605" s="59"/>
      <c r="Q1605" s="59"/>
      <c r="R1605" s="59"/>
      <c r="S1605" s="59"/>
      <c r="T1605" s="59"/>
      <c r="U1605" s="59"/>
      <c r="V1605" s="59"/>
      <c r="W1605" s="59"/>
      <c r="X1605" s="59"/>
      <c r="Y1605" s="59"/>
      <c r="Z1605" s="59"/>
    </row>
    <row r="1606" ht="27.75" customHeight="1">
      <c r="A1606" s="58"/>
      <c r="B1606" s="149"/>
      <c r="C1606" s="58"/>
      <c r="D1606" s="58"/>
      <c r="E1606" s="58"/>
      <c r="F1606" s="58"/>
      <c r="G1606" s="58"/>
      <c r="H1606" s="58"/>
      <c r="I1606" s="59"/>
      <c r="J1606" s="59"/>
      <c r="K1606" s="59"/>
      <c r="L1606" s="59"/>
      <c r="M1606" s="59"/>
      <c r="N1606" s="59"/>
      <c r="O1606" s="59"/>
      <c r="P1606" s="59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</row>
    <row r="1607" ht="27.75" customHeight="1">
      <c r="A1607" s="58"/>
      <c r="B1607" s="149"/>
      <c r="C1607" s="58"/>
      <c r="D1607" s="58"/>
      <c r="E1607" s="58"/>
      <c r="F1607" s="58"/>
      <c r="G1607" s="58"/>
      <c r="H1607" s="58"/>
      <c r="I1607" s="59"/>
      <c r="J1607" s="59"/>
      <c r="K1607" s="59"/>
      <c r="L1607" s="59"/>
      <c r="M1607" s="59"/>
      <c r="N1607" s="59"/>
      <c r="O1607" s="59"/>
      <c r="P1607" s="59"/>
      <c r="Q1607" s="59"/>
      <c r="R1607" s="59"/>
      <c r="S1607" s="59"/>
      <c r="T1607" s="59"/>
      <c r="U1607" s="59"/>
      <c r="V1607" s="59"/>
      <c r="W1607" s="59"/>
      <c r="X1607" s="59"/>
      <c r="Y1607" s="59"/>
      <c r="Z1607" s="59"/>
    </row>
    <row r="1608" ht="27.75" customHeight="1">
      <c r="A1608" s="58"/>
      <c r="B1608" s="149"/>
      <c r="C1608" s="58"/>
      <c r="D1608" s="58"/>
      <c r="E1608" s="58"/>
      <c r="F1608" s="58"/>
      <c r="G1608" s="58"/>
      <c r="H1608" s="58"/>
      <c r="I1608" s="59"/>
      <c r="J1608" s="59"/>
      <c r="K1608" s="59"/>
      <c r="L1608" s="59"/>
      <c r="M1608" s="59"/>
      <c r="N1608" s="59"/>
      <c r="O1608" s="59"/>
      <c r="P1608" s="59"/>
      <c r="Q1608" s="59"/>
      <c r="R1608" s="59"/>
      <c r="S1608" s="59"/>
      <c r="T1608" s="59"/>
      <c r="U1608" s="59"/>
      <c r="V1608" s="59"/>
      <c r="W1608" s="59"/>
      <c r="X1608" s="59"/>
      <c r="Y1608" s="59"/>
      <c r="Z1608" s="59"/>
    </row>
    <row r="1609" ht="27.75" customHeight="1">
      <c r="A1609" s="58"/>
      <c r="B1609" s="149"/>
      <c r="C1609" s="58"/>
      <c r="D1609" s="58"/>
      <c r="E1609" s="58"/>
      <c r="F1609" s="58"/>
      <c r="G1609" s="58"/>
      <c r="H1609" s="58"/>
      <c r="I1609" s="59"/>
      <c r="J1609" s="59"/>
      <c r="K1609" s="59"/>
      <c r="L1609" s="59"/>
      <c r="M1609" s="59"/>
      <c r="N1609" s="59"/>
      <c r="O1609" s="59"/>
      <c r="P1609" s="59"/>
      <c r="Q1609" s="59"/>
      <c r="R1609" s="59"/>
      <c r="S1609" s="59"/>
      <c r="T1609" s="59"/>
      <c r="U1609" s="59"/>
      <c r="V1609" s="59"/>
      <c r="W1609" s="59"/>
      <c r="X1609" s="59"/>
      <c r="Y1609" s="59"/>
      <c r="Z1609" s="59"/>
    </row>
    <row r="1610" ht="27.75" customHeight="1">
      <c r="A1610" s="58"/>
      <c r="B1610" s="149"/>
      <c r="C1610" s="58"/>
      <c r="D1610" s="58"/>
      <c r="E1610" s="58"/>
      <c r="F1610" s="58"/>
      <c r="G1610" s="58"/>
      <c r="H1610" s="58"/>
      <c r="I1610" s="59"/>
      <c r="J1610" s="59"/>
      <c r="K1610" s="59"/>
      <c r="L1610" s="59"/>
      <c r="M1610" s="59"/>
      <c r="N1610" s="59"/>
      <c r="O1610" s="59"/>
      <c r="P1610" s="59"/>
      <c r="Q1610" s="59"/>
      <c r="R1610" s="59"/>
      <c r="S1610" s="59"/>
      <c r="T1610" s="59"/>
      <c r="U1610" s="59"/>
      <c r="V1610" s="59"/>
      <c r="W1610" s="59"/>
      <c r="X1610" s="59"/>
      <c r="Y1610" s="59"/>
      <c r="Z1610" s="59"/>
    </row>
    <row r="1611" ht="27.75" customHeight="1">
      <c r="A1611" s="58"/>
      <c r="B1611" s="149"/>
      <c r="C1611" s="58"/>
      <c r="D1611" s="58"/>
      <c r="E1611" s="58"/>
      <c r="F1611" s="58"/>
      <c r="G1611" s="58"/>
      <c r="H1611" s="58"/>
      <c r="I1611" s="59"/>
      <c r="J1611" s="59"/>
      <c r="K1611" s="59"/>
      <c r="L1611" s="59"/>
      <c r="M1611" s="59"/>
      <c r="N1611" s="59"/>
      <c r="O1611" s="59"/>
      <c r="P1611" s="59"/>
      <c r="Q1611" s="59"/>
      <c r="R1611" s="59"/>
      <c r="S1611" s="59"/>
      <c r="T1611" s="59"/>
      <c r="U1611" s="59"/>
      <c r="V1611" s="59"/>
      <c r="W1611" s="59"/>
      <c r="X1611" s="59"/>
      <c r="Y1611" s="59"/>
      <c r="Z1611" s="59"/>
    </row>
    <row r="1612" ht="27.75" customHeight="1">
      <c r="A1612" s="58"/>
      <c r="B1612" s="149"/>
      <c r="C1612" s="58"/>
      <c r="D1612" s="58"/>
      <c r="E1612" s="58"/>
      <c r="F1612" s="58"/>
      <c r="G1612" s="58"/>
      <c r="H1612" s="58"/>
      <c r="I1612" s="59"/>
      <c r="J1612" s="59"/>
      <c r="K1612" s="59"/>
      <c r="L1612" s="59"/>
      <c r="M1612" s="59"/>
      <c r="N1612" s="59"/>
      <c r="O1612" s="59"/>
      <c r="P1612" s="59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</row>
    <row r="1613" ht="27.75" customHeight="1">
      <c r="A1613" s="58"/>
      <c r="B1613" s="149"/>
      <c r="C1613" s="58"/>
      <c r="D1613" s="58"/>
      <c r="E1613" s="58"/>
      <c r="F1613" s="58"/>
      <c r="G1613" s="58"/>
      <c r="H1613" s="58"/>
      <c r="I1613" s="59"/>
      <c r="J1613" s="59"/>
      <c r="K1613" s="59"/>
      <c r="L1613" s="59"/>
      <c r="M1613" s="59"/>
      <c r="N1613" s="59"/>
      <c r="O1613" s="59"/>
      <c r="P1613" s="59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</row>
    <row r="1614" ht="27.75" customHeight="1">
      <c r="A1614" s="58"/>
      <c r="B1614" s="149"/>
      <c r="C1614" s="58"/>
      <c r="D1614" s="58"/>
      <c r="E1614" s="58"/>
      <c r="F1614" s="58"/>
      <c r="G1614" s="58"/>
      <c r="H1614" s="58"/>
      <c r="I1614" s="59"/>
      <c r="J1614" s="59"/>
      <c r="K1614" s="59"/>
      <c r="L1614" s="59"/>
      <c r="M1614" s="59"/>
      <c r="N1614" s="59"/>
      <c r="O1614" s="59"/>
      <c r="P1614" s="59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</row>
    <row r="1615" ht="27.75" customHeight="1">
      <c r="A1615" s="58"/>
      <c r="B1615" s="149"/>
      <c r="C1615" s="58"/>
      <c r="D1615" s="58"/>
      <c r="E1615" s="58"/>
      <c r="F1615" s="58"/>
      <c r="G1615" s="58"/>
      <c r="H1615" s="58"/>
      <c r="I1615" s="59"/>
      <c r="J1615" s="59"/>
      <c r="K1615" s="59"/>
      <c r="L1615" s="59"/>
      <c r="M1615" s="59"/>
      <c r="N1615" s="59"/>
      <c r="O1615" s="59"/>
      <c r="P1615" s="59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</row>
    <row r="1616" ht="27.75" customHeight="1">
      <c r="A1616" s="58"/>
      <c r="B1616" s="149"/>
      <c r="C1616" s="58"/>
      <c r="D1616" s="58"/>
      <c r="E1616" s="58"/>
      <c r="F1616" s="58"/>
      <c r="G1616" s="58"/>
      <c r="H1616" s="58"/>
      <c r="I1616" s="59"/>
      <c r="J1616" s="59"/>
      <c r="K1616" s="59"/>
      <c r="L1616" s="59"/>
      <c r="M1616" s="59"/>
      <c r="N1616" s="59"/>
      <c r="O1616" s="59"/>
      <c r="P1616" s="59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</row>
    <row r="1617" ht="27.75" customHeight="1">
      <c r="A1617" s="58"/>
      <c r="B1617" s="149"/>
      <c r="C1617" s="58"/>
      <c r="D1617" s="58"/>
      <c r="E1617" s="58"/>
      <c r="F1617" s="58"/>
      <c r="G1617" s="58"/>
      <c r="H1617" s="58"/>
      <c r="I1617" s="59"/>
      <c r="J1617" s="59"/>
      <c r="K1617" s="59"/>
      <c r="L1617" s="59"/>
      <c r="M1617" s="59"/>
      <c r="N1617" s="59"/>
      <c r="O1617" s="59"/>
      <c r="P1617" s="59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</row>
    <row r="1618" ht="27.75" customHeight="1">
      <c r="A1618" s="58"/>
      <c r="B1618" s="149"/>
      <c r="C1618" s="58"/>
      <c r="D1618" s="58"/>
      <c r="E1618" s="58"/>
      <c r="F1618" s="58"/>
      <c r="G1618" s="58"/>
      <c r="H1618" s="58"/>
      <c r="I1618" s="59"/>
      <c r="J1618" s="59"/>
      <c r="K1618" s="59"/>
      <c r="L1618" s="59"/>
      <c r="M1618" s="59"/>
      <c r="N1618" s="59"/>
      <c r="O1618" s="59"/>
      <c r="P1618" s="59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</row>
    <row r="1619" ht="27.75" customHeight="1">
      <c r="A1619" s="58"/>
      <c r="B1619" s="149"/>
      <c r="C1619" s="58"/>
      <c r="D1619" s="58"/>
      <c r="E1619" s="58"/>
      <c r="F1619" s="58"/>
      <c r="G1619" s="58"/>
      <c r="H1619" s="58"/>
      <c r="I1619" s="59"/>
      <c r="J1619" s="59"/>
      <c r="K1619" s="59"/>
      <c r="L1619" s="59"/>
      <c r="M1619" s="59"/>
      <c r="N1619" s="59"/>
      <c r="O1619" s="59"/>
      <c r="P1619" s="59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</row>
    <row r="1620" ht="27.75" customHeight="1">
      <c r="A1620" s="58"/>
      <c r="B1620" s="149"/>
      <c r="C1620" s="58"/>
      <c r="D1620" s="58"/>
      <c r="E1620" s="58"/>
      <c r="F1620" s="58"/>
      <c r="G1620" s="58"/>
      <c r="H1620" s="58"/>
      <c r="I1620" s="59"/>
      <c r="J1620" s="59"/>
      <c r="K1620" s="59"/>
      <c r="L1620" s="59"/>
      <c r="M1620" s="59"/>
      <c r="N1620" s="59"/>
      <c r="O1620" s="59"/>
      <c r="P1620" s="59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</row>
    <row r="1621" ht="27.75" customHeight="1">
      <c r="A1621" s="58"/>
      <c r="B1621" s="149"/>
      <c r="C1621" s="58"/>
      <c r="D1621" s="58"/>
      <c r="E1621" s="58"/>
      <c r="F1621" s="58"/>
      <c r="G1621" s="58"/>
      <c r="H1621" s="58"/>
      <c r="I1621" s="59"/>
      <c r="J1621" s="59"/>
      <c r="K1621" s="59"/>
      <c r="L1621" s="59"/>
      <c r="M1621" s="59"/>
      <c r="N1621" s="59"/>
      <c r="O1621" s="59"/>
      <c r="P1621" s="59"/>
      <c r="Q1621" s="59"/>
      <c r="R1621" s="59"/>
      <c r="S1621" s="59"/>
      <c r="T1621" s="59"/>
      <c r="U1621" s="59"/>
      <c r="V1621" s="59"/>
      <c r="W1621" s="59"/>
      <c r="X1621" s="59"/>
      <c r="Y1621" s="59"/>
      <c r="Z1621" s="59"/>
    </row>
    <row r="1622" ht="27.75" customHeight="1">
      <c r="A1622" s="58"/>
      <c r="B1622" s="149"/>
      <c r="C1622" s="58"/>
      <c r="D1622" s="58"/>
      <c r="E1622" s="58"/>
      <c r="F1622" s="58"/>
      <c r="G1622" s="58"/>
      <c r="H1622" s="58"/>
      <c r="I1622" s="59"/>
      <c r="J1622" s="59"/>
      <c r="K1622" s="59"/>
      <c r="L1622" s="59"/>
      <c r="M1622" s="59"/>
      <c r="N1622" s="59"/>
      <c r="O1622" s="59"/>
      <c r="P1622" s="59"/>
      <c r="Q1622" s="59"/>
      <c r="R1622" s="59"/>
      <c r="S1622" s="59"/>
      <c r="T1622" s="59"/>
      <c r="U1622" s="59"/>
      <c r="V1622" s="59"/>
      <c r="W1622" s="59"/>
      <c r="X1622" s="59"/>
      <c r="Y1622" s="59"/>
      <c r="Z1622" s="59"/>
    </row>
    <row r="1623" ht="27.75" customHeight="1">
      <c r="A1623" s="58"/>
      <c r="B1623" s="149"/>
      <c r="C1623" s="58"/>
      <c r="D1623" s="58"/>
      <c r="E1623" s="58"/>
      <c r="F1623" s="58"/>
      <c r="G1623" s="58"/>
      <c r="H1623" s="58"/>
      <c r="I1623" s="59"/>
      <c r="J1623" s="59"/>
      <c r="K1623" s="59"/>
      <c r="L1623" s="59"/>
      <c r="M1623" s="59"/>
      <c r="N1623" s="59"/>
      <c r="O1623" s="59"/>
      <c r="P1623" s="59"/>
      <c r="Q1623" s="59"/>
      <c r="R1623" s="59"/>
      <c r="S1623" s="59"/>
      <c r="T1623" s="59"/>
      <c r="U1623" s="59"/>
      <c r="V1623" s="59"/>
      <c r="W1623" s="59"/>
      <c r="X1623" s="59"/>
      <c r="Y1623" s="59"/>
      <c r="Z1623" s="59"/>
    </row>
    <row r="1624" ht="27.75" customHeight="1">
      <c r="A1624" s="58"/>
      <c r="B1624" s="149"/>
      <c r="C1624" s="58"/>
      <c r="D1624" s="58"/>
      <c r="E1624" s="58"/>
      <c r="F1624" s="58"/>
      <c r="G1624" s="58"/>
      <c r="H1624" s="58"/>
      <c r="I1624" s="59"/>
      <c r="J1624" s="59"/>
      <c r="K1624" s="59"/>
      <c r="L1624" s="59"/>
      <c r="M1624" s="59"/>
      <c r="N1624" s="59"/>
      <c r="O1624" s="59"/>
      <c r="P1624" s="59"/>
      <c r="Q1624" s="59"/>
      <c r="R1624" s="59"/>
      <c r="S1624" s="59"/>
      <c r="T1624" s="59"/>
      <c r="U1624" s="59"/>
      <c r="V1624" s="59"/>
      <c r="W1624" s="59"/>
      <c r="X1624" s="59"/>
      <c r="Y1624" s="59"/>
      <c r="Z1624" s="59"/>
    </row>
    <row r="1625" ht="27.75" customHeight="1">
      <c r="A1625" s="58"/>
      <c r="B1625" s="149"/>
      <c r="C1625" s="58"/>
      <c r="D1625" s="58"/>
      <c r="E1625" s="58"/>
      <c r="F1625" s="58"/>
      <c r="G1625" s="58"/>
      <c r="H1625" s="58"/>
      <c r="I1625" s="59"/>
      <c r="J1625" s="59"/>
      <c r="K1625" s="59"/>
      <c r="L1625" s="59"/>
      <c r="M1625" s="59"/>
      <c r="N1625" s="59"/>
      <c r="O1625" s="59"/>
      <c r="P1625" s="59"/>
      <c r="Q1625" s="59"/>
      <c r="R1625" s="59"/>
      <c r="S1625" s="59"/>
      <c r="T1625" s="59"/>
      <c r="U1625" s="59"/>
      <c r="V1625" s="59"/>
      <c r="W1625" s="59"/>
      <c r="X1625" s="59"/>
      <c r="Y1625" s="59"/>
      <c r="Z1625" s="59"/>
    </row>
    <row r="1626" ht="27.75" customHeight="1">
      <c r="A1626" s="58"/>
      <c r="B1626" s="149"/>
      <c r="C1626" s="58"/>
      <c r="D1626" s="58"/>
      <c r="E1626" s="58"/>
      <c r="F1626" s="58"/>
      <c r="G1626" s="58"/>
      <c r="H1626" s="58"/>
      <c r="I1626" s="59"/>
      <c r="J1626" s="59"/>
      <c r="K1626" s="59"/>
      <c r="L1626" s="59"/>
      <c r="M1626" s="59"/>
      <c r="N1626" s="59"/>
      <c r="O1626" s="59"/>
      <c r="P1626" s="59"/>
      <c r="Q1626" s="59"/>
      <c r="R1626" s="59"/>
      <c r="S1626" s="59"/>
      <c r="T1626" s="59"/>
      <c r="U1626" s="59"/>
      <c r="V1626" s="59"/>
      <c r="W1626" s="59"/>
      <c r="X1626" s="59"/>
      <c r="Y1626" s="59"/>
      <c r="Z1626" s="59"/>
    </row>
    <row r="1627" ht="27.75" customHeight="1">
      <c r="A1627" s="58"/>
      <c r="B1627" s="149"/>
      <c r="C1627" s="58"/>
      <c r="D1627" s="58"/>
      <c r="E1627" s="58"/>
      <c r="F1627" s="58"/>
      <c r="G1627" s="58"/>
      <c r="H1627" s="58"/>
      <c r="I1627" s="59"/>
      <c r="J1627" s="59"/>
      <c r="K1627" s="59"/>
      <c r="L1627" s="59"/>
      <c r="M1627" s="59"/>
      <c r="N1627" s="59"/>
      <c r="O1627" s="59"/>
      <c r="P1627" s="59"/>
      <c r="Q1627" s="59"/>
      <c r="R1627" s="59"/>
      <c r="S1627" s="59"/>
      <c r="T1627" s="59"/>
      <c r="U1627" s="59"/>
      <c r="V1627" s="59"/>
      <c r="W1627" s="59"/>
      <c r="X1627" s="59"/>
      <c r="Y1627" s="59"/>
      <c r="Z1627" s="59"/>
    </row>
    <row r="1628" ht="27.75" customHeight="1">
      <c r="A1628" s="58"/>
      <c r="B1628" s="149"/>
      <c r="C1628" s="58"/>
      <c r="D1628" s="58"/>
      <c r="E1628" s="58"/>
      <c r="F1628" s="58"/>
      <c r="G1628" s="58"/>
      <c r="H1628" s="58"/>
      <c r="I1628" s="59"/>
      <c r="J1628" s="59"/>
      <c r="K1628" s="59"/>
      <c r="L1628" s="59"/>
      <c r="M1628" s="59"/>
      <c r="N1628" s="59"/>
      <c r="O1628" s="59"/>
      <c r="P1628" s="59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</row>
    <row r="1629" ht="27.75" customHeight="1">
      <c r="A1629" s="58"/>
      <c r="B1629" s="149"/>
      <c r="C1629" s="58"/>
      <c r="D1629" s="58"/>
      <c r="E1629" s="58"/>
      <c r="F1629" s="58"/>
      <c r="G1629" s="58"/>
      <c r="H1629" s="58"/>
      <c r="I1629" s="59"/>
      <c r="J1629" s="59"/>
      <c r="K1629" s="59"/>
      <c r="L1629" s="59"/>
      <c r="M1629" s="59"/>
      <c r="N1629" s="59"/>
      <c r="O1629" s="59"/>
      <c r="P1629" s="59"/>
      <c r="Q1629" s="59"/>
      <c r="R1629" s="59"/>
      <c r="S1629" s="59"/>
      <c r="T1629" s="59"/>
      <c r="U1629" s="59"/>
      <c r="V1629" s="59"/>
      <c r="W1629" s="59"/>
      <c r="X1629" s="59"/>
      <c r="Y1629" s="59"/>
      <c r="Z1629" s="59"/>
    </row>
    <row r="1630" ht="27.75" customHeight="1">
      <c r="A1630" s="58"/>
      <c r="B1630" s="149"/>
      <c r="C1630" s="58"/>
      <c r="D1630" s="58"/>
      <c r="E1630" s="58"/>
      <c r="F1630" s="58"/>
      <c r="G1630" s="58"/>
      <c r="H1630" s="58"/>
      <c r="I1630" s="59"/>
      <c r="J1630" s="59"/>
      <c r="K1630" s="59"/>
      <c r="L1630" s="59"/>
      <c r="M1630" s="59"/>
      <c r="N1630" s="59"/>
      <c r="O1630" s="59"/>
      <c r="P1630" s="59"/>
      <c r="Q1630" s="59"/>
      <c r="R1630" s="59"/>
      <c r="S1630" s="59"/>
      <c r="T1630" s="59"/>
      <c r="U1630" s="59"/>
      <c r="V1630" s="59"/>
      <c r="W1630" s="59"/>
      <c r="X1630" s="59"/>
      <c r="Y1630" s="59"/>
      <c r="Z1630" s="59"/>
    </row>
    <row r="1631" ht="27.75" customHeight="1">
      <c r="A1631" s="58"/>
      <c r="B1631" s="149"/>
      <c r="C1631" s="58"/>
      <c r="D1631" s="58"/>
      <c r="E1631" s="58"/>
      <c r="F1631" s="58"/>
      <c r="G1631" s="58"/>
      <c r="H1631" s="58"/>
      <c r="I1631" s="59"/>
      <c r="J1631" s="59"/>
      <c r="K1631" s="59"/>
      <c r="L1631" s="59"/>
      <c r="M1631" s="59"/>
      <c r="N1631" s="59"/>
      <c r="O1631" s="59"/>
      <c r="P1631" s="59"/>
      <c r="Q1631" s="59"/>
      <c r="R1631" s="59"/>
      <c r="S1631" s="59"/>
      <c r="T1631" s="59"/>
      <c r="U1631" s="59"/>
      <c r="V1631" s="59"/>
      <c r="W1631" s="59"/>
      <c r="X1631" s="59"/>
      <c r="Y1631" s="59"/>
      <c r="Z1631" s="59"/>
    </row>
    <row r="1632" ht="27.75" customHeight="1">
      <c r="A1632" s="58"/>
      <c r="B1632" s="149"/>
      <c r="C1632" s="58"/>
      <c r="D1632" s="58"/>
      <c r="E1632" s="58"/>
      <c r="F1632" s="58"/>
      <c r="G1632" s="58"/>
      <c r="H1632" s="58"/>
      <c r="I1632" s="59"/>
      <c r="J1632" s="59"/>
      <c r="K1632" s="59"/>
      <c r="L1632" s="59"/>
      <c r="M1632" s="59"/>
      <c r="N1632" s="59"/>
      <c r="O1632" s="59"/>
      <c r="P1632" s="59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</row>
    <row r="1633" ht="27.75" customHeight="1">
      <c r="A1633" s="58"/>
      <c r="B1633" s="149"/>
      <c r="C1633" s="58"/>
      <c r="D1633" s="58"/>
      <c r="E1633" s="58"/>
      <c r="F1633" s="58"/>
      <c r="G1633" s="58"/>
      <c r="H1633" s="58"/>
      <c r="I1633" s="59"/>
      <c r="J1633" s="59"/>
      <c r="K1633" s="59"/>
      <c r="L1633" s="59"/>
      <c r="M1633" s="59"/>
      <c r="N1633" s="59"/>
      <c r="O1633" s="59"/>
      <c r="P1633" s="59"/>
      <c r="Q1633" s="59"/>
      <c r="R1633" s="59"/>
      <c r="S1633" s="59"/>
      <c r="T1633" s="59"/>
      <c r="U1633" s="59"/>
      <c r="V1633" s="59"/>
      <c r="W1633" s="59"/>
      <c r="X1633" s="59"/>
      <c r="Y1633" s="59"/>
      <c r="Z1633" s="59"/>
    </row>
    <row r="1634" ht="27.75" customHeight="1">
      <c r="A1634" s="58"/>
      <c r="B1634" s="149"/>
      <c r="C1634" s="58"/>
      <c r="D1634" s="58"/>
      <c r="E1634" s="58"/>
      <c r="F1634" s="58"/>
      <c r="G1634" s="58"/>
      <c r="H1634" s="58"/>
      <c r="I1634" s="59"/>
      <c r="J1634" s="59"/>
      <c r="K1634" s="59"/>
      <c r="L1634" s="59"/>
      <c r="M1634" s="59"/>
      <c r="N1634" s="59"/>
      <c r="O1634" s="59"/>
      <c r="P1634" s="59"/>
      <c r="Q1634" s="59"/>
      <c r="R1634" s="59"/>
      <c r="S1634" s="59"/>
      <c r="T1634" s="59"/>
      <c r="U1634" s="59"/>
      <c r="V1634" s="59"/>
      <c r="W1634" s="59"/>
      <c r="X1634" s="59"/>
      <c r="Y1634" s="59"/>
      <c r="Z1634" s="59"/>
    </row>
    <row r="1635" ht="27.75" customHeight="1">
      <c r="A1635" s="58"/>
      <c r="B1635" s="149"/>
      <c r="C1635" s="58"/>
      <c r="D1635" s="58"/>
      <c r="E1635" s="58"/>
      <c r="F1635" s="58"/>
      <c r="G1635" s="58"/>
      <c r="H1635" s="58"/>
      <c r="I1635" s="59"/>
      <c r="J1635" s="59"/>
      <c r="K1635" s="59"/>
      <c r="L1635" s="59"/>
      <c r="M1635" s="59"/>
      <c r="N1635" s="59"/>
      <c r="O1635" s="59"/>
      <c r="P1635" s="59"/>
      <c r="Q1635" s="59"/>
      <c r="R1635" s="59"/>
      <c r="S1635" s="59"/>
      <c r="T1635" s="59"/>
      <c r="U1635" s="59"/>
      <c r="V1635" s="59"/>
      <c r="W1635" s="59"/>
      <c r="X1635" s="59"/>
      <c r="Y1635" s="59"/>
      <c r="Z1635" s="59"/>
    </row>
    <row r="1636" ht="27.75" customHeight="1">
      <c r="A1636" s="58"/>
      <c r="B1636" s="149"/>
      <c r="C1636" s="58"/>
      <c r="D1636" s="58"/>
      <c r="E1636" s="58"/>
      <c r="F1636" s="58"/>
      <c r="G1636" s="58"/>
      <c r="H1636" s="58"/>
      <c r="I1636" s="59"/>
      <c r="J1636" s="59"/>
      <c r="K1636" s="59"/>
      <c r="L1636" s="59"/>
      <c r="M1636" s="59"/>
      <c r="N1636" s="59"/>
      <c r="O1636" s="59"/>
      <c r="P1636" s="59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</row>
    <row r="1637" ht="27.75" customHeight="1">
      <c r="A1637" s="58"/>
      <c r="B1637" s="149"/>
      <c r="C1637" s="58"/>
      <c r="D1637" s="58"/>
      <c r="E1637" s="58"/>
      <c r="F1637" s="58"/>
      <c r="G1637" s="58"/>
      <c r="H1637" s="58"/>
      <c r="I1637" s="59"/>
      <c r="J1637" s="59"/>
      <c r="K1637" s="59"/>
      <c r="L1637" s="59"/>
      <c r="M1637" s="59"/>
      <c r="N1637" s="59"/>
      <c r="O1637" s="59"/>
      <c r="P1637" s="59"/>
      <c r="Q1637" s="59"/>
      <c r="R1637" s="59"/>
      <c r="S1637" s="59"/>
      <c r="T1637" s="59"/>
      <c r="U1637" s="59"/>
      <c r="V1637" s="59"/>
      <c r="W1637" s="59"/>
      <c r="X1637" s="59"/>
      <c r="Y1637" s="59"/>
      <c r="Z1637" s="59"/>
    </row>
    <row r="1638" ht="27.75" customHeight="1">
      <c r="A1638" s="58"/>
      <c r="B1638" s="149"/>
      <c r="C1638" s="58"/>
      <c r="D1638" s="58"/>
      <c r="E1638" s="58"/>
      <c r="F1638" s="58"/>
      <c r="G1638" s="58"/>
      <c r="H1638" s="58"/>
      <c r="I1638" s="59"/>
      <c r="J1638" s="59"/>
      <c r="K1638" s="59"/>
      <c r="L1638" s="59"/>
      <c r="M1638" s="59"/>
      <c r="N1638" s="59"/>
      <c r="O1638" s="59"/>
      <c r="P1638" s="59"/>
      <c r="Q1638" s="59"/>
      <c r="R1638" s="59"/>
      <c r="S1638" s="59"/>
      <c r="T1638" s="59"/>
      <c r="U1638" s="59"/>
      <c r="V1638" s="59"/>
      <c r="W1638" s="59"/>
      <c r="X1638" s="59"/>
      <c r="Y1638" s="59"/>
      <c r="Z1638" s="59"/>
    </row>
    <row r="1639" ht="27.75" customHeight="1">
      <c r="A1639" s="58"/>
      <c r="B1639" s="149"/>
      <c r="C1639" s="58"/>
      <c r="D1639" s="58"/>
      <c r="E1639" s="58"/>
      <c r="F1639" s="58"/>
      <c r="G1639" s="58"/>
      <c r="H1639" s="58"/>
      <c r="I1639" s="59"/>
      <c r="J1639" s="59"/>
      <c r="K1639" s="59"/>
      <c r="L1639" s="59"/>
      <c r="M1639" s="59"/>
      <c r="N1639" s="59"/>
      <c r="O1639" s="59"/>
      <c r="P1639" s="59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</row>
    <row r="1640" ht="27.75" customHeight="1">
      <c r="A1640" s="58"/>
      <c r="B1640" s="149"/>
      <c r="C1640" s="58"/>
      <c r="D1640" s="58"/>
      <c r="E1640" s="58"/>
      <c r="F1640" s="58"/>
      <c r="G1640" s="58"/>
      <c r="H1640" s="58"/>
      <c r="I1640" s="59"/>
      <c r="J1640" s="59"/>
      <c r="K1640" s="59"/>
      <c r="L1640" s="59"/>
      <c r="M1640" s="59"/>
      <c r="N1640" s="59"/>
      <c r="O1640" s="59"/>
      <c r="P1640" s="59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</row>
    <row r="1641" ht="27.75" customHeight="1">
      <c r="A1641" s="58"/>
      <c r="B1641" s="149"/>
      <c r="C1641" s="58"/>
      <c r="D1641" s="58"/>
      <c r="E1641" s="58"/>
      <c r="F1641" s="58"/>
      <c r="G1641" s="58"/>
      <c r="H1641" s="58"/>
      <c r="I1641" s="59"/>
      <c r="J1641" s="59"/>
      <c r="K1641" s="59"/>
      <c r="L1641" s="59"/>
      <c r="M1641" s="59"/>
      <c r="N1641" s="59"/>
      <c r="O1641" s="59"/>
      <c r="P1641" s="59"/>
      <c r="Q1641" s="59"/>
      <c r="R1641" s="59"/>
      <c r="S1641" s="59"/>
      <c r="T1641" s="59"/>
      <c r="U1641" s="59"/>
      <c r="V1641" s="59"/>
      <c r="W1641" s="59"/>
      <c r="X1641" s="59"/>
      <c r="Y1641" s="59"/>
      <c r="Z1641" s="59"/>
    </row>
    <row r="1642" ht="27.75" customHeight="1">
      <c r="A1642" s="58"/>
      <c r="B1642" s="149"/>
      <c r="C1642" s="58"/>
      <c r="D1642" s="58"/>
      <c r="E1642" s="58"/>
      <c r="F1642" s="58"/>
      <c r="G1642" s="58"/>
      <c r="H1642" s="58"/>
      <c r="I1642" s="59"/>
      <c r="J1642" s="59"/>
      <c r="K1642" s="59"/>
      <c r="L1642" s="59"/>
      <c r="M1642" s="59"/>
      <c r="N1642" s="59"/>
      <c r="O1642" s="59"/>
      <c r="P1642" s="59"/>
      <c r="Q1642" s="59"/>
      <c r="R1642" s="59"/>
      <c r="S1642" s="59"/>
      <c r="T1642" s="59"/>
      <c r="U1642" s="59"/>
      <c r="V1642" s="59"/>
      <c r="W1642" s="59"/>
      <c r="X1642" s="59"/>
      <c r="Y1642" s="59"/>
      <c r="Z1642" s="59"/>
    </row>
    <row r="1643" ht="27.75" customHeight="1">
      <c r="A1643" s="58"/>
      <c r="B1643" s="149"/>
      <c r="C1643" s="58"/>
      <c r="D1643" s="58"/>
      <c r="E1643" s="58"/>
      <c r="F1643" s="58"/>
      <c r="G1643" s="58"/>
      <c r="H1643" s="58"/>
      <c r="I1643" s="59"/>
      <c r="J1643" s="59"/>
      <c r="K1643" s="59"/>
      <c r="L1643" s="59"/>
      <c r="M1643" s="59"/>
      <c r="N1643" s="59"/>
      <c r="O1643" s="59"/>
      <c r="P1643" s="59"/>
      <c r="Q1643" s="59"/>
      <c r="R1643" s="59"/>
      <c r="S1643" s="59"/>
      <c r="T1643" s="59"/>
      <c r="U1643" s="59"/>
      <c r="V1643" s="59"/>
      <c r="W1643" s="59"/>
      <c r="X1643" s="59"/>
      <c r="Y1643" s="59"/>
      <c r="Z1643" s="59"/>
    </row>
    <row r="1644" ht="27.75" customHeight="1">
      <c r="A1644" s="58"/>
      <c r="B1644" s="149"/>
      <c r="C1644" s="58"/>
      <c r="D1644" s="58"/>
      <c r="E1644" s="58"/>
      <c r="F1644" s="58"/>
      <c r="G1644" s="58"/>
      <c r="H1644" s="58"/>
      <c r="I1644" s="59"/>
      <c r="J1644" s="59"/>
      <c r="K1644" s="59"/>
      <c r="L1644" s="59"/>
      <c r="M1644" s="59"/>
      <c r="N1644" s="59"/>
      <c r="O1644" s="59"/>
      <c r="P1644" s="59"/>
      <c r="Q1644" s="59"/>
      <c r="R1644" s="59"/>
      <c r="S1644" s="59"/>
      <c r="T1644" s="59"/>
      <c r="U1644" s="59"/>
      <c r="V1644" s="59"/>
      <c r="W1644" s="59"/>
      <c r="X1644" s="59"/>
      <c r="Y1644" s="59"/>
      <c r="Z1644" s="59"/>
    </row>
    <row r="1645" ht="27.75" customHeight="1">
      <c r="A1645" s="58"/>
      <c r="B1645" s="149"/>
      <c r="C1645" s="58"/>
      <c r="D1645" s="58"/>
      <c r="E1645" s="58"/>
      <c r="F1645" s="58"/>
      <c r="G1645" s="58"/>
      <c r="H1645" s="58"/>
      <c r="I1645" s="59"/>
      <c r="J1645" s="59"/>
      <c r="K1645" s="59"/>
      <c r="L1645" s="59"/>
      <c r="M1645" s="59"/>
      <c r="N1645" s="59"/>
      <c r="O1645" s="59"/>
      <c r="P1645" s="59"/>
      <c r="Q1645" s="59"/>
      <c r="R1645" s="59"/>
      <c r="S1645" s="59"/>
      <c r="T1645" s="59"/>
      <c r="U1645" s="59"/>
      <c r="V1645" s="59"/>
      <c r="W1645" s="59"/>
      <c r="X1645" s="59"/>
      <c r="Y1645" s="59"/>
      <c r="Z1645" s="59"/>
    </row>
    <row r="1646" ht="27.75" customHeight="1">
      <c r="A1646" s="58"/>
      <c r="B1646" s="149"/>
      <c r="C1646" s="58"/>
      <c r="D1646" s="58"/>
      <c r="E1646" s="58"/>
      <c r="F1646" s="58"/>
      <c r="G1646" s="58"/>
      <c r="H1646" s="58"/>
      <c r="I1646" s="59"/>
      <c r="J1646" s="59"/>
      <c r="K1646" s="59"/>
      <c r="L1646" s="59"/>
      <c r="M1646" s="59"/>
      <c r="N1646" s="59"/>
      <c r="O1646" s="59"/>
      <c r="P1646" s="59"/>
      <c r="Q1646" s="59"/>
      <c r="R1646" s="59"/>
      <c r="S1646" s="59"/>
      <c r="T1646" s="59"/>
      <c r="U1646" s="59"/>
      <c r="V1646" s="59"/>
      <c r="W1646" s="59"/>
      <c r="X1646" s="59"/>
      <c r="Y1646" s="59"/>
      <c r="Z1646" s="59"/>
    </row>
    <row r="1647" ht="27.75" customHeight="1">
      <c r="A1647" s="58"/>
      <c r="B1647" s="149"/>
      <c r="C1647" s="58"/>
      <c r="D1647" s="58"/>
      <c r="E1647" s="58"/>
      <c r="F1647" s="58"/>
      <c r="G1647" s="58"/>
      <c r="H1647" s="58"/>
      <c r="I1647" s="59"/>
      <c r="J1647" s="59"/>
      <c r="K1647" s="59"/>
      <c r="L1647" s="59"/>
      <c r="M1647" s="59"/>
      <c r="N1647" s="59"/>
      <c r="O1647" s="59"/>
      <c r="P1647" s="59"/>
      <c r="Q1647" s="59"/>
      <c r="R1647" s="59"/>
      <c r="S1647" s="59"/>
      <c r="T1647" s="59"/>
      <c r="U1647" s="59"/>
      <c r="V1647" s="59"/>
      <c r="W1647" s="59"/>
      <c r="X1647" s="59"/>
      <c r="Y1647" s="59"/>
      <c r="Z1647" s="59"/>
    </row>
    <row r="1648" ht="27.75" customHeight="1">
      <c r="A1648" s="58"/>
      <c r="B1648" s="149"/>
      <c r="C1648" s="58"/>
      <c r="D1648" s="58"/>
      <c r="E1648" s="58"/>
      <c r="F1648" s="58"/>
      <c r="G1648" s="58"/>
      <c r="H1648" s="58"/>
      <c r="I1648" s="59"/>
      <c r="J1648" s="59"/>
      <c r="K1648" s="59"/>
      <c r="L1648" s="59"/>
      <c r="M1648" s="59"/>
      <c r="N1648" s="59"/>
      <c r="O1648" s="59"/>
      <c r="P1648" s="59"/>
      <c r="Q1648" s="59"/>
      <c r="R1648" s="59"/>
      <c r="S1648" s="59"/>
      <c r="T1648" s="59"/>
      <c r="U1648" s="59"/>
      <c r="V1648" s="59"/>
      <c r="W1648" s="59"/>
      <c r="X1648" s="59"/>
      <c r="Y1648" s="59"/>
      <c r="Z1648" s="59"/>
    </row>
    <row r="1649" ht="27.75" customHeight="1">
      <c r="A1649" s="58"/>
      <c r="B1649" s="149"/>
      <c r="C1649" s="58"/>
      <c r="D1649" s="58"/>
      <c r="E1649" s="58"/>
      <c r="F1649" s="58"/>
      <c r="G1649" s="58"/>
      <c r="H1649" s="58"/>
      <c r="I1649" s="59"/>
      <c r="J1649" s="59"/>
      <c r="K1649" s="59"/>
      <c r="L1649" s="59"/>
      <c r="M1649" s="59"/>
      <c r="N1649" s="59"/>
      <c r="O1649" s="59"/>
      <c r="P1649" s="59"/>
      <c r="Q1649" s="59"/>
      <c r="R1649" s="59"/>
      <c r="S1649" s="59"/>
      <c r="T1649" s="59"/>
      <c r="U1649" s="59"/>
      <c r="V1649" s="59"/>
      <c r="W1649" s="59"/>
      <c r="X1649" s="59"/>
      <c r="Y1649" s="59"/>
      <c r="Z1649" s="59"/>
    </row>
    <row r="1650" ht="27.75" customHeight="1">
      <c r="A1650" s="58"/>
      <c r="B1650" s="149"/>
      <c r="C1650" s="58"/>
      <c r="D1650" s="58"/>
      <c r="E1650" s="58"/>
      <c r="F1650" s="58"/>
      <c r="G1650" s="58"/>
      <c r="H1650" s="58"/>
      <c r="I1650" s="59"/>
      <c r="J1650" s="59"/>
      <c r="K1650" s="59"/>
      <c r="L1650" s="59"/>
      <c r="M1650" s="59"/>
      <c r="N1650" s="59"/>
      <c r="O1650" s="59"/>
      <c r="P1650" s="59"/>
      <c r="Q1650" s="59"/>
      <c r="R1650" s="59"/>
      <c r="S1650" s="59"/>
      <c r="T1650" s="59"/>
      <c r="U1650" s="59"/>
      <c r="V1650" s="59"/>
      <c r="W1650" s="59"/>
      <c r="X1650" s="59"/>
      <c r="Y1650" s="59"/>
      <c r="Z1650" s="59"/>
    </row>
    <row r="1651" ht="27.75" customHeight="1">
      <c r="A1651" s="58"/>
      <c r="B1651" s="149"/>
      <c r="C1651" s="58"/>
      <c r="D1651" s="58"/>
      <c r="E1651" s="58"/>
      <c r="F1651" s="58"/>
      <c r="G1651" s="58"/>
      <c r="H1651" s="58"/>
      <c r="I1651" s="59"/>
      <c r="J1651" s="59"/>
      <c r="K1651" s="59"/>
      <c r="L1651" s="59"/>
      <c r="M1651" s="59"/>
      <c r="N1651" s="59"/>
      <c r="O1651" s="59"/>
      <c r="P1651" s="59"/>
      <c r="Q1651" s="59"/>
      <c r="R1651" s="59"/>
      <c r="S1651" s="59"/>
      <c r="T1651" s="59"/>
      <c r="U1651" s="59"/>
      <c r="V1651" s="59"/>
      <c r="W1651" s="59"/>
      <c r="X1651" s="59"/>
      <c r="Y1651" s="59"/>
      <c r="Z1651" s="59"/>
    </row>
    <row r="1652" ht="27.75" customHeight="1">
      <c r="A1652" s="58"/>
      <c r="B1652" s="149"/>
      <c r="C1652" s="58"/>
      <c r="D1652" s="58"/>
      <c r="E1652" s="58"/>
      <c r="F1652" s="58"/>
      <c r="G1652" s="58"/>
      <c r="H1652" s="58"/>
      <c r="I1652" s="59"/>
      <c r="J1652" s="59"/>
      <c r="K1652" s="59"/>
      <c r="L1652" s="59"/>
      <c r="M1652" s="59"/>
      <c r="N1652" s="59"/>
      <c r="O1652" s="59"/>
      <c r="P1652" s="59"/>
      <c r="Q1652" s="59"/>
      <c r="R1652" s="59"/>
      <c r="S1652" s="59"/>
      <c r="T1652" s="59"/>
      <c r="U1652" s="59"/>
      <c r="V1652" s="59"/>
      <c r="W1652" s="59"/>
      <c r="X1652" s="59"/>
      <c r="Y1652" s="59"/>
      <c r="Z1652" s="59"/>
    </row>
    <row r="1653" ht="27.75" customHeight="1">
      <c r="A1653" s="58"/>
      <c r="B1653" s="149"/>
      <c r="C1653" s="58"/>
      <c r="D1653" s="58"/>
      <c r="E1653" s="58"/>
      <c r="F1653" s="58"/>
      <c r="G1653" s="58"/>
      <c r="H1653" s="58"/>
      <c r="I1653" s="59"/>
      <c r="J1653" s="59"/>
      <c r="K1653" s="59"/>
      <c r="L1653" s="59"/>
      <c r="M1653" s="59"/>
      <c r="N1653" s="59"/>
      <c r="O1653" s="59"/>
      <c r="P1653" s="59"/>
      <c r="Q1653" s="59"/>
      <c r="R1653" s="59"/>
      <c r="S1653" s="59"/>
      <c r="T1653" s="59"/>
      <c r="U1653" s="59"/>
      <c r="V1653" s="59"/>
      <c r="W1653" s="59"/>
      <c r="X1653" s="59"/>
      <c r="Y1653" s="59"/>
      <c r="Z1653" s="59"/>
    </row>
    <row r="1654" ht="27.75" customHeight="1">
      <c r="A1654" s="58"/>
      <c r="B1654" s="149"/>
      <c r="C1654" s="58"/>
      <c r="D1654" s="58"/>
      <c r="E1654" s="58"/>
      <c r="F1654" s="58"/>
      <c r="G1654" s="58"/>
      <c r="H1654" s="58"/>
      <c r="I1654" s="59"/>
      <c r="J1654" s="59"/>
      <c r="K1654" s="59"/>
      <c r="L1654" s="59"/>
      <c r="M1654" s="59"/>
      <c r="N1654" s="59"/>
      <c r="O1654" s="59"/>
      <c r="P1654" s="59"/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</row>
    <row r="1655" ht="27.75" customHeight="1">
      <c r="A1655" s="58"/>
      <c r="B1655" s="149"/>
      <c r="C1655" s="58"/>
      <c r="D1655" s="58"/>
      <c r="E1655" s="58"/>
      <c r="F1655" s="58"/>
      <c r="G1655" s="58"/>
      <c r="H1655" s="58"/>
      <c r="I1655" s="59"/>
      <c r="J1655" s="59"/>
      <c r="K1655" s="59"/>
      <c r="L1655" s="59"/>
      <c r="M1655" s="59"/>
      <c r="N1655" s="59"/>
      <c r="O1655" s="59"/>
      <c r="P1655" s="59"/>
      <c r="Q1655" s="59"/>
      <c r="R1655" s="59"/>
      <c r="S1655" s="59"/>
      <c r="T1655" s="59"/>
      <c r="U1655" s="59"/>
      <c r="V1655" s="59"/>
      <c r="W1655" s="59"/>
      <c r="X1655" s="59"/>
      <c r="Y1655" s="59"/>
      <c r="Z1655" s="59"/>
    </row>
    <row r="1656" ht="27.75" customHeight="1">
      <c r="A1656" s="58"/>
      <c r="B1656" s="149"/>
      <c r="C1656" s="58"/>
      <c r="D1656" s="58"/>
      <c r="E1656" s="58"/>
      <c r="F1656" s="58"/>
      <c r="G1656" s="58"/>
      <c r="H1656" s="58"/>
      <c r="I1656" s="59"/>
      <c r="J1656" s="59"/>
      <c r="K1656" s="59"/>
      <c r="L1656" s="59"/>
      <c r="M1656" s="59"/>
      <c r="N1656" s="59"/>
      <c r="O1656" s="59"/>
      <c r="P1656" s="59"/>
      <c r="Q1656" s="59"/>
      <c r="R1656" s="59"/>
      <c r="S1656" s="59"/>
      <c r="T1656" s="59"/>
      <c r="U1656" s="59"/>
      <c r="V1656" s="59"/>
      <c r="W1656" s="59"/>
      <c r="X1656" s="59"/>
      <c r="Y1656" s="59"/>
      <c r="Z1656" s="59"/>
    </row>
    <row r="1657" ht="27.75" customHeight="1">
      <c r="A1657" s="58"/>
      <c r="B1657" s="149"/>
      <c r="C1657" s="58"/>
      <c r="D1657" s="58"/>
      <c r="E1657" s="58"/>
      <c r="F1657" s="58"/>
      <c r="G1657" s="58"/>
      <c r="H1657" s="58"/>
      <c r="I1657" s="59"/>
      <c r="J1657" s="59"/>
      <c r="K1657" s="59"/>
      <c r="L1657" s="59"/>
      <c r="M1657" s="59"/>
      <c r="N1657" s="59"/>
      <c r="O1657" s="59"/>
      <c r="P1657" s="59"/>
      <c r="Q1657" s="59"/>
      <c r="R1657" s="59"/>
      <c r="S1657" s="59"/>
      <c r="T1657" s="59"/>
      <c r="U1657" s="59"/>
      <c r="V1657" s="59"/>
      <c r="W1657" s="59"/>
      <c r="X1657" s="59"/>
      <c r="Y1657" s="59"/>
      <c r="Z1657" s="59"/>
    </row>
    <row r="1658" ht="27.75" customHeight="1">
      <c r="A1658" s="58"/>
      <c r="B1658" s="149"/>
      <c r="C1658" s="58"/>
      <c r="D1658" s="58"/>
      <c r="E1658" s="58"/>
      <c r="F1658" s="58"/>
      <c r="G1658" s="58"/>
      <c r="H1658" s="58"/>
      <c r="I1658" s="59"/>
      <c r="J1658" s="59"/>
      <c r="K1658" s="59"/>
      <c r="L1658" s="59"/>
      <c r="M1658" s="59"/>
      <c r="N1658" s="59"/>
      <c r="O1658" s="59"/>
      <c r="P1658" s="59"/>
      <c r="Q1658" s="59"/>
      <c r="R1658" s="59"/>
      <c r="S1658" s="59"/>
      <c r="T1658" s="59"/>
      <c r="U1658" s="59"/>
      <c r="V1658" s="59"/>
      <c r="W1658" s="59"/>
      <c r="X1658" s="59"/>
      <c r="Y1658" s="59"/>
      <c r="Z1658" s="59"/>
    </row>
    <row r="1659" ht="27.75" customHeight="1">
      <c r="A1659" s="58"/>
      <c r="B1659" s="149"/>
      <c r="C1659" s="58"/>
      <c r="D1659" s="58"/>
      <c r="E1659" s="58"/>
      <c r="F1659" s="58"/>
      <c r="G1659" s="58"/>
      <c r="H1659" s="58"/>
      <c r="I1659" s="59"/>
      <c r="J1659" s="59"/>
      <c r="K1659" s="59"/>
      <c r="L1659" s="59"/>
      <c r="M1659" s="59"/>
      <c r="N1659" s="59"/>
      <c r="O1659" s="59"/>
      <c r="P1659" s="59"/>
      <c r="Q1659" s="59"/>
      <c r="R1659" s="59"/>
      <c r="S1659" s="59"/>
      <c r="T1659" s="59"/>
      <c r="U1659" s="59"/>
      <c r="V1659" s="59"/>
      <c r="W1659" s="59"/>
      <c r="X1659" s="59"/>
      <c r="Y1659" s="59"/>
      <c r="Z1659" s="59"/>
    </row>
    <row r="1660" ht="27.75" customHeight="1">
      <c r="A1660" s="58"/>
      <c r="B1660" s="149"/>
      <c r="C1660" s="58"/>
      <c r="D1660" s="58"/>
      <c r="E1660" s="58"/>
      <c r="F1660" s="58"/>
      <c r="G1660" s="58"/>
      <c r="H1660" s="58"/>
      <c r="I1660" s="59"/>
      <c r="J1660" s="59"/>
      <c r="K1660" s="59"/>
      <c r="L1660" s="59"/>
      <c r="M1660" s="59"/>
      <c r="N1660" s="59"/>
      <c r="O1660" s="59"/>
      <c r="P1660" s="59"/>
      <c r="Q1660" s="59"/>
      <c r="R1660" s="59"/>
      <c r="S1660" s="59"/>
      <c r="T1660" s="59"/>
      <c r="U1660" s="59"/>
      <c r="V1660" s="59"/>
      <c r="W1660" s="59"/>
      <c r="X1660" s="59"/>
      <c r="Y1660" s="59"/>
      <c r="Z1660" s="59"/>
    </row>
    <row r="1661" ht="27.75" customHeight="1">
      <c r="A1661" s="58"/>
      <c r="B1661" s="149"/>
      <c r="C1661" s="58"/>
      <c r="D1661" s="58"/>
      <c r="E1661" s="58"/>
      <c r="F1661" s="58"/>
      <c r="G1661" s="58"/>
      <c r="H1661" s="58"/>
      <c r="I1661" s="59"/>
      <c r="J1661" s="59"/>
      <c r="K1661" s="59"/>
      <c r="L1661" s="59"/>
      <c r="M1661" s="59"/>
      <c r="N1661" s="59"/>
      <c r="O1661" s="59"/>
      <c r="P1661" s="59"/>
      <c r="Q1661" s="59"/>
      <c r="R1661" s="59"/>
      <c r="S1661" s="59"/>
      <c r="T1661" s="59"/>
      <c r="U1661" s="59"/>
      <c r="V1661" s="59"/>
      <c r="W1661" s="59"/>
      <c r="X1661" s="59"/>
      <c r="Y1661" s="59"/>
      <c r="Z1661" s="59"/>
    </row>
    <row r="1662" ht="27.75" customHeight="1">
      <c r="A1662" s="58"/>
      <c r="B1662" s="149"/>
      <c r="C1662" s="58"/>
      <c r="D1662" s="58"/>
      <c r="E1662" s="58"/>
      <c r="F1662" s="58"/>
      <c r="G1662" s="58"/>
      <c r="H1662" s="58"/>
      <c r="I1662" s="59"/>
      <c r="J1662" s="59"/>
      <c r="K1662" s="59"/>
      <c r="L1662" s="59"/>
      <c r="M1662" s="59"/>
      <c r="N1662" s="59"/>
      <c r="O1662" s="59"/>
      <c r="P1662" s="59"/>
      <c r="Q1662" s="59"/>
      <c r="R1662" s="59"/>
      <c r="S1662" s="59"/>
      <c r="T1662" s="59"/>
      <c r="U1662" s="59"/>
      <c r="V1662" s="59"/>
      <c r="W1662" s="59"/>
      <c r="X1662" s="59"/>
      <c r="Y1662" s="59"/>
      <c r="Z1662" s="59"/>
    </row>
    <row r="1663" ht="27.75" customHeight="1">
      <c r="A1663" s="58"/>
      <c r="B1663" s="149"/>
      <c r="C1663" s="58"/>
      <c r="D1663" s="58"/>
      <c r="E1663" s="58"/>
      <c r="F1663" s="58"/>
      <c r="G1663" s="58"/>
      <c r="H1663" s="58"/>
      <c r="I1663" s="59"/>
      <c r="J1663" s="59"/>
      <c r="K1663" s="59"/>
      <c r="L1663" s="59"/>
      <c r="M1663" s="59"/>
      <c r="N1663" s="59"/>
      <c r="O1663" s="59"/>
      <c r="P1663" s="59"/>
      <c r="Q1663" s="59"/>
      <c r="R1663" s="59"/>
      <c r="S1663" s="59"/>
      <c r="T1663" s="59"/>
      <c r="U1663" s="59"/>
      <c r="V1663" s="59"/>
      <c r="W1663" s="59"/>
      <c r="X1663" s="59"/>
      <c r="Y1663" s="59"/>
      <c r="Z1663" s="59"/>
    </row>
    <row r="1664" ht="27.75" customHeight="1">
      <c r="A1664" s="58"/>
      <c r="B1664" s="149"/>
      <c r="C1664" s="58"/>
      <c r="D1664" s="58"/>
      <c r="E1664" s="58"/>
      <c r="F1664" s="58"/>
      <c r="G1664" s="58"/>
      <c r="H1664" s="58"/>
      <c r="I1664" s="59"/>
      <c r="J1664" s="59"/>
      <c r="K1664" s="59"/>
      <c r="L1664" s="59"/>
      <c r="M1664" s="59"/>
      <c r="N1664" s="59"/>
      <c r="O1664" s="59"/>
      <c r="P1664" s="59"/>
      <c r="Q1664" s="59"/>
      <c r="R1664" s="59"/>
      <c r="S1664" s="59"/>
      <c r="T1664" s="59"/>
      <c r="U1664" s="59"/>
      <c r="V1664" s="59"/>
      <c r="W1664" s="59"/>
      <c r="X1664" s="59"/>
      <c r="Y1664" s="59"/>
      <c r="Z1664" s="59"/>
    </row>
    <row r="1665" ht="27.75" customHeight="1">
      <c r="A1665" s="58"/>
      <c r="B1665" s="149"/>
      <c r="C1665" s="58"/>
      <c r="D1665" s="58"/>
      <c r="E1665" s="58"/>
      <c r="F1665" s="58"/>
      <c r="G1665" s="58"/>
      <c r="H1665" s="58"/>
      <c r="I1665" s="59"/>
      <c r="J1665" s="59"/>
      <c r="K1665" s="59"/>
      <c r="L1665" s="59"/>
      <c r="M1665" s="59"/>
      <c r="N1665" s="59"/>
      <c r="O1665" s="59"/>
      <c r="P1665" s="59"/>
      <c r="Q1665" s="59"/>
      <c r="R1665" s="59"/>
      <c r="S1665" s="59"/>
      <c r="T1665" s="59"/>
      <c r="U1665" s="59"/>
      <c r="V1665" s="59"/>
      <c r="W1665" s="59"/>
      <c r="X1665" s="59"/>
      <c r="Y1665" s="59"/>
      <c r="Z1665" s="59"/>
    </row>
    <row r="1666" ht="27.75" customHeight="1">
      <c r="A1666" s="58"/>
      <c r="B1666" s="149"/>
      <c r="C1666" s="58"/>
      <c r="D1666" s="58"/>
      <c r="E1666" s="58"/>
      <c r="F1666" s="58"/>
      <c r="G1666" s="58"/>
      <c r="H1666" s="58"/>
      <c r="I1666" s="59"/>
      <c r="J1666" s="59"/>
      <c r="K1666" s="59"/>
      <c r="L1666" s="59"/>
      <c r="M1666" s="59"/>
      <c r="N1666" s="59"/>
      <c r="O1666" s="59"/>
      <c r="P1666" s="59"/>
      <c r="Q1666" s="59"/>
      <c r="R1666" s="59"/>
      <c r="S1666" s="59"/>
      <c r="T1666" s="59"/>
      <c r="U1666" s="59"/>
      <c r="V1666" s="59"/>
      <c r="W1666" s="59"/>
      <c r="X1666" s="59"/>
      <c r="Y1666" s="59"/>
      <c r="Z1666" s="59"/>
    </row>
    <row r="1667" ht="27.75" customHeight="1">
      <c r="A1667" s="58"/>
      <c r="B1667" s="149"/>
      <c r="C1667" s="58"/>
      <c r="D1667" s="58"/>
      <c r="E1667" s="58"/>
      <c r="F1667" s="58"/>
      <c r="G1667" s="58"/>
      <c r="H1667" s="58"/>
      <c r="I1667" s="59"/>
      <c r="J1667" s="59"/>
      <c r="K1667" s="59"/>
      <c r="L1667" s="59"/>
      <c r="M1667" s="59"/>
      <c r="N1667" s="59"/>
      <c r="O1667" s="59"/>
      <c r="P1667" s="59"/>
      <c r="Q1667" s="59"/>
      <c r="R1667" s="59"/>
      <c r="S1667" s="59"/>
      <c r="T1667" s="59"/>
      <c r="U1667" s="59"/>
      <c r="V1667" s="59"/>
      <c r="W1667" s="59"/>
      <c r="X1667" s="59"/>
      <c r="Y1667" s="59"/>
      <c r="Z1667" s="59"/>
    </row>
    <row r="1668" ht="27.75" customHeight="1">
      <c r="A1668" s="58"/>
      <c r="B1668" s="149"/>
      <c r="C1668" s="58"/>
      <c r="D1668" s="58"/>
      <c r="E1668" s="58"/>
      <c r="F1668" s="58"/>
      <c r="G1668" s="58"/>
      <c r="H1668" s="58"/>
      <c r="I1668" s="59"/>
      <c r="J1668" s="59"/>
      <c r="K1668" s="59"/>
      <c r="L1668" s="59"/>
      <c r="M1668" s="59"/>
      <c r="N1668" s="59"/>
      <c r="O1668" s="59"/>
      <c r="P1668" s="59"/>
      <c r="Q1668" s="59"/>
      <c r="R1668" s="59"/>
      <c r="S1668" s="59"/>
      <c r="T1668" s="59"/>
      <c r="U1668" s="59"/>
      <c r="V1668" s="59"/>
      <c r="W1668" s="59"/>
      <c r="X1668" s="59"/>
      <c r="Y1668" s="59"/>
      <c r="Z1668" s="59"/>
    </row>
    <row r="1669" ht="27.75" customHeight="1">
      <c r="A1669" s="58"/>
      <c r="B1669" s="149"/>
      <c r="C1669" s="58"/>
      <c r="D1669" s="58"/>
      <c r="E1669" s="58"/>
      <c r="F1669" s="58"/>
      <c r="G1669" s="58"/>
      <c r="H1669" s="58"/>
      <c r="I1669" s="59"/>
      <c r="J1669" s="59"/>
      <c r="K1669" s="59"/>
      <c r="L1669" s="59"/>
      <c r="M1669" s="59"/>
      <c r="N1669" s="59"/>
      <c r="O1669" s="59"/>
      <c r="P1669" s="59"/>
      <c r="Q1669" s="59"/>
      <c r="R1669" s="59"/>
      <c r="S1669" s="59"/>
      <c r="T1669" s="59"/>
      <c r="U1669" s="59"/>
      <c r="V1669" s="59"/>
      <c r="W1669" s="59"/>
      <c r="X1669" s="59"/>
      <c r="Y1669" s="59"/>
      <c r="Z1669" s="59"/>
    </row>
    <row r="1670" ht="27.75" customHeight="1">
      <c r="A1670" s="58"/>
      <c r="B1670" s="149"/>
      <c r="C1670" s="58"/>
      <c r="D1670" s="58"/>
      <c r="E1670" s="58"/>
      <c r="F1670" s="58"/>
      <c r="G1670" s="58"/>
      <c r="H1670" s="58"/>
      <c r="I1670" s="59"/>
      <c r="J1670" s="59"/>
      <c r="K1670" s="59"/>
      <c r="L1670" s="59"/>
      <c r="M1670" s="59"/>
      <c r="N1670" s="59"/>
      <c r="O1670" s="59"/>
      <c r="P1670" s="59"/>
      <c r="Q1670" s="59"/>
      <c r="R1670" s="59"/>
      <c r="S1670" s="59"/>
      <c r="T1670" s="59"/>
      <c r="U1670" s="59"/>
      <c r="V1670" s="59"/>
      <c r="W1670" s="59"/>
      <c r="X1670" s="59"/>
      <c r="Y1670" s="59"/>
      <c r="Z1670" s="59"/>
    </row>
    <row r="1671" ht="27.75" customHeight="1">
      <c r="A1671" s="58"/>
      <c r="B1671" s="149"/>
      <c r="C1671" s="58"/>
      <c r="D1671" s="58"/>
      <c r="E1671" s="58"/>
      <c r="F1671" s="58"/>
      <c r="G1671" s="58"/>
      <c r="H1671" s="58"/>
      <c r="I1671" s="59"/>
      <c r="J1671" s="59"/>
      <c r="K1671" s="59"/>
      <c r="L1671" s="59"/>
      <c r="M1671" s="59"/>
      <c r="N1671" s="59"/>
      <c r="O1671" s="59"/>
      <c r="P1671" s="59"/>
      <c r="Q1671" s="59"/>
      <c r="R1671" s="59"/>
      <c r="S1671" s="59"/>
      <c r="T1671" s="59"/>
      <c r="U1671" s="59"/>
      <c r="V1671" s="59"/>
      <c r="W1671" s="59"/>
      <c r="X1671" s="59"/>
      <c r="Y1671" s="59"/>
      <c r="Z1671" s="59"/>
    </row>
    <row r="1672" ht="27.75" customHeight="1">
      <c r="A1672" s="58"/>
      <c r="B1672" s="149"/>
      <c r="C1672" s="58"/>
      <c r="D1672" s="58"/>
      <c r="E1672" s="58"/>
      <c r="F1672" s="58"/>
      <c r="G1672" s="58"/>
      <c r="H1672" s="58"/>
      <c r="I1672" s="59"/>
      <c r="J1672" s="59"/>
      <c r="K1672" s="59"/>
      <c r="L1672" s="59"/>
      <c r="M1672" s="59"/>
      <c r="N1672" s="59"/>
      <c r="O1672" s="59"/>
      <c r="P1672" s="59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</row>
    <row r="1673" ht="27.75" customHeight="1">
      <c r="A1673" s="58"/>
      <c r="B1673" s="149"/>
      <c r="C1673" s="58"/>
      <c r="D1673" s="58"/>
      <c r="E1673" s="58"/>
      <c r="F1673" s="58"/>
      <c r="G1673" s="58"/>
      <c r="H1673" s="58"/>
      <c r="I1673" s="59"/>
      <c r="J1673" s="59"/>
      <c r="K1673" s="59"/>
      <c r="L1673" s="59"/>
      <c r="M1673" s="59"/>
      <c r="N1673" s="59"/>
      <c r="O1673" s="59"/>
      <c r="P1673" s="59"/>
      <c r="Q1673" s="59"/>
      <c r="R1673" s="59"/>
      <c r="S1673" s="59"/>
      <c r="T1673" s="59"/>
      <c r="U1673" s="59"/>
      <c r="V1673" s="59"/>
      <c r="W1673" s="59"/>
      <c r="X1673" s="59"/>
      <c r="Y1673" s="59"/>
      <c r="Z1673" s="59"/>
    </row>
    <row r="1674" ht="27.75" customHeight="1">
      <c r="A1674" s="58"/>
      <c r="B1674" s="149"/>
      <c r="C1674" s="58"/>
      <c r="D1674" s="58"/>
      <c r="E1674" s="58"/>
      <c r="F1674" s="58"/>
      <c r="G1674" s="58"/>
      <c r="H1674" s="58"/>
      <c r="I1674" s="59"/>
      <c r="J1674" s="59"/>
      <c r="K1674" s="59"/>
      <c r="L1674" s="59"/>
      <c r="M1674" s="59"/>
      <c r="N1674" s="59"/>
      <c r="O1674" s="59"/>
      <c r="P1674" s="59"/>
      <c r="Q1674" s="59"/>
      <c r="R1674" s="59"/>
      <c r="S1674" s="59"/>
      <c r="T1674" s="59"/>
      <c r="U1674" s="59"/>
      <c r="V1674" s="59"/>
      <c r="W1674" s="59"/>
      <c r="X1674" s="59"/>
      <c r="Y1674" s="59"/>
      <c r="Z1674" s="59"/>
    </row>
    <row r="1675" ht="27.75" customHeight="1">
      <c r="A1675" s="58"/>
      <c r="B1675" s="149"/>
      <c r="C1675" s="58"/>
      <c r="D1675" s="58"/>
      <c r="E1675" s="58"/>
      <c r="F1675" s="58"/>
      <c r="G1675" s="58"/>
      <c r="H1675" s="58"/>
      <c r="I1675" s="59"/>
      <c r="J1675" s="59"/>
      <c r="K1675" s="59"/>
      <c r="L1675" s="59"/>
      <c r="M1675" s="59"/>
      <c r="N1675" s="59"/>
      <c r="O1675" s="59"/>
      <c r="P1675" s="59"/>
      <c r="Q1675" s="59"/>
      <c r="R1675" s="59"/>
      <c r="S1675" s="59"/>
      <c r="T1675" s="59"/>
      <c r="U1675" s="59"/>
      <c r="V1675" s="59"/>
      <c r="W1675" s="59"/>
      <c r="X1675" s="59"/>
      <c r="Y1675" s="59"/>
      <c r="Z1675" s="59"/>
    </row>
    <row r="1676" ht="27.75" customHeight="1">
      <c r="A1676" s="58"/>
      <c r="B1676" s="149"/>
      <c r="C1676" s="58"/>
      <c r="D1676" s="58"/>
      <c r="E1676" s="58"/>
      <c r="F1676" s="58"/>
      <c r="G1676" s="58"/>
      <c r="H1676" s="58"/>
      <c r="I1676" s="59"/>
      <c r="J1676" s="59"/>
      <c r="K1676" s="59"/>
      <c r="L1676" s="59"/>
      <c r="M1676" s="59"/>
      <c r="N1676" s="59"/>
      <c r="O1676" s="59"/>
      <c r="P1676" s="59"/>
      <c r="Q1676" s="59"/>
      <c r="R1676" s="59"/>
      <c r="S1676" s="59"/>
      <c r="T1676" s="59"/>
      <c r="U1676" s="59"/>
      <c r="V1676" s="59"/>
      <c r="W1676" s="59"/>
      <c r="X1676" s="59"/>
      <c r="Y1676" s="59"/>
      <c r="Z1676" s="59"/>
    </row>
    <row r="1677" ht="27.75" customHeight="1">
      <c r="A1677" s="58"/>
      <c r="B1677" s="149"/>
      <c r="C1677" s="58"/>
      <c r="D1677" s="58"/>
      <c r="E1677" s="58"/>
      <c r="F1677" s="58"/>
      <c r="G1677" s="58"/>
      <c r="H1677" s="58"/>
      <c r="I1677" s="59"/>
      <c r="J1677" s="59"/>
      <c r="K1677" s="59"/>
      <c r="L1677" s="59"/>
      <c r="M1677" s="59"/>
      <c r="N1677" s="59"/>
      <c r="O1677" s="59"/>
      <c r="P1677" s="59"/>
      <c r="Q1677" s="59"/>
      <c r="R1677" s="59"/>
      <c r="S1677" s="59"/>
      <c r="T1677" s="59"/>
      <c r="U1677" s="59"/>
      <c r="V1677" s="59"/>
      <c r="W1677" s="59"/>
      <c r="X1677" s="59"/>
      <c r="Y1677" s="59"/>
      <c r="Z1677" s="59"/>
    </row>
    <row r="1678" ht="27.75" customHeight="1">
      <c r="A1678" s="58"/>
      <c r="B1678" s="149"/>
      <c r="C1678" s="58"/>
      <c r="D1678" s="58"/>
      <c r="E1678" s="58"/>
      <c r="F1678" s="58"/>
      <c r="G1678" s="58"/>
      <c r="H1678" s="58"/>
      <c r="I1678" s="59"/>
      <c r="J1678" s="59"/>
      <c r="K1678" s="59"/>
      <c r="L1678" s="59"/>
      <c r="M1678" s="59"/>
      <c r="N1678" s="59"/>
      <c r="O1678" s="59"/>
      <c r="P1678" s="59"/>
      <c r="Q1678" s="59"/>
      <c r="R1678" s="59"/>
      <c r="S1678" s="59"/>
      <c r="T1678" s="59"/>
      <c r="U1678" s="59"/>
      <c r="V1678" s="59"/>
      <c r="W1678" s="59"/>
      <c r="X1678" s="59"/>
      <c r="Y1678" s="59"/>
      <c r="Z1678" s="59"/>
    </row>
    <row r="1679" ht="27.75" customHeight="1">
      <c r="A1679" s="58"/>
      <c r="B1679" s="149"/>
      <c r="C1679" s="58"/>
      <c r="D1679" s="58"/>
      <c r="E1679" s="58"/>
      <c r="F1679" s="58"/>
      <c r="G1679" s="58"/>
      <c r="H1679" s="58"/>
      <c r="I1679" s="59"/>
      <c r="J1679" s="59"/>
      <c r="K1679" s="59"/>
      <c r="L1679" s="59"/>
      <c r="M1679" s="59"/>
      <c r="N1679" s="59"/>
      <c r="O1679" s="59"/>
      <c r="P1679" s="59"/>
      <c r="Q1679" s="59"/>
      <c r="R1679" s="59"/>
      <c r="S1679" s="59"/>
      <c r="T1679" s="59"/>
      <c r="U1679" s="59"/>
      <c r="V1679" s="59"/>
      <c r="W1679" s="59"/>
      <c r="X1679" s="59"/>
      <c r="Y1679" s="59"/>
      <c r="Z1679" s="59"/>
    </row>
    <row r="1680" ht="27.75" customHeight="1">
      <c r="A1680" s="58"/>
      <c r="B1680" s="149"/>
      <c r="C1680" s="58"/>
      <c r="D1680" s="58"/>
      <c r="E1680" s="58"/>
      <c r="F1680" s="58"/>
      <c r="G1680" s="58"/>
      <c r="H1680" s="58"/>
      <c r="I1680" s="59"/>
      <c r="J1680" s="59"/>
      <c r="K1680" s="59"/>
      <c r="L1680" s="59"/>
      <c r="M1680" s="59"/>
      <c r="N1680" s="59"/>
      <c r="O1680" s="59"/>
      <c r="P1680" s="59"/>
      <c r="Q1680" s="59"/>
      <c r="R1680" s="59"/>
      <c r="S1680" s="59"/>
      <c r="T1680" s="59"/>
      <c r="U1680" s="59"/>
      <c r="V1680" s="59"/>
      <c r="W1680" s="59"/>
      <c r="X1680" s="59"/>
      <c r="Y1680" s="59"/>
      <c r="Z1680" s="59"/>
    </row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14.71"/>
    <col customWidth="1" min="3" max="3" width="10.0"/>
    <col customWidth="1" min="4" max="4" width="14.29"/>
    <col customWidth="1" min="5" max="5" width="79.86"/>
    <col customWidth="1" min="6" max="6" width="44.14"/>
    <col customWidth="1" min="7" max="7" width="49.0"/>
    <col customWidth="1" hidden="1" min="8" max="8" width="8.86"/>
    <col customWidth="1" hidden="1" min="9" max="9" width="8.14"/>
    <col customWidth="1" hidden="1" min="10" max="10" width="10.57"/>
    <col customWidth="1" hidden="1" min="11" max="12" width="6.0"/>
    <col customWidth="1" hidden="1" min="13" max="13" width="4.71"/>
    <col customWidth="1" hidden="1" min="14" max="14" width="5.29"/>
    <col customWidth="1" hidden="1" min="15" max="15" width="7.14"/>
    <col customWidth="1" hidden="1" min="16" max="16" width="9.57"/>
    <col customWidth="1" hidden="1" min="17" max="17" width="9.0"/>
    <col customWidth="1" hidden="1" min="18" max="18" width="8.0"/>
  </cols>
  <sheetData>
    <row r="1" ht="26.25" customHeight="1">
      <c r="A1" s="158" t="s">
        <v>793</v>
      </c>
      <c r="H1" s="159"/>
      <c r="I1" s="159"/>
      <c r="J1" s="159"/>
      <c r="K1" s="159"/>
      <c r="L1" s="159"/>
      <c r="M1" s="159"/>
      <c r="N1" s="160"/>
      <c r="O1" s="160"/>
      <c r="P1" s="160"/>
      <c r="Q1" s="160"/>
      <c r="R1" s="160"/>
    </row>
    <row r="2" ht="26.25" customHeight="1">
      <c r="A2" s="56" t="s">
        <v>4</v>
      </c>
      <c r="B2" s="56" t="s">
        <v>5</v>
      </c>
      <c r="C2" s="56" t="s">
        <v>126</v>
      </c>
      <c r="D2" s="56" t="s">
        <v>6</v>
      </c>
      <c r="E2" s="56" t="s">
        <v>7</v>
      </c>
      <c r="F2" s="56" t="s">
        <v>127</v>
      </c>
      <c r="G2" s="57" t="s">
        <v>128</v>
      </c>
      <c r="H2" s="159"/>
      <c r="I2" s="159"/>
      <c r="J2" s="159"/>
      <c r="K2" s="159"/>
      <c r="L2" s="159"/>
      <c r="M2" s="159"/>
      <c r="N2" s="160"/>
      <c r="O2" s="160"/>
      <c r="P2" s="160"/>
      <c r="Q2" s="160"/>
      <c r="R2" s="160"/>
    </row>
    <row r="3" ht="26.25" customHeight="1">
      <c r="A3" s="60">
        <v>1.0</v>
      </c>
      <c r="B3" s="61">
        <v>46083.0</v>
      </c>
      <c r="C3" s="62" t="s">
        <v>149</v>
      </c>
      <c r="D3" s="63" t="s">
        <v>794</v>
      </c>
      <c r="E3" s="64" t="s">
        <v>795</v>
      </c>
      <c r="F3" s="65">
        <v>35.0</v>
      </c>
      <c r="G3" s="69"/>
      <c r="H3" s="159"/>
      <c r="I3" s="159"/>
      <c r="J3" s="159"/>
      <c r="K3" s="159"/>
      <c r="L3" s="159"/>
      <c r="M3" s="159"/>
      <c r="N3" s="160"/>
      <c r="O3" s="160"/>
      <c r="P3" s="160"/>
      <c r="Q3" s="160"/>
      <c r="R3" s="160"/>
    </row>
    <row r="4" ht="26.25" customHeight="1">
      <c r="A4" s="60">
        <v>2.0</v>
      </c>
      <c r="B4" s="66"/>
      <c r="C4" s="67"/>
      <c r="D4" s="63"/>
      <c r="E4" s="64" t="s">
        <v>796</v>
      </c>
      <c r="F4" s="65" t="s">
        <v>797</v>
      </c>
      <c r="G4" s="69"/>
      <c r="H4" s="159"/>
      <c r="I4" s="159"/>
      <c r="J4" s="159"/>
      <c r="K4" s="159"/>
      <c r="L4" s="159"/>
      <c r="M4" s="159"/>
      <c r="N4" s="160"/>
      <c r="O4" s="160"/>
      <c r="P4" s="160"/>
      <c r="Q4" s="160"/>
      <c r="R4" s="160"/>
    </row>
    <row r="5" ht="26.25" customHeight="1">
      <c r="A5" s="60">
        <v>3.0</v>
      </c>
      <c r="B5" s="66"/>
      <c r="C5" s="67"/>
      <c r="D5" s="63"/>
      <c r="E5" s="64" t="s">
        <v>65</v>
      </c>
      <c r="F5" s="65">
        <v>-200.0</v>
      </c>
      <c r="G5" s="69"/>
      <c r="H5" s="159"/>
      <c r="I5" s="159"/>
      <c r="J5" s="159"/>
      <c r="K5" s="159"/>
      <c r="L5" s="159"/>
      <c r="M5" s="159"/>
      <c r="N5" s="160"/>
      <c r="O5" s="160"/>
      <c r="P5" s="160"/>
      <c r="Q5" s="160"/>
      <c r="R5" s="160"/>
    </row>
    <row r="6" ht="26.25" customHeight="1">
      <c r="A6" s="60">
        <v>4.0</v>
      </c>
      <c r="B6" s="66"/>
      <c r="C6" s="67"/>
      <c r="D6" s="63"/>
      <c r="E6" s="64" t="s">
        <v>798</v>
      </c>
      <c r="F6" s="65">
        <v>600.0</v>
      </c>
      <c r="G6" s="69"/>
      <c r="H6" s="159"/>
      <c r="I6" s="159"/>
      <c r="J6" s="159"/>
      <c r="K6" s="159"/>
      <c r="L6" s="159"/>
      <c r="M6" s="159"/>
      <c r="N6" s="160"/>
      <c r="O6" s="160"/>
      <c r="P6" s="160"/>
      <c r="Q6" s="160"/>
      <c r="R6" s="160"/>
    </row>
    <row r="7" ht="26.25" customHeight="1">
      <c r="A7" s="60">
        <v>5.0</v>
      </c>
      <c r="B7" s="66"/>
      <c r="C7" s="67"/>
      <c r="D7" s="63"/>
      <c r="E7" s="64" t="s">
        <v>799</v>
      </c>
      <c r="F7" s="65">
        <f>35+70-200+600</f>
        <v>505</v>
      </c>
      <c r="G7" s="69"/>
      <c r="H7" s="159"/>
      <c r="I7" s="159"/>
      <c r="J7" s="159"/>
      <c r="K7" s="159"/>
      <c r="L7" s="159"/>
      <c r="M7" s="159"/>
      <c r="N7" s="160"/>
      <c r="O7" s="160"/>
      <c r="P7" s="160"/>
      <c r="Q7" s="160"/>
      <c r="R7" s="160"/>
    </row>
    <row r="8" ht="26.25" customHeight="1">
      <c r="A8" s="60">
        <v>6.0</v>
      </c>
      <c r="B8" s="66"/>
      <c r="C8" s="67"/>
      <c r="D8" s="63"/>
      <c r="E8" s="64" t="s">
        <v>578</v>
      </c>
      <c r="F8" s="65">
        <v>30.0</v>
      </c>
      <c r="G8" s="69"/>
      <c r="H8" s="159"/>
      <c r="I8" s="159"/>
      <c r="J8" s="159"/>
      <c r="K8" s="159"/>
      <c r="L8" s="159"/>
      <c r="M8" s="159"/>
      <c r="N8" s="160"/>
      <c r="O8" s="160"/>
      <c r="P8" s="160"/>
      <c r="Q8" s="160"/>
      <c r="R8" s="160"/>
    </row>
    <row r="9" ht="26.25" customHeight="1">
      <c r="A9" s="60">
        <v>7.0</v>
      </c>
      <c r="B9" s="66"/>
      <c r="C9" s="67"/>
      <c r="D9" s="63"/>
      <c r="E9" s="64" t="s">
        <v>234</v>
      </c>
      <c r="F9" s="65">
        <v>30.0</v>
      </c>
      <c r="G9" s="69"/>
      <c r="H9" s="159"/>
      <c r="I9" s="159"/>
      <c r="J9" s="159"/>
      <c r="K9" s="159"/>
      <c r="L9" s="159"/>
      <c r="M9" s="159"/>
      <c r="N9" s="160"/>
      <c r="O9" s="160"/>
      <c r="P9" s="160"/>
      <c r="Q9" s="160"/>
      <c r="R9" s="160"/>
    </row>
    <row r="10" ht="26.25" customHeight="1">
      <c r="A10" s="60">
        <v>8.0</v>
      </c>
      <c r="B10" s="66"/>
      <c r="C10" s="67"/>
      <c r="D10" s="63"/>
      <c r="E10" s="161" t="s">
        <v>800</v>
      </c>
      <c r="F10" s="162">
        <v>45.0</v>
      </c>
      <c r="G10" s="69"/>
      <c r="H10" s="159"/>
      <c r="I10" s="159"/>
      <c r="J10" s="159"/>
      <c r="K10" s="159"/>
      <c r="L10" s="159"/>
      <c r="M10" s="159"/>
      <c r="N10" s="160"/>
      <c r="O10" s="160"/>
      <c r="P10" s="160"/>
      <c r="Q10" s="160"/>
      <c r="R10" s="160"/>
    </row>
    <row r="11" ht="26.25" customHeight="1">
      <c r="A11" s="60">
        <v>9.0</v>
      </c>
      <c r="B11" s="66"/>
      <c r="C11" s="67"/>
      <c r="D11" s="163"/>
      <c r="E11" s="164" t="s">
        <v>799</v>
      </c>
      <c r="F11" s="164">
        <f>505-30-30+45</f>
        <v>490</v>
      </c>
      <c r="G11" s="165"/>
      <c r="H11" s="159"/>
      <c r="I11" s="159"/>
      <c r="J11" s="159"/>
      <c r="K11" s="159"/>
      <c r="L11" s="159"/>
      <c r="M11" s="159"/>
      <c r="N11" s="160"/>
      <c r="O11" s="160"/>
      <c r="P11" s="160"/>
      <c r="Q11" s="160"/>
      <c r="R11" s="160"/>
    </row>
    <row r="12" ht="26.25" customHeight="1">
      <c r="A12" s="60">
        <v>10.0</v>
      </c>
      <c r="B12" s="66"/>
      <c r="C12" s="67"/>
      <c r="D12" s="163"/>
      <c r="E12" s="164" t="s">
        <v>801</v>
      </c>
      <c r="F12" s="166">
        <v>200.0</v>
      </c>
      <c r="G12" s="167"/>
      <c r="H12" s="159"/>
      <c r="I12" s="159"/>
      <c r="J12" s="159"/>
      <c r="K12" s="159"/>
      <c r="L12" s="159"/>
      <c r="M12" s="159"/>
      <c r="N12" s="160"/>
      <c r="O12" s="160"/>
      <c r="P12" s="160"/>
      <c r="Q12" s="160"/>
      <c r="R12" s="160"/>
    </row>
    <row r="13" ht="26.25" customHeight="1">
      <c r="A13" s="60">
        <v>11.0</v>
      </c>
      <c r="B13" s="66"/>
      <c r="C13" s="67"/>
      <c r="D13" s="163"/>
      <c r="E13" s="164" t="s">
        <v>802</v>
      </c>
      <c r="F13" s="166">
        <v>290.0</v>
      </c>
      <c r="G13" s="165"/>
      <c r="H13" s="159"/>
      <c r="I13" s="159"/>
      <c r="J13" s="159"/>
      <c r="K13" s="159"/>
      <c r="L13" s="159"/>
      <c r="M13" s="159"/>
      <c r="N13" s="160"/>
      <c r="O13" s="160"/>
      <c r="P13" s="160"/>
      <c r="Q13" s="160"/>
      <c r="R13" s="160"/>
    </row>
    <row r="14" ht="26.25" customHeight="1">
      <c r="A14" s="60">
        <v>13.0</v>
      </c>
      <c r="B14" s="66"/>
      <c r="C14" s="67"/>
      <c r="D14" s="163"/>
      <c r="E14" s="164" t="s">
        <v>803</v>
      </c>
      <c r="F14" s="166">
        <v>35.0</v>
      </c>
      <c r="G14" s="165"/>
      <c r="H14" s="159"/>
      <c r="I14" s="159"/>
      <c r="J14" s="159"/>
      <c r="K14" s="159"/>
      <c r="L14" s="159"/>
      <c r="M14" s="159"/>
      <c r="N14" s="160"/>
      <c r="O14" s="160"/>
      <c r="P14" s="160"/>
      <c r="Q14" s="160"/>
      <c r="R14" s="160"/>
    </row>
    <row r="15" ht="26.25" customHeight="1">
      <c r="A15" s="60">
        <v>14.0</v>
      </c>
      <c r="B15" s="66"/>
      <c r="C15" s="67"/>
      <c r="D15" s="163"/>
      <c r="E15" s="164" t="s">
        <v>804</v>
      </c>
      <c r="F15" s="166">
        <v>35.0</v>
      </c>
      <c r="G15" s="165"/>
      <c r="H15" s="159"/>
      <c r="I15" s="159"/>
      <c r="J15" s="159"/>
      <c r="K15" s="159"/>
      <c r="L15" s="159"/>
      <c r="M15" s="159"/>
      <c r="N15" s="160"/>
      <c r="O15" s="160"/>
      <c r="P15" s="160"/>
      <c r="Q15" s="160"/>
      <c r="R15" s="160"/>
    </row>
    <row r="16" ht="26.25" customHeight="1">
      <c r="A16" s="71">
        <v>15.0</v>
      </c>
      <c r="B16" s="72"/>
      <c r="C16" s="73"/>
      <c r="D16" s="63"/>
      <c r="E16" s="168" t="s">
        <v>805</v>
      </c>
      <c r="F16" s="169">
        <f>35+70+45+70</f>
        <v>220</v>
      </c>
      <c r="G16" s="69"/>
      <c r="H16" s="159"/>
      <c r="I16" s="159"/>
      <c r="J16" s="159"/>
      <c r="K16" s="159"/>
      <c r="L16" s="159"/>
      <c r="M16" s="159"/>
      <c r="N16" s="160"/>
      <c r="O16" s="160"/>
      <c r="P16" s="160"/>
      <c r="Q16" s="160"/>
      <c r="R16" s="160"/>
    </row>
    <row r="17" ht="26.25" customHeight="1">
      <c r="A17" s="74"/>
      <c r="B17" s="75"/>
      <c r="C17" s="76"/>
      <c r="D17" s="76"/>
      <c r="E17" s="81" t="s">
        <v>204</v>
      </c>
      <c r="F17" s="78">
        <f>F16*75/100</f>
        <v>165</v>
      </c>
      <c r="G17" s="170" t="s">
        <v>806</v>
      </c>
      <c r="H17" s="159"/>
      <c r="I17" s="159"/>
      <c r="J17" s="159"/>
      <c r="K17" s="159"/>
      <c r="L17" s="159"/>
      <c r="M17" s="159"/>
      <c r="N17" s="160"/>
      <c r="O17" s="160"/>
      <c r="P17" s="160"/>
      <c r="Q17" s="160"/>
      <c r="R17" s="160"/>
    </row>
    <row r="18" ht="26.25" customHeight="1">
      <c r="A18" s="79"/>
      <c r="B18" s="75"/>
      <c r="C18" s="76"/>
      <c r="D18" s="76"/>
      <c r="E18" s="81"/>
      <c r="F18" s="78"/>
      <c r="G18" s="76"/>
      <c r="H18" s="159"/>
      <c r="I18" s="159"/>
      <c r="J18" s="159"/>
      <c r="K18" s="159"/>
      <c r="L18" s="159"/>
      <c r="M18" s="159"/>
      <c r="N18" s="160"/>
      <c r="O18" s="160"/>
      <c r="P18" s="160"/>
      <c r="Q18" s="160"/>
      <c r="R18" s="160"/>
    </row>
    <row r="19" ht="26.25" customHeight="1">
      <c r="A19" s="79"/>
      <c r="B19" s="75"/>
      <c r="C19" s="76"/>
      <c r="D19" s="76"/>
      <c r="E19" s="77"/>
      <c r="F19" s="78"/>
      <c r="G19" s="76"/>
      <c r="H19" s="159"/>
      <c r="I19" s="159"/>
      <c r="J19" s="159"/>
      <c r="K19" s="159"/>
      <c r="L19" s="159"/>
      <c r="M19" s="159"/>
      <c r="N19" s="160"/>
      <c r="O19" s="160"/>
      <c r="P19" s="160"/>
      <c r="Q19" s="160"/>
      <c r="R19" s="160"/>
    </row>
    <row r="20" ht="26.25" customHeight="1">
      <c r="A20" s="79"/>
      <c r="B20" s="75"/>
      <c r="C20" s="76"/>
      <c r="D20" s="76"/>
      <c r="E20" s="81"/>
      <c r="F20" s="78"/>
      <c r="G20" s="76"/>
      <c r="H20" s="159"/>
      <c r="I20" s="159"/>
      <c r="J20" s="159"/>
      <c r="K20" s="159"/>
      <c r="L20" s="159"/>
      <c r="M20" s="159"/>
      <c r="N20" s="160"/>
      <c r="O20" s="160"/>
      <c r="P20" s="160"/>
      <c r="Q20" s="160"/>
      <c r="R20" s="160"/>
    </row>
    <row r="21" ht="26.25" customHeight="1">
      <c r="A21" s="79"/>
      <c r="B21" s="75"/>
      <c r="C21" s="76"/>
      <c r="D21" s="76"/>
      <c r="E21" s="81"/>
      <c r="F21" s="78"/>
      <c r="G21" s="76"/>
      <c r="H21" s="159"/>
      <c r="I21" s="159"/>
      <c r="J21" s="159"/>
      <c r="K21" s="159"/>
      <c r="L21" s="159"/>
      <c r="M21" s="159"/>
      <c r="N21" s="160"/>
      <c r="O21" s="160"/>
      <c r="P21" s="160"/>
      <c r="Q21" s="160"/>
      <c r="R21" s="160"/>
    </row>
    <row r="22" ht="26.25" customHeight="1">
      <c r="A22" s="79"/>
      <c r="B22" s="79"/>
      <c r="C22" s="79"/>
      <c r="D22" s="79"/>
      <c r="E22" s="79"/>
      <c r="F22" s="79"/>
      <c r="G22" s="79"/>
      <c r="H22" s="159"/>
      <c r="I22" s="159"/>
      <c r="J22" s="159"/>
      <c r="K22" s="159"/>
      <c r="L22" s="159"/>
      <c r="M22" s="159"/>
      <c r="N22" s="160"/>
      <c r="O22" s="160"/>
      <c r="P22" s="160"/>
      <c r="Q22" s="160"/>
      <c r="R22" s="160"/>
    </row>
    <row r="23" ht="26.25" customHeight="1">
      <c r="A23" s="56" t="s">
        <v>4</v>
      </c>
      <c r="B23" s="56" t="s">
        <v>5</v>
      </c>
      <c r="C23" s="56" t="s">
        <v>126</v>
      </c>
      <c r="D23" s="56" t="s">
        <v>6</v>
      </c>
      <c r="E23" s="56" t="s">
        <v>7</v>
      </c>
      <c r="F23" s="56" t="s">
        <v>127</v>
      </c>
      <c r="G23" s="57" t="s">
        <v>128</v>
      </c>
      <c r="H23" s="171"/>
      <c r="I23" s="171"/>
      <c r="J23" s="171"/>
      <c r="K23" s="171"/>
      <c r="L23" s="171"/>
      <c r="M23" s="171"/>
      <c r="N23" s="172"/>
      <c r="O23" s="172"/>
      <c r="P23" s="172"/>
      <c r="Q23" s="172"/>
      <c r="R23" s="172"/>
    </row>
    <row r="24" ht="26.25" customHeight="1">
      <c r="A24" s="60">
        <v>1.0</v>
      </c>
      <c r="B24" s="61">
        <v>46084.0</v>
      </c>
      <c r="C24" s="62" t="s">
        <v>169</v>
      </c>
      <c r="D24" s="63" t="s">
        <v>794</v>
      </c>
      <c r="E24" s="64" t="s">
        <v>807</v>
      </c>
      <c r="F24" s="68" t="s">
        <v>808</v>
      </c>
      <c r="G24" s="69"/>
      <c r="H24" s="173"/>
      <c r="I24" s="173"/>
      <c r="J24" s="173"/>
      <c r="K24" s="173"/>
      <c r="L24" s="173"/>
      <c r="M24" s="173"/>
      <c r="N24" s="174"/>
      <c r="O24" s="174"/>
      <c r="P24" s="174"/>
      <c r="Q24" s="174"/>
      <c r="R24" s="174"/>
    </row>
    <row r="25" ht="26.25" customHeight="1">
      <c r="A25" s="60">
        <v>2.0</v>
      </c>
      <c r="B25" s="66"/>
      <c r="C25" s="67"/>
      <c r="D25" s="63"/>
      <c r="E25" s="64" t="s">
        <v>809</v>
      </c>
      <c r="F25" s="65">
        <v>50.0</v>
      </c>
      <c r="G25" s="69"/>
      <c r="H25" s="171"/>
      <c r="I25" s="171"/>
      <c r="J25" s="171"/>
      <c r="K25" s="171"/>
      <c r="L25" s="171"/>
      <c r="M25" s="171"/>
      <c r="N25" s="172"/>
      <c r="O25" s="172"/>
      <c r="P25" s="172"/>
      <c r="Q25" s="172"/>
      <c r="R25" s="172"/>
    </row>
    <row r="26" ht="26.25" customHeight="1">
      <c r="A26" s="60">
        <v>3.0</v>
      </c>
      <c r="B26" s="66"/>
      <c r="C26" s="67"/>
      <c r="D26" s="63"/>
      <c r="E26" s="64" t="s">
        <v>810</v>
      </c>
      <c r="F26" s="65">
        <v>50.0</v>
      </c>
      <c r="G26" s="69"/>
      <c r="H26" s="173"/>
      <c r="I26" s="173"/>
      <c r="J26" s="173"/>
      <c r="K26" s="173"/>
      <c r="L26" s="173"/>
      <c r="M26" s="173"/>
      <c r="N26" s="174"/>
      <c r="O26" s="174"/>
      <c r="P26" s="174"/>
      <c r="Q26" s="174"/>
      <c r="R26" s="174"/>
    </row>
    <row r="27" ht="26.25" customHeight="1">
      <c r="A27" s="60">
        <v>4.0</v>
      </c>
      <c r="B27" s="66"/>
      <c r="C27" s="67"/>
      <c r="D27" s="63"/>
      <c r="E27" s="64" t="s">
        <v>811</v>
      </c>
      <c r="F27" s="65" t="s">
        <v>812</v>
      </c>
      <c r="G27" s="69"/>
      <c r="H27" s="171"/>
      <c r="I27" s="171"/>
      <c r="J27" s="171"/>
      <c r="K27" s="171"/>
      <c r="L27" s="171"/>
      <c r="M27" s="171"/>
      <c r="N27" s="172"/>
      <c r="O27" s="172"/>
      <c r="P27" s="172"/>
      <c r="Q27" s="172"/>
      <c r="R27" s="172"/>
    </row>
    <row r="28" ht="26.25" customHeight="1">
      <c r="A28" s="60">
        <v>5.0</v>
      </c>
      <c r="B28" s="66"/>
      <c r="C28" s="67"/>
      <c r="D28" s="175">
        <v>35.0</v>
      </c>
      <c r="E28" s="64" t="s">
        <v>813</v>
      </c>
      <c r="F28" s="65">
        <v>-250.0</v>
      </c>
      <c r="G28" s="68" t="s">
        <v>814</v>
      </c>
      <c r="H28" s="173"/>
      <c r="I28" s="173"/>
      <c r="J28" s="173"/>
      <c r="K28" s="173"/>
      <c r="L28" s="173"/>
      <c r="M28" s="173"/>
      <c r="N28" s="174"/>
      <c r="O28" s="174"/>
      <c r="P28" s="174"/>
      <c r="Q28" s="174"/>
      <c r="R28" s="174"/>
    </row>
    <row r="29" ht="26.25" customHeight="1">
      <c r="A29" s="60">
        <v>6.0</v>
      </c>
      <c r="B29" s="66"/>
      <c r="C29" s="67"/>
      <c r="D29" s="175">
        <v>70.0</v>
      </c>
      <c r="E29" s="64" t="s">
        <v>815</v>
      </c>
      <c r="F29" s="176" t="s">
        <v>816</v>
      </c>
      <c r="G29" s="177"/>
      <c r="H29" s="171"/>
      <c r="I29" s="171"/>
      <c r="J29" s="171"/>
      <c r="K29" s="171"/>
      <c r="L29" s="171"/>
      <c r="M29" s="171"/>
      <c r="N29" s="172"/>
      <c r="O29" s="172"/>
      <c r="P29" s="172"/>
      <c r="Q29" s="172"/>
      <c r="R29" s="172"/>
    </row>
    <row r="30" ht="26.25" customHeight="1">
      <c r="A30" s="60">
        <v>7.0</v>
      </c>
      <c r="B30" s="66"/>
      <c r="C30" s="67"/>
      <c r="D30" s="175">
        <v>35.0</v>
      </c>
      <c r="E30" s="64" t="s">
        <v>817</v>
      </c>
      <c r="F30" s="68" t="s">
        <v>818</v>
      </c>
      <c r="G30" s="69"/>
      <c r="H30" s="173"/>
      <c r="I30" s="173"/>
      <c r="J30" s="173"/>
      <c r="K30" s="173"/>
      <c r="L30" s="173"/>
      <c r="M30" s="173"/>
      <c r="N30" s="174"/>
      <c r="O30" s="174"/>
      <c r="P30" s="174"/>
      <c r="Q30" s="174"/>
      <c r="R30" s="174"/>
    </row>
    <row r="31" ht="26.25" customHeight="1">
      <c r="A31" s="60">
        <v>8.0</v>
      </c>
      <c r="B31" s="66"/>
      <c r="C31" s="67"/>
      <c r="D31" s="175">
        <v>80.0</v>
      </c>
      <c r="E31" s="64" t="s">
        <v>36</v>
      </c>
      <c r="F31" s="68" t="s">
        <v>819</v>
      </c>
      <c r="G31" s="69"/>
      <c r="H31" s="171"/>
      <c r="I31" s="171"/>
      <c r="J31" s="171"/>
      <c r="K31" s="171"/>
      <c r="L31" s="171"/>
      <c r="M31" s="171"/>
      <c r="N31" s="172"/>
      <c r="O31" s="172"/>
      <c r="P31" s="172"/>
      <c r="Q31" s="172"/>
      <c r="R31" s="172"/>
    </row>
    <row r="32" ht="26.25" customHeight="1">
      <c r="A32" s="60">
        <v>9.0</v>
      </c>
      <c r="B32" s="66"/>
      <c r="C32" s="67"/>
      <c r="D32" s="63"/>
      <c r="E32" s="64"/>
      <c r="F32" s="68"/>
      <c r="G32" s="69"/>
      <c r="H32" s="173"/>
      <c r="I32" s="173"/>
      <c r="J32" s="173"/>
      <c r="K32" s="173"/>
      <c r="L32" s="173"/>
      <c r="M32" s="173"/>
      <c r="N32" s="174"/>
      <c r="O32" s="174"/>
      <c r="P32" s="174"/>
      <c r="Q32" s="174"/>
      <c r="R32" s="174"/>
    </row>
    <row r="33" ht="26.25" customHeight="1">
      <c r="A33" s="60">
        <v>10.0</v>
      </c>
      <c r="B33" s="66"/>
      <c r="C33" s="67"/>
      <c r="D33" s="63"/>
      <c r="E33" s="64" t="s">
        <v>234</v>
      </c>
      <c r="F33" s="65">
        <v>-20.0</v>
      </c>
      <c r="G33" s="69"/>
      <c r="H33" s="171"/>
      <c r="I33" s="171"/>
      <c r="J33" s="171"/>
      <c r="K33" s="171"/>
      <c r="L33" s="171"/>
      <c r="M33" s="171"/>
      <c r="N33" s="172"/>
      <c r="O33" s="172"/>
      <c r="P33" s="172"/>
      <c r="Q33" s="172"/>
      <c r="R33" s="172"/>
    </row>
    <row r="34" ht="26.25" customHeight="1">
      <c r="A34" s="60">
        <v>13.0</v>
      </c>
      <c r="B34" s="66"/>
      <c r="C34" s="67"/>
      <c r="D34" s="63"/>
      <c r="E34" s="64" t="s">
        <v>820</v>
      </c>
      <c r="F34" s="69">
        <f>490-330-140+50+50+550-250-490+305-20</f>
        <v>215</v>
      </c>
      <c r="G34" s="69"/>
      <c r="H34" s="173"/>
      <c r="I34" s="173"/>
      <c r="J34" s="173"/>
      <c r="K34" s="173"/>
      <c r="L34" s="173"/>
      <c r="M34" s="173"/>
      <c r="N34" s="174"/>
      <c r="O34" s="174"/>
      <c r="P34" s="174"/>
      <c r="Q34" s="174"/>
      <c r="R34" s="174"/>
    </row>
    <row r="35" ht="26.25" customHeight="1">
      <c r="A35" s="60">
        <v>14.0</v>
      </c>
      <c r="B35" s="66"/>
      <c r="C35" s="67"/>
      <c r="D35" s="63"/>
      <c r="E35" s="64" t="s">
        <v>801</v>
      </c>
      <c r="F35" s="65">
        <v>0.0</v>
      </c>
      <c r="G35" s="69"/>
      <c r="H35" s="171"/>
      <c r="I35" s="171"/>
      <c r="J35" s="171"/>
      <c r="K35" s="171"/>
      <c r="L35" s="171"/>
      <c r="M35" s="171"/>
      <c r="N35" s="172"/>
      <c r="O35" s="172"/>
      <c r="P35" s="172"/>
      <c r="Q35" s="172"/>
      <c r="R35" s="172"/>
    </row>
    <row r="36" ht="26.25" customHeight="1">
      <c r="A36" s="71">
        <v>15.0</v>
      </c>
      <c r="B36" s="72"/>
      <c r="C36" s="73"/>
      <c r="D36" s="63"/>
      <c r="E36" s="64" t="s">
        <v>821</v>
      </c>
      <c r="F36" s="65">
        <v>215.0</v>
      </c>
      <c r="G36" s="69"/>
      <c r="H36" s="173"/>
      <c r="I36" s="173"/>
      <c r="J36" s="173"/>
      <c r="K36" s="173"/>
      <c r="L36" s="173"/>
      <c r="M36" s="173"/>
      <c r="N36" s="174"/>
      <c r="O36" s="174"/>
      <c r="P36" s="174"/>
      <c r="Q36" s="174"/>
      <c r="R36" s="174"/>
    </row>
    <row r="37" ht="26.25" customHeight="1">
      <c r="A37" s="74"/>
      <c r="B37" s="75"/>
      <c r="C37" s="76"/>
      <c r="D37" s="76"/>
      <c r="E37" s="81" t="s">
        <v>822</v>
      </c>
      <c r="F37" s="86" t="s">
        <v>823</v>
      </c>
      <c r="G37" s="76"/>
      <c r="H37" s="171"/>
      <c r="I37" s="171"/>
      <c r="J37" s="171"/>
      <c r="K37" s="171"/>
      <c r="L37" s="171"/>
      <c r="M37" s="171"/>
      <c r="N37" s="172"/>
      <c r="O37" s="172"/>
      <c r="P37" s="172"/>
      <c r="Q37" s="172"/>
      <c r="R37" s="172"/>
    </row>
    <row r="38" ht="26.25" customHeight="1">
      <c r="A38" s="79"/>
      <c r="B38" s="75"/>
      <c r="C38" s="76"/>
      <c r="D38" s="76"/>
      <c r="E38" s="81" t="s">
        <v>824</v>
      </c>
      <c r="F38" s="86" t="s">
        <v>825</v>
      </c>
      <c r="G38" s="76"/>
      <c r="H38" s="173"/>
      <c r="I38" s="173"/>
      <c r="J38" s="173"/>
      <c r="K38" s="173"/>
      <c r="L38" s="173"/>
      <c r="M38" s="173"/>
      <c r="N38" s="174"/>
      <c r="O38" s="174"/>
      <c r="P38" s="174"/>
      <c r="Q38" s="174"/>
      <c r="R38" s="174"/>
    </row>
    <row r="39" ht="26.25" customHeight="1">
      <c r="A39" s="79"/>
      <c r="B39" s="75"/>
      <c r="C39" s="76"/>
      <c r="D39" s="76"/>
      <c r="E39" s="81" t="s">
        <v>826</v>
      </c>
      <c r="F39" s="78"/>
      <c r="G39" s="76"/>
      <c r="H39" s="171"/>
      <c r="I39" s="171"/>
      <c r="J39" s="171"/>
      <c r="K39" s="171"/>
      <c r="L39" s="171"/>
      <c r="M39" s="171"/>
      <c r="N39" s="172"/>
      <c r="O39" s="172"/>
      <c r="P39" s="172"/>
      <c r="Q39" s="172"/>
      <c r="R39" s="172"/>
    </row>
    <row r="40" ht="26.25" customHeight="1">
      <c r="A40" s="79"/>
      <c r="B40" s="75"/>
      <c r="C40" s="76"/>
      <c r="D40" s="76"/>
      <c r="E40" s="81" t="s">
        <v>827</v>
      </c>
      <c r="F40" s="86" t="s">
        <v>828</v>
      </c>
      <c r="G40" s="76"/>
      <c r="H40" s="173"/>
      <c r="I40" s="173"/>
      <c r="J40" s="173"/>
      <c r="K40" s="173"/>
      <c r="L40" s="173"/>
      <c r="M40" s="173"/>
      <c r="N40" s="174"/>
      <c r="O40" s="174"/>
      <c r="P40" s="174"/>
      <c r="Q40" s="174"/>
      <c r="R40" s="174"/>
    </row>
    <row r="41" ht="26.25" customHeight="1">
      <c r="A41" s="79"/>
      <c r="B41" s="75"/>
      <c r="C41" s="76"/>
      <c r="D41" s="76"/>
      <c r="E41" s="81" t="s">
        <v>829</v>
      </c>
      <c r="F41" s="78"/>
      <c r="G41" s="76"/>
      <c r="H41" s="171"/>
      <c r="I41" s="171"/>
      <c r="J41" s="171"/>
      <c r="K41" s="171"/>
      <c r="L41" s="171"/>
      <c r="M41" s="171"/>
      <c r="N41" s="172"/>
      <c r="O41" s="172"/>
      <c r="P41" s="172"/>
      <c r="Q41" s="172"/>
      <c r="R41" s="172"/>
    </row>
    <row r="42" ht="26.25" customHeight="1">
      <c r="A42" s="79"/>
      <c r="B42" s="79"/>
      <c r="C42" s="79"/>
      <c r="D42" s="79"/>
      <c r="E42" s="79"/>
      <c r="F42" s="79"/>
      <c r="G42" s="79"/>
      <c r="H42" s="173"/>
      <c r="I42" s="173"/>
      <c r="J42" s="173"/>
      <c r="K42" s="173"/>
      <c r="L42" s="173"/>
      <c r="M42" s="173"/>
      <c r="N42" s="174"/>
      <c r="O42" s="174"/>
      <c r="P42" s="174"/>
      <c r="Q42" s="174"/>
      <c r="R42" s="174"/>
    </row>
    <row r="43" ht="26.25" customHeight="1">
      <c r="A43" s="56" t="s">
        <v>4</v>
      </c>
      <c r="B43" s="56" t="s">
        <v>5</v>
      </c>
      <c r="C43" s="56" t="s">
        <v>126</v>
      </c>
      <c r="D43" s="56" t="s">
        <v>6</v>
      </c>
      <c r="E43" s="56" t="s">
        <v>7</v>
      </c>
      <c r="F43" s="56" t="s">
        <v>127</v>
      </c>
      <c r="G43" s="57" t="s">
        <v>128</v>
      </c>
      <c r="H43" s="171"/>
      <c r="I43" s="171"/>
      <c r="J43" s="171"/>
      <c r="K43" s="171"/>
      <c r="L43" s="171"/>
      <c r="M43" s="171"/>
      <c r="N43" s="172"/>
      <c r="O43" s="172"/>
      <c r="P43" s="172"/>
      <c r="Q43" s="172"/>
      <c r="R43" s="172"/>
    </row>
    <row r="44" ht="26.25" customHeight="1">
      <c r="A44" s="60">
        <v>1.0</v>
      </c>
      <c r="B44" s="61">
        <v>46085.0</v>
      </c>
      <c r="C44" s="62" t="s">
        <v>299</v>
      </c>
      <c r="D44" s="63" t="s">
        <v>794</v>
      </c>
      <c r="E44" s="64" t="s">
        <v>829</v>
      </c>
      <c r="F44" s="68"/>
      <c r="G44" s="69"/>
      <c r="H44" s="173"/>
      <c r="I44" s="173"/>
      <c r="J44" s="173"/>
      <c r="K44" s="173"/>
      <c r="L44" s="173"/>
      <c r="M44" s="173"/>
      <c r="N44" s="174"/>
      <c r="O44" s="174"/>
      <c r="P44" s="174"/>
      <c r="Q44" s="174"/>
      <c r="R44" s="174"/>
    </row>
    <row r="45" ht="26.25" customHeight="1">
      <c r="A45" s="60">
        <v>2.0</v>
      </c>
      <c r="B45" s="66"/>
      <c r="C45" s="67"/>
      <c r="D45" s="63" t="s">
        <v>794</v>
      </c>
      <c r="E45" s="64"/>
      <c r="F45" s="65"/>
      <c r="G45" s="69"/>
      <c r="H45" s="171"/>
      <c r="I45" s="171"/>
      <c r="J45" s="171"/>
      <c r="K45" s="171"/>
      <c r="L45" s="171"/>
      <c r="M45" s="171"/>
      <c r="N45" s="172"/>
      <c r="O45" s="172"/>
      <c r="P45" s="172"/>
      <c r="Q45" s="172"/>
      <c r="R45" s="172"/>
    </row>
    <row r="46" ht="26.25" customHeight="1">
      <c r="A46" s="60">
        <v>3.0</v>
      </c>
      <c r="B46" s="66"/>
      <c r="C46" s="67"/>
      <c r="D46" s="63" t="s">
        <v>794</v>
      </c>
      <c r="E46" s="64"/>
      <c r="F46" s="65"/>
      <c r="G46" s="69"/>
      <c r="H46" s="173"/>
      <c r="I46" s="173"/>
      <c r="J46" s="173"/>
      <c r="K46" s="173"/>
      <c r="L46" s="173"/>
      <c r="M46" s="173"/>
      <c r="N46" s="174"/>
      <c r="O46" s="174"/>
      <c r="P46" s="174"/>
      <c r="Q46" s="174"/>
      <c r="R46" s="174"/>
    </row>
    <row r="47" ht="26.25" customHeight="1">
      <c r="A47" s="60">
        <v>4.0</v>
      </c>
      <c r="B47" s="66"/>
      <c r="C47" s="67"/>
      <c r="D47" s="63" t="s">
        <v>794</v>
      </c>
      <c r="E47" s="64"/>
      <c r="F47" s="65"/>
      <c r="G47" s="69"/>
      <c r="H47" s="171"/>
      <c r="I47" s="171"/>
      <c r="J47" s="171"/>
      <c r="K47" s="171"/>
      <c r="L47" s="171"/>
      <c r="M47" s="171"/>
      <c r="N47" s="172"/>
      <c r="O47" s="172"/>
      <c r="P47" s="172"/>
      <c r="Q47" s="172"/>
      <c r="R47" s="172"/>
    </row>
    <row r="48" ht="26.25" customHeight="1">
      <c r="A48" s="60">
        <v>5.0</v>
      </c>
      <c r="B48" s="66"/>
      <c r="C48" s="67"/>
      <c r="D48" s="63" t="s">
        <v>794</v>
      </c>
      <c r="E48" s="64" t="s">
        <v>830</v>
      </c>
      <c r="F48" s="65"/>
      <c r="G48" s="68"/>
      <c r="H48" s="173"/>
      <c r="I48" s="173"/>
      <c r="J48" s="173"/>
      <c r="K48" s="173"/>
      <c r="L48" s="173"/>
      <c r="M48" s="173"/>
      <c r="N48" s="174"/>
      <c r="O48" s="174"/>
      <c r="P48" s="174"/>
      <c r="Q48" s="174"/>
      <c r="R48" s="174"/>
    </row>
    <row r="49" ht="26.25" customHeight="1">
      <c r="A49" s="60">
        <v>6.0</v>
      </c>
      <c r="B49" s="66"/>
      <c r="C49" s="67"/>
      <c r="D49" s="63" t="s">
        <v>794</v>
      </c>
      <c r="E49" s="64" t="s">
        <v>831</v>
      </c>
      <c r="F49" s="176"/>
      <c r="G49" s="177"/>
      <c r="H49" s="171"/>
      <c r="I49" s="171"/>
      <c r="J49" s="171"/>
      <c r="K49" s="171"/>
      <c r="L49" s="171"/>
      <c r="M49" s="171"/>
      <c r="N49" s="172"/>
      <c r="O49" s="172"/>
      <c r="P49" s="172"/>
      <c r="Q49" s="172"/>
      <c r="R49" s="172"/>
    </row>
    <row r="50" ht="26.25" customHeight="1">
      <c r="A50" s="60">
        <v>7.0</v>
      </c>
      <c r="B50" s="66"/>
      <c r="C50" s="67"/>
      <c r="D50" s="63"/>
      <c r="E50" s="64"/>
      <c r="F50" s="68"/>
      <c r="G50" s="69"/>
      <c r="H50" s="173"/>
      <c r="I50" s="173"/>
      <c r="J50" s="173"/>
      <c r="K50" s="173"/>
      <c r="L50" s="173"/>
      <c r="M50" s="173"/>
      <c r="N50" s="174"/>
      <c r="O50" s="174"/>
      <c r="P50" s="174"/>
      <c r="Q50" s="174"/>
      <c r="R50" s="174"/>
    </row>
    <row r="51" ht="26.25" customHeight="1">
      <c r="A51" s="60">
        <v>8.0</v>
      </c>
      <c r="B51" s="66"/>
      <c r="C51" s="67"/>
      <c r="D51" s="63"/>
      <c r="E51" s="64"/>
      <c r="F51" s="68"/>
      <c r="G51" s="69"/>
      <c r="H51" s="171"/>
      <c r="I51" s="171"/>
      <c r="J51" s="171"/>
      <c r="K51" s="171"/>
      <c r="L51" s="171"/>
      <c r="M51" s="171"/>
      <c r="N51" s="172"/>
      <c r="O51" s="172"/>
      <c r="P51" s="172"/>
      <c r="Q51" s="172"/>
      <c r="R51" s="172"/>
    </row>
    <row r="52" ht="26.25" customHeight="1">
      <c r="A52" s="60">
        <v>9.0</v>
      </c>
      <c r="B52" s="66"/>
      <c r="C52" s="67"/>
      <c r="D52" s="63"/>
      <c r="E52" s="64" t="s">
        <v>832</v>
      </c>
      <c r="F52" s="68"/>
      <c r="G52" s="69"/>
      <c r="H52" s="173"/>
      <c r="I52" s="173"/>
      <c r="J52" s="173"/>
      <c r="K52" s="173"/>
      <c r="L52" s="173"/>
      <c r="M52" s="173"/>
      <c r="N52" s="174"/>
      <c r="O52" s="174"/>
      <c r="P52" s="174"/>
      <c r="Q52" s="174"/>
      <c r="R52" s="174"/>
    </row>
    <row r="53" ht="26.25" customHeight="1">
      <c r="A53" s="74"/>
      <c r="B53" s="75"/>
      <c r="C53" s="76"/>
      <c r="D53" s="76"/>
      <c r="E53" s="81"/>
      <c r="F53" s="86"/>
      <c r="G53" s="76"/>
      <c r="H53" s="171"/>
      <c r="I53" s="171"/>
      <c r="J53" s="171"/>
      <c r="K53" s="171"/>
      <c r="L53" s="171"/>
      <c r="M53" s="171"/>
      <c r="N53" s="172"/>
      <c r="O53" s="172"/>
      <c r="P53" s="172"/>
      <c r="Q53" s="172"/>
      <c r="R53" s="172"/>
    </row>
    <row r="54" ht="26.25" customHeight="1">
      <c r="A54" s="79"/>
      <c r="B54" s="75"/>
      <c r="C54" s="76"/>
      <c r="D54" s="76"/>
      <c r="E54" s="81"/>
      <c r="F54" s="86"/>
      <c r="G54" s="76"/>
      <c r="H54" s="173"/>
      <c r="I54" s="173"/>
      <c r="J54" s="173"/>
      <c r="K54" s="173"/>
      <c r="L54" s="173"/>
      <c r="M54" s="173"/>
      <c r="N54" s="174"/>
      <c r="O54" s="174"/>
      <c r="P54" s="174"/>
      <c r="Q54" s="174"/>
      <c r="R54" s="174"/>
    </row>
    <row r="55" ht="26.25" customHeight="1">
      <c r="A55" s="79"/>
      <c r="B55" s="75"/>
      <c r="C55" s="76"/>
      <c r="D55" s="76"/>
      <c r="E55" s="81"/>
      <c r="F55" s="78"/>
      <c r="G55" s="76"/>
      <c r="H55" s="171"/>
      <c r="I55" s="171"/>
      <c r="J55" s="171"/>
      <c r="K55" s="171"/>
      <c r="L55" s="171"/>
      <c r="M55" s="171"/>
      <c r="N55" s="172"/>
      <c r="O55" s="172"/>
      <c r="P55" s="172"/>
      <c r="Q55" s="172"/>
      <c r="R55" s="172"/>
    </row>
    <row r="56" ht="26.25" customHeight="1">
      <c r="A56" s="89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</row>
    <row r="57" ht="26.25" customHeight="1">
      <c r="A57" s="56" t="s">
        <v>4</v>
      </c>
      <c r="B57" s="56" t="s">
        <v>5</v>
      </c>
      <c r="C57" s="56" t="s">
        <v>126</v>
      </c>
      <c r="D57" s="56" t="s">
        <v>6</v>
      </c>
      <c r="E57" s="56" t="s">
        <v>7</v>
      </c>
      <c r="F57" s="56" t="s">
        <v>127</v>
      </c>
      <c r="G57" s="57" t="s">
        <v>128</v>
      </c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ht="26.25" customHeight="1">
      <c r="A58" s="60">
        <v>1.0</v>
      </c>
      <c r="B58" s="61"/>
      <c r="C58" s="62"/>
      <c r="D58" s="63"/>
      <c r="E58" s="64"/>
      <c r="F58" s="68"/>
      <c r="G58" s="69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</row>
    <row r="59" ht="26.25" customHeight="1">
      <c r="A59" s="74"/>
      <c r="B59" s="75"/>
      <c r="C59" s="76"/>
      <c r="D59" s="76"/>
      <c r="E59" s="81"/>
      <c r="F59" s="86"/>
      <c r="G59" s="76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ht="26.25" customHeight="1">
      <c r="A60" s="178" t="s">
        <v>4</v>
      </c>
      <c r="B60" s="178" t="s">
        <v>5</v>
      </c>
      <c r="C60" s="178" t="s">
        <v>126</v>
      </c>
      <c r="D60" s="178" t="s">
        <v>6</v>
      </c>
      <c r="E60" s="178" t="s">
        <v>7</v>
      </c>
      <c r="F60" s="178" t="s">
        <v>127</v>
      </c>
      <c r="G60" s="179" t="s">
        <v>128</v>
      </c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</row>
    <row r="61" ht="26.25" customHeight="1">
      <c r="A61" s="131">
        <v>1.0</v>
      </c>
      <c r="B61" s="105">
        <v>46091.0</v>
      </c>
      <c r="C61" s="180" t="s">
        <v>169</v>
      </c>
      <c r="D61" s="107" t="s">
        <v>833</v>
      </c>
      <c r="E61" s="107" t="s">
        <v>140</v>
      </c>
      <c r="F61" s="111" t="s">
        <v>834</v>
      </c>
      <c r="G61" s="109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</row>
    <row r="62" ht="26.25" customHeight="1">
      <c r="A62" s="100">
        <v>2.0</v>
      </c>
      <c r="B62" s="120"/>
      <c r="C62" s="181"/>
      <c r="D62" s="107"/>
      <c r="E62" s="107" t="s">
        <v>140</v>
      </c>
      <c r="F62" s="111" t="s">
        <v>835</v>
      </c>
      <c r="G62" s="109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</row>
    <row r="63" ht="26.25" customHeight="1">
      <c r="A63" s="131">
        <v>3.0</v>
      </c>
      <c r="B63" s="120"/>
      <c r="C63" s="181"/>
      <c r="D63" s="107"/>
      <c r="E63" s="107" t="s">
        <v>796</v>
      </c>
      <c r="F63" s="108">
        <v>35.0</v>
      </c>
      <c r="G63" s="111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ht="26.25" customHeight="1">
      <c r="A64" s="100">
        <v>4.0</v>
      </c>
      <c r="B64" s="120"/>
      <c r="C64" s="181"/>
      <c r="D64" s="107"/>
      <c r="E64" s="107" t="s">
        <v>836</v>
      </c>
      <c r="F64" s="108">
        <v>70.0</v>
      </c>
      <c r="G64" s="109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</row>
    <row r="65" ht="26.25" customHeight="1">
      <c r="A65" s="131">
        <v>5.0</v>
      </c>
      <c r="B65" s="120"/>
      <c r="C65" s="181"/>
      <c r="D65" s="107"/>
      <c r="E65" s="107" t="s">
        <v>837</v>
      </c>
      <c r="F65" s="108" t="s">
        <v>838</v>
      </c>
      <c r="G65" s="109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</row>
    <row r="66" ht="26.25" customHeight="1">
      <c r="A66" s="100">
        <v>6.0</v>
      </c>
      <c r="B66" s="120"/>
      <c r="C66" s="181"/>
      <c r="D66" s="107"/>
      <c r="E66" s="107" t="s">
        <v>839</v>
      </c>
      <c r="F66" s="111" t="s">
        <v>840</v>
      </c>
      <c r="G66" s="109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</row>
    <row r="67" ht="26.25" customHeight="1">
      <c r="A67" s="131">
        <v>7.0</v>
      </c>
      <c r="B67" s="120"/>
      <c r="C67" s="180"/>
      <c r="D67" s="107"/>
      <c r="E67" s="107"/>
      <c r="F67" s="108"/>
      <c r="G67" s="109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ht="26.25" customHeight="1">
      <c r="A68" s="100">
        <v>8.0</v>
      </c>
      <c r="B68" s="120"/>
      <c r="C68" s="181"/>
      <c r="D68" s="107"/>
      <c r="E68" s="107" t="s">
        <v>841</v>
      </c>
      <c r="F68" s="111" t="s">
        <v>842</v>
      </c>
      <c r="G68" s="111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</row>
    <row r="69" ht="26.25" customHeight="1">
      <c r="A69" s="131">
        <v>9.0</v>
      </c>
      <c r="B69" s="120"/>
      <c r="C69" s="181"/>
      <c r="D69" s="107"/>
      <c r="E69" s="107"/>
      <c r="F69" s="108"/>
      <c r="G69" s="109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</row>
    <row r="70" ht="26.25" customHeight="1">
      <c r="A70" s="182"/>
      <c r="B70" s="113"/>
      <c r="C70" s="183"/>
      <c r="D70" s="183"/>
      <c r="E70" s="99" t="s">
        <v>144</v>
      </c>
      <c r="F70" s="100">
        <v>400.0</v>
      </c>
      <c r="G70" s="183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</row>
    <row r="71" ht="26.25" customHeight="1">
      <c r="A71" s="184"/>
      <c r="B71" s="113"/>
      <c r="C71" s="183"/>
      <c r="D71" s="183"/>
      <c r="E71" s="99" t="s">
        <v>145</v>
      </c>
      <c r="F71" s="100">
        <f>400+35+70+300+35+150+35+135+35</f>
        <v>1195</v>
      </c>
      <c r="G71" s="183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</row>
    <row r="72" ht="26.25" customHeight="1">
      <c r="A72" s="184"/>
      <c r="B72" s="113"/>
      <c r="C72" s="183"/>
      <c r="D72" s="183"/>
      <c r="E72" s="99" t="s">
        <v>146</v>
      </c>
      <c r="F72" s="100">
        <f>150+35+35+70+105+35+70</f>
        <v>500</v>
      </c>
      <c r="G72" s="183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</row>
    <row r="73" ht="26.25" customHeight="1">
      <c r="A73" s="184"/>
      <c r="B73" s="113"/>
      <c r="C73" s="183"/>
      <c r="D73" s="183"/>
      <c r="E73" s="99" t="s">
        <v>147</v>
      </c>
      <c r="F73" s="100">
        <f>500*75/100</f>
        <v>375</v>
      </c>
      <c r="G73" s="183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ht="26.25" customHeight="1">
      <c r="A74" s="184"/>
      <c r="B74" s="113"/>
      <c r="C74" s="183"/>
      <c r="D74" s="183"/>
      <c r="E74" s="99" t="s">
        <v>148</v>
      </c>
      <c r="F74" s="100">
        <f>F71-F73</f>
        <v>820</v>
      </c>
      <c r="G74" s="185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</row>
    <row r="75" ht="26.25" customHeight="1">
      <c r="A75" s="186"/>
      <c r="B75" s="187"/>
      <c r="C75" s="188"/>
      <c r="D75" s="188"/>
      <c r="E75" s="189"/>
      <c r="F75" s="190"/>
      <c r="G75" s="191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</row>
    <row r="76" ht="26.25" customHeight="1">
      <c r="A76" s="192"/>
      <c r="B76" s="192"/>
      <c r="C76" s="193"/>
      <c r="D76" s="193"/>
      <c r="E76" s="189" t="s">
        <v>843</v>
      </c>
      <c r="F76" s="194">
        <f>F75+815</f>
        <v>815</v>
      </c>
      <c r="G76" s="195" t="s">
        <v>844</v>
      </c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</row>
    <row r="77" ht="26.25" customHeight="1">
      <c r="A77" s="178" t="s">
        <v>4</v>
      </c>
      <c r="B77" s="178" t="s">
        <v>5</v>
      </c>
      <c r="C77" s="178" t="s">
        <v>126</v>
      </c>
      <c r="D77" s="178" t="s">
        <v>6</v>
      </c>
      <c r="E77" s="178" t="s">
        <v>7</v>
      </c>
      <c r="F77" s="178" t="s">
        <v>127</v>
      </c>
      <c r="G77" s="179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</row>
    <row r="78" ht="26.25" customHeight="1">
      <c r="A78" s="131">
        <v>1.0</v>
      </c>
      <c r="B78" s="105">
        <v>46092.0</v>
      </c>
      <c r="C78" s="180" t="s">
        <v>299</v>
      </c>
      <c r="D78" s="107"/>
      <c r="E78" s="107" t="s">
        <v>845</v>
      </c>
      <c r="F78" s="111" t="s">
        <v>846</v>
      </c>
      <c r="G78" s="111" t="s">
        <v>847</v>
      </c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ht="26.25" customHeight="1">
      <c r="A79" s="131">
        <v>2.0</v>
      </c>
      <c r="B79" s="120"/>
      <c r="C79" s="181"/>
      <c r="D79" s="107"/>
      <c r="E79" s="107" t="s">
        <v>848</v>
      </c>
      <c r="F79" s="108">
        <v>6.0</v>
      </c>
      <c r="G79" s="109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</row>
    <row r="80" ht="26.25" customHeight="1">
      <c r="A80" s="182"/>
      <c r="B80" s="113"/>
      <c r="C80" s="183"/>
      <c r="D80" s="183"/>
      <c r="E80" s="99" t="s">
        <v>144</v>
      </c>
      <c r="F80" s="100">
        <v>1500.0</v>
      </c>
      <c r="G80" s="183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</row>
    <row r="81" ht="26.25" customHeight="1">
      <c r="A81" s="184"/>
      <c r="B81" s="113"/>
      <c r="C81" s="183"/>
      <c r="D81" s="183"/>
      <c r="E81" s="99" t="s">
        <v>145</v>
      </c>
      <c r="F81" s="100"/>
      <c r="G81" s="183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ht="26.25" customHeight="1">
      <c r="A82" s="184"/>
      <c r="B82" s="113"/>
      <c r="C82" s="183"/>
      <c r="D82" s="183"/>
      <c r="E82" s="99" t="s">
        <v>849</v>
      </c>
      <c r="F82" s="100">
        <v>280.0</v>
      </c>
      <c r="G82" s="183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</row>
    <row r="83" ht="26.25" customHeight="1">
      <c r="A83" s="184"/>
      <c r="B83" s="113"/>
      <c r="C83" s="183"/>
      <c r="D83" s="183"/>
      <c r="E83" s="99" t="s">
        <v>147</v>
      </c>
      <c r="F83" s="100">
        <v>210.0</v>
      </c>
      <c r="G83" s="183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ht="26.25" customHeight="1">
      <c r="A84" s="184"/>
      <c r="B84" s="113"/>
      <c r="C84" s="183"/>
      <c r="D84" s="183"/>
      <c r="E84" s="99" t="s">
        <v>148</v>
      </c>
      <c r="F84" s="126"/>
      <c r="G84" s="183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</row>
    <row r="85" ht="26.25" customHeight="1">
      <c r="A85" s="74"/>
      <c r="B85" s="75"/>
      <c r="C85" s="76"/>
      <c r="D85" s="76"/>
      <c r="E85" s="81"/>
      <c r="F85" s="86" t="s">
        <v>850</v>
      </c>
      <c r="G85" s="76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</row>
    <row r="86" ht="26.25" customHeight="1">
      <c r="A86" s="79"/>
      <c r="B86" s="75"/>
      <c r="C86" s="76"/>
      <c r="D86" s="76"/>
      <c r="E86" s="81" t="s">
        <v>851</v>
      </c>
      <c r="F86" s="80">
        <f>170+65</f>
        <v>235</v>
      </c>
      <c r="G86" s="76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</row>
    <row r="87" ht="26.25" customHeight="1">
      <c r="A87" s="79"/>
      <c r="B87" s="75"/>
      <c r="C87" s="76"/>
      <c r="D87" s="76"/>
      <c r="E87" s="81" t="s">
        <v>852</v>
      </c>
      <c r="F87" s="86" t="s">
        <v>853</v>
      </c>
      <c r="G87" s="76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</row>
    <row r="88" ht="26.25" customHeight="1">
      <c r="A88" s="79"/>
      <c r="B88" s="75"/>
      <c r="C88" s="76"/>
      <c r="D88" s="76"/>
      <c r="E88" s="81"/>
      <c r="F88" s="80"/>
      <c r="G88" s="76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ht="26.25" customHeight="1">
      <c r="A89" s="79"/>
      <c r="B89" s="75"/>
      <c r="C89" s="76"/>
      <c r="D89" s="76"/>
      <c r="E89" s="81"/>
      <c r="F89" s="86" t="s">
        <v>854</v>
      </c>
      <c r="G89" s="76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</row>
    <row r="90" ht="26.25" customHeight="1">
      <c r="A90" s="118"/>
      <c r="B90" s="119"/>
      <c r="C90" s="119"/>
      <c r="D90" s="119"/>
      <c r="E90" s="119"/>
      <c r="F90" s="119"/>
      <c r="G90" s="119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</row>
    <row r="91" ht="26.25" customHeight="1">
      <c r="A91" s="102" t="s">
        <v>4</v>
      </c>
      <c r="B91" s="102" t="s">
        <v>5</v>
      </c>
      <c r="C91" s="102" t="s">
        <v>126</v>
      </c>
      <c r="D91" s="102" t="s">
        <v>6</v>
      </c>
      <c r="E91" s="102" t="s">
        <v>7</v>
      </c>
      <c r="F91" s="102" t="s">
        <v>127</v>
      </c>
      <c r="G91" s="103" t="s">
        <v>128</v>
      </c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</row>
    <row r="92" ht="26.25" customHeight="1">
      <c r="A92" s="104">
        <v>1.0</v>
      </c>
      <c r="B92" s="105">
        <v>46094.0</v>
      </c>
      <c r="C92" s="106" t="s">
        <v>239</v>
      </c>
      <c r="D92" s="107" t="s">
        <v>855</v>
      </c>
      <c r="E92" s="107" t="s">
        <v>856</v>
      </c>
      <c r="F92" s="108"/>
      <c r="G92" s="109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ht="26.25" customHeight="1">
      <c r="A93" s="104">
        <v>2.0</v>
      </c>
      <c r="B93" s="120"/>
      <c r="C93" s="110"/>
      <c r="D93" s="107"/>
      <c r="E93" s="107" t="s">
        <v>857</v>
      </c>
      <c r="F93" s="108">
        <v>80.0</v>
      </c>
      <c r="G93" s="109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ht="26.25" customHeight="1">
      <c r="A94" s="104">
        <v>3.0</v>
      </c>
      <c r="B94" s="120"/>
      <c r="C94" s="110"/>
      <c r="D94" s="107"/>
      <c r="E94" s="107" t="s">
        <v>858</v>
      </c>
      <c r="F94" s="111" t="s">
        <v>859</v>
      </c>
      <c r="G94" s="109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</row>
    <row r="95" ht="26.25" customHeight="1">
      <c r="A95" s="104">
        <v>4.0</v>
      </c>
      <c r="B95" s="120"/>
      <c r="C95" s="110"/>
      <c r="D95" s="107"/>
      <c r="E95" s="107" t="s">
        <v>860</v>
      </c>
      <c r="F95" s="108">
        <v>35.0</v>
      </c>
      <c r="G95" s="111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</row>
    <row r="96" ht="26.25" customHeight="1">
      <c r="A96" s="104">
        <v>5.0</v>
      </c>
      <c r="B96" s="120"/>
      <c r="C96" s="110"/>
      <c r="D96" s="107"/>
      <c r="E96" s="107" t="s">
        <v>861</v>
      </c>
      <c r="F96" s="108">
        <v>70.0</v>
      </c>
      <c r="G96" s="109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</row>
    <row r="97" ht="26.25" customHeight="1">
      <c r="A97" s="104">
        <v>6.0</v>
      </c>
      <c r="B97" s="120"/>
      <c r="C97" s="110"/>
      <c r="D97" s="107"/>
      <c r="E97" s="107" t="s">
        <v>862</v>
      </c>
      <c r="F97" s="108">
        <v>200.0</v>
      </c>
      <c r="G97" s="109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ht="26.25" customHeight="1">
      <c r="A98" s="104">
        <v>7.0</v>
      </c>
      <c r="B98" s="120"/>
      <c r="C98" s="110"/>
      <c r="D98" s="107"/>
      <c r="E98" s="107" t="s">
        <v>863</v>
      </c>
      <c r="F98" s="108" t="s">
        <v>864</v>
      </c>
      <c r="G98" s="111" t="s">
        <v>865</v>
      </c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ht="26.25" customHeight="1">
      <c r="A99" s="104">
        <v>8.0</v>
      </c>
      <c r="B99" s="120"/>
      <c r="C99" s="106"/>
      <c r="D99" s="107"/>
      <c r="E99" s="107" t="s">
        <v>866</v>
      </c>
      <c r="F99" s="108"/>
      <c r="G99" s="109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</row>
    <row r="100" ht="26.25" customHeight="1">
      <c r="A100" s="104">
        <v>9.0</v>
      </c>
      <c r="B100" s="120"/>
      <c r="C100" s="110"/>
      <c r="D100" s="107"/>
      <c r="E100" s="107" t="s">
        <v>867</v>
      </c>
      <c r="F100" s="108"/>
      <c r="G100" s="109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</row>
    <row r="101" ht="26.25" customHeight="1">
      <c r="A101" s="104">
        <v>10.0</v>
      </c>
      <c r="B101" s="120"/>
      <c r="C101" s="110"/>
      <c r="D101" s="107"/>
      <c r="E101" s="107" t="s">
        <v>868</v>
      </c>
      <c r="F101" s="108"/>
      <c r="G101" s="109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</row>
    <row r="102" ht="26.25" customHeight="1">
      <c r="A102" s="104">
        <v>11.0</v>
      </c>
      <c r="B102" s="120"/>
      <c r="C102" s="110"/>
      <c r="D102" s="107"/>
      <c r="E102" s="107" t="s">
        <v>869</v>
      </c>
      <c r="F102" s="111" t="s">
        <v>870</v>
      </c>
      <c r="G102" s="109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ht="26.25" customHeight="1">
      <c r="A103" s="104">
        <v>12.0</v>
      </c>
      <c r="B103" s="120"/>
      <c r="C103" s="110"/>
      <c r="D103" s="107"/>
      <c r="E103" s="107" t="s">
        <v>871</v>
      </c>
      <c r="F103" s="108" t="s">
        <v>872</v>
      </c>
      <c r="G103" s="111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ht="26.25" customHeight="1">
      <c r="A104" s="104">
        <v>13.0</v>
      </c>
      <c r="B104" s="120"/>
      <c r="C104" s="110"/>
      <c r="D104" s="107"/>
      <c r="E104" s="107" t="s">
        <v>873</v>
      </c>
      <c r="F104" s="108" t="s">
        <v>874</v>
      </c>
      <c r="G104" s="109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ht="26.25" customHeight="1">
      <c r="A105" s="112"/>
      <c r="B105" s="113"/>
      <c r="C105" s="114"/>
      <c r="D105" s="114"/>
      <c r="E105" s="99" t="s">
        <v>144</v>
      </c>
      <c r="F105" s="131"/>
      <c r="G105" s="114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</row>
    <row r="106" ht="26.25" customHeight="1">
      <c r="A106" s="115"/>
      <c r="B106" s="113"/>
      <c r="C106" s="114"/>
      <c r="D106" s="114"/>
      <c r="E106" s="99" t="s">
        <v>145</v>
      </c>
      <c r="F106" s="100">
        <v>16075.0</v>
      </c>
      <c r="G106" s="196" t="s">
        <v>61</v>
      </c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ht="26.25" customHeight="1">
      <c r="A107" s="115"/>
      <c r="B107" s="113"/>
      <c r="C107" s="114"/>
      <c r="D107" s="114"/>
      <c r="E107" s="99" t="s">
        <v>146</v>
      </c>
      <c r="F107" s="100">
        <v>1155.0</v>
      </c>
      <c r="G107" s="114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ht="26.25" customHeight="1">
      <c r="A108" s="115"/>
      <c r="B108" s="113"/>
      <c r="C108" s="114"/>
      <c r="D108" s="114"/>
      <c r="E108" s="99" t="s">
        <v>147</v>
      </c>
      <c r="F108" s="100">
        <v>865.0</v>
      </c>
      <c r="G108" s="114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ht="26.25" customHeight="1">
      <c r="A109" s="115"/>
      <c r="B109" s="113"/>
      <c r="C109" s="114"/>
      <c r="D109" s="114"/>
      <c r="E109" s="99" t="s">
        <v>148</v>
      </c>
      <c r="F109" s="100">
        <f>F106-F108</f>
        <v>15210</v>
      </c>
      <c r="G109" s="114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</row>
    <row r="110" ht="26.25" customHeight="1">
      <c r="A110" s="102" t="s">
        <v>4</v>
      </c>
      <c r="B110" s="102" t="s">
        <v>5</v>
      </c>
      <c r="C110" s="102" t="s">
        <v>126</v>
      </c>
      <c r="D110" s="102" t="s">
        <v>6</v>
      </c>
      <c r="E110" s="102" t="s">
        <v>7</v>
      </c>
      <c r="F110" s="102" t="s">
        <v>127</v>
      </c>
      <c r="G110" s="103" t="s">
        <v>128</v>
      </c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</row>
    <row r="111" ht="26.25" customHeight="1">
      <c r="A111" s="104">
        <v>1.0</v>
      </c>
      <c r="B111" s="105">
        <v>46096.0</v>
      </c>
      <c r="C111" s="106" t="s">
        <v>129</v>
      </c>
      <c r="D111" s="107"/>
      <c r="E111" s="107" t="s">
        <v>875</v>
      </c>
      <c r="F111" s="111" t="s">
        <v>876</v>
      </c>
      <c r="G111" s="109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</row>
    <row r="112" ht="26.25" customHeight="1">
      <c r="A112" s="104">
        <v>2.0</v>
      </c>
      <c r="B112" s="120"/>
      <c r="C112" s="110"/>
      <c r="D112" s="107"/>
      <c r="E112" s="107" t="s">
        <v>282</v>
      </c>
      <c r="F112" s="111" t="s">
        <v>877</v>
      </c>
      <c r="G112" s="109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ht="26.25" customHeight="1">
      <c r="A113" s="104">
        <v>3.0</v>
      </c>
      <c r="B113" s="120"/>
      <c r="C113" s="110"/>
      <c r="D113" s="107"/>
      <c r="E113" s="107" t="s">
        <v>878</v>
      </c>
      <c r="F113" s="108">
        <v>30.0</v>
      </c>
      <c r="G113" s="109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</row>
    <row r="114" ht="26.25" customHeight="1">
      <c r="A114" s="104">
        <v>4.0</v>
      </c>
      <c r="B114" s="120"/>
      <c r="C114" s="110"/>
      <c r="D114" s="107"/>
      <c r="E114" s="107" t="s">
        <v>879</v>
      </c>
      <c r="F114" s="108"/>
      <c r="G114" s="111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</row>
    <row r="115" ht="26.25" customHeight="1">
      <c r="A115" s="104">
        <v>5.0</v>
      </c>
      <c r="B115" s="120"/>
      <c r="C115" s="110"/>
      <c r="D115" s="107"/>
      <c r="E115" s="107" t="s">
        <v>880</v>
      </c>
      <c r="F115" s="108"/>
      <c r="G115" s="109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</row>
    <row r="116" ht="26.25" customHeight="1">
      <c r="A116" s="104">
        <v>6.0</v>
      </c>
      <c r="B116" s="120"/>
      <c r="C116" s="110"/>
      <c r="D116" s="107"/>
      <c r="E116" s="107" t="s">
        <v>881</v>
      </c>
      <c r="F116" s="108"/>
      <c r="G116" s="109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</row>
    <row r="117" ht="26.25" customHeight="1">
      <c r="A117" s="112"/>
      <c r="B117" s="113"/>
      <c r="C117" s="114"/>
      <c r="D117" s="114"/>
      <c r="E117" s="99" t="s">
        <v>144</v>
      </c>
      <c r="F117" s="100">
        <v>5000.0</v>
      </c>
      <c r="G117" s="114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ht="26.25" customHeight="1">
      <c r="A118" s="115"/>
      <c r="B118" s="113"/>
      <c r="C118" s="114"/>
      <c r="D118" s="114"/>
      <c r="E118" s="99" t="s">
        <v>145</v>
      </c>
      <c r="F118" s="100">
        <v>375.0</v>
      </c>
      <c r="G118" s="114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ht="26.25" customHeight="1">
      <c r="A119" s="115"/>
      <c r="B119" s="113"/>
      <c r="C119" s="114"/>
      <c r="D119" s="114"/>
      <c r="E119" s="99" t="s">
        <v>146</v>
      </c>
      <c r="F119" s="100">
        <f>50+40+30</f>
        <v>120</v>
      </c>
      <c r="G119" s="114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</row>
    <row r="120" ht="26.25" customHeight="1">
      <c r="A120" s="115"/>
      <c r="B120" s="113"/>
      <c r="C120" s="114"/>
      <c r="D120" s="114"/>
      <c r="E120" s="99" t="s">
        <v>147</v>
      </c>
      <c r="F120" s="100">
        <f>120*75/100</f>
        <v>90</v>
      </c>
      <c r="G120" s="114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ht="26.25" customHeight="1">
      <c r="A121" s="115"/>
      <c r="B121" s="113"/>
      <c r="C121" s="114"/>
      <c r="D121" s="114"/>
      <c r="E121" s="99" t="s">
        <v>148</v>
      </c>
      <c r="F121" s="100">
        <v>285.0</v>
      </c>
      <c r="G121" s="114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</row>
    <row r="122" ht="26.25" customHeight="1">
      <c r="A122" s="197"/>
      <c r="B122" s="198"/>
      <c r="C122" s="198"/>
      <c r="D122" s="198"/>
      <c r="E122" s="198"/>
      <c r="F122" s="198"/>
      <c r="G122" s="198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</row>
    <row r="123" ht="26.25" customHeight="1">
      <c r="A123" s="102" t="s">
        <v>4</v>
      </c>
      <c r="B123" s="102" t="s">
        <v>5</v>
      </c>
      <c r="C123" s="102" t="s">
        <v>126</v>
      </c>
      <c r="D123" s="102" t="s">
        <v>6</v>
      </c>
      <c r="E123" s="102" t="s">
        <v>7</v>
      </c>
      <c r="F123" s="102" t="s">
        <v>127</v>
      </c>
      <c r="G123" s="103" t="s">
        <v>128</v>
      </c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</row>
    <row r="124" ht="26.25" customHeight="1">
      <c r="A124" s="104">
        <v>1.0</v>
      </c>
      <c r="B124" s="105">
        <v>46097.0</v>
      </c>
      <c r="C124" s="106" t="s">
        <v>261</v>
      </c>
      <c r="D124" s="107"/>
      <c r="E124" s="107" t="s">
        <v>882</v>
      </c>
      <c r="F124" s="111" t="s">
        <v>840</v>
      </c>
      <c r="G124" s="109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</row>
    <row r="125" ht="26.25" customHeight="1">
      <c r="A125" s="104">
        <v>2.0</v>
      </c>
      <c r="B125" s="120"/>
      <c r="C125" s="110"/>
      <c r="D125" s="107"/>
      <c r="E125" s="107" t="s">
        <v>883</v>
      </c>
      <c r="F125" s="111" t="s">
        <v>840</v>
      </c>
      <c r="G125" s="109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</row>
    <row r="126" ht="26.25" customHeight="1">
      <c r="A126" s="104">
        <v>3.0</v>
      </c>
      <c r="B126" s="120"/>
      <c r="C126" s="110"/>
      <c r="D126" s="107"/>
      <c r="E126" s="107" t="s">
        <v>884</v>
      </c>
      <c r="F126" s="111" t="s">
        <v>840</v>
      </c>
      <c r="G126" s="109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</row>
    <row r="127" ht="26.25" customHeight="1">
      <c r="A127" s="104">
        <v>4.0</v>
      </c>
      <c r="B127" s="120"/>
      <c r="C127" s="110"/>
      <c r="D127" s="107"/>
      <c r="E127" s="107" t="s">
        <v>885</v>
      </c>
      <c r="F127" s="111" t="s">
        <v>840</v>
      </c>
      <c r="G127" s="111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</row>
    <row r="128" ht="26.25" customHeight="1">
      <c r="A128" s="104">
        <v>5.0</v>
      </c>
      <c r="B128" s="120"/>
      <c r="C128" s="110"/>
      <c r="D128" s="107"/>
      <c r="E128" s="107" t="s">
        <v>886</v>
      </c>
      <c r="F128" s="108"/>
      <c r="G128" s="109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</row>
    <row r="129" ht="26.25" customHeight="1">
      <c r="A129" s="104">
        <v>6.0</v>
      </c>
      <c r="B129" s="120"/>
      <c r="C129" s="110"/>
      <c r="D129" s="107"/>
      <c r="E129" s="107" t="s">
        <v>887</v>
      </c>
      <c r="F129" s="111" t="s">
        <v>888</v>
      </c>
      <c r="G129" s="109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</row>
    <row r="130" ht="26.25" customHeight="1">
      <c r="A130" s="104">
        <v>7.0</v>
      </c>
      <c r="B130" s="120"/>
      <c r="C130" s="110"/>
      <c r="D130" s="107"/>
      <c r="E130" s="107" t="s">
        <v>889</v>
      </c>
      <c r="F130" s="108"/>
      <c r="G130" s="109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</row>
    <row r="131" ht="26.25" customHeight="1">
      <c r="A131" s="104">
        <v>8.0</v>
      </c>
      <c r="B131" s="120"/>
      <c r="C131" s="106"/>
      <c r="D131" s="107"/>
      <c r="E131" s="107" t="s">
        <v>890</v>
      </c>
      <c r="F131" s="108"/>
      <c r="G131" s="109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</row>
    <row r="132" ht="26.25" customHeight="1">
      <c r="A132" s="104">
        <v>9.0</v>
      </c>
      <c r="B132" s="120"/>
      <c r="C132" s="110"/>
      <c r="D132" s="107"/>
      <c r="E132" s="107" t="s">
        <v>891</v>
      </c>
      <c r="F132" s="108">
        <v>35.0</v>
      </c>
      <c r="G132" s="109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</row>
    <row r="133" ht="26.25" customHeight="1">
      <c r="A133" s="104">
        <v>10.0</v>
      </c>
      <c r="B133" s="120"/>
      <c r="C133" s="110"/>
      <c r="D133" s="107"/>
      <c r="E133" s="107" t="s">
        <v>892</v>
      </c>
      <c r="F133" s="108"/>
      <c r="G133" s="109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</row>
    <row r="134" ht="26.25" customHeight="1">
      <c r="A134" s="104">
        <v>11.0</v>
      </c>
      <c r="B134" s="120"/>
      <c r="C134" s="110"/>
      <c r="D134" s="107"/>
      <c r="E134" s="107" t="s">
        <v>893</v>
      </c>
      <c r="F134" s="108"/>
      <c r="G134" s="109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</row>
    <row r="135" ht="26.25" customHeight="1">
      <c r="A135" s="104">
        <v>12.0</v>
      </c>
      <c r="B135" s="120"/>
      <c r="C135" s="110"/>
      <c r="D135" s="107"/>
      <c r="E135" s="107" t="s">
        <v>894</v>
      </c>
      <c r="F135" s="111" t="s">
        <v>895</v>
      </c>
      <c r="G135" s="111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</row>
    <row r="136" ht="26.25" customHeight="1">
      <c r="A136" s="104">
        <v>13.0</v>
      </c>
      <c r="B136" s="120"/>
      <c r="C136" s="110"/>
      <c r="D136" s="107"/>
      <c r="E136" s="107" t="s">
        <v>896</v>
      </c>
      <c r="F136" s="108"/>
      <c r="G136" s="109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</row>
    <row r="137" ht="26.25" customHeight="1">
      <c r="A137" s="104">
        <v>14.0</v>
      </c>
      <c r="B137" s="120"/>
      <c r="C137" s="110"/>
      <c r="D137" s="107"/>
      <c r="E137" s="107" t="s">
        <v>897</v>
      </c>
      <c r="F137" s="111" t="s">
        <v>898</v>
      </c>
      <c r="G137" s="109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</row>
    <row r="138" ht="26.25" customHeight="1">
      <c r="A138" s="122">
        <v>15.0</v>
      </c>
      <c r="B138" s="123"/>
      <c r="C138" s="124"/>
      <c r="D138" s="107"/>
      <c r="E138" s="107" t="s">
        <v>899</v>
      </c>
      <c r="F138" s="111" t="s">
        <v>840</v>
      </c>
      <c r="G138" s="108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</row>
    <row r="139" ht="26.25" customHeight="1">
      <c r="A139" s="200">
        <v>16.0</v>
      </c>
      <c r="B139" s="123"/>
      <c r="C139" s="124"/>
      <c r="D139" s="107"/>
      <c r="E139" s="107" t="s">
        <v>900</v>
      </c>
      <c r="F139" s="111" t="s">
        <v>840</v>
      </c>
      <c r="G139" s="109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</row>
    <row r="140" ht="26.25" customHeight="1">
      <c r="A140" s="200">
        <v>16.0</v>
      </c>
      <c r="B140" s="123"/>
      <c r="C140" s="124"/>
      <c r="D140" s="107"/>
      <c r="E140" s="107" t="s">
        <v>901</v>
      </c>
      <c r="F140" s="108">
        <v>35.0</v>
      </c>
      <c r="G140" s="109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</row>
    <row r="141" ht="26.25" customHeight="1">
      <c r="A141" s="112"/>
      <c r="B141" s="113"/>
      <c r="C141" s="114"/>
      <c r="D141" s="114"/>
      <c r="E141" s="99" t="s">
        <v>144</v>
      </c>
      <c r="F141" s="100">
        <v>285.0</v>
      </c>
      <c r="G141" s="114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ht="26.25" customHeight="1">
      <c r="A142" s="115"/>
      <c r="B142" s="113"/>
      <c r="C142" s="114"/>
      <c r="D142" s="114"/>
      <c r="E142" s="99" t="s">
        <v>145</v>
      </c>
      <c r="F142" s="100">
        <v>-555.0</v>
      </c>
      <c r="G142" s="114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</row>
    <row r="143" ht="26.25" customHeight="1">
      <c r="A143" s="115"/>
      <c r="B143" s="113"/>
      <c r="C143" s="114"/>
      <c r="D143" s="114"/>
      <c r="E143" s="99" t="s">
        <v>146</v>
      </c>
      <c r="F143" s="100">
        <v>600.0</v>
      </c>
      <c r="G143" s="114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</row>
    <row r="144" ht="26.25" customHeight="1">
      <c r="A144" s="115"/>
      <c r="B144" s="113"/>
      <c r="C144" s="114"/>
      <c r="D144" s="114"/>
      <c r="E144" s="99" t="s">
        <v>147</v>
      </c>
      <c r="F144" s="100">
        <f>F143*75/100</f>
        <v>450</v>
      </c>
      <c r="G144" s="201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ht="26.25" customHeight="1">
      <c r="A145" s="115"/>
      <c r="B145" s="113"/>
      <c r="C145" s="114"/>
      <c r="D145" s="114"/>
      <c r="E145" s="99" t="s">
        <v>902</v>
      </c>
      <c r="F145" s="99">
        <v>1155.0</v>
      </c>
      <c r="G145" s="202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ht="26.25" customHeight="1">
      <c r="A146" s="203"/>
      <c r="B146" s="204"/>
      <c r="C146" s="204"/>
      <c r="D146" s="204"/>
      <c r="E146" s="99" t="s">
        <v>903</v>
      </c>
      <c r="F146" s="99"/>
      <c r="G146" s="204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ht="26.25" customHeight="1">
      <c r="A147" s="203"/>
      <c r="B147" s="204"/>
      <c r="C147" s="204"/>
      <c r="D147" s="204"/>
      <c r="E147" s="99" t="s">
        <v>904</v>
      </c>
      <c r="F147" s="99">
        <v>395.0</v>
      </c>
      <c r="G147" s="204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ht="26.25" customHeight="1">
      <c r="A148" s="203"/>
      <c r="B148" s="204"/>
      <c r="C148" s="204"/>
      <c r="D148" s="204"/>
      <c r="E148" s="204"/>
      <c r="F148" s="204"/>
      <c r="G148" s="204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ht="26.25" customHeight="1">
      <c r="A149" s="102" t="s">
        <v>4</v>
      </c>
      <c r="B149" s="102" t="s">
        <v>5</v>
      </c>
      <c r="C149" s="102" t="s">
        <v>126</v>
      </c>
      <c r="D149" s="102" t="s">
        <v>6</v>
      </c>
      <c r="E149" s="102" t="s">
        <v>7</v>
      </c>
      <c r="F149" s="102" t="s">
        <v>127</v>
      </c>
      <c r="G149" s="103" t="s">
        <v>128</v>
      </c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ht="26.25" customHeight="1">
      <c r="A150" s="104">
        <v>1.0</v>
      </c>
      <c r="B150" s="105">
        <v>46098.0</v>
      </c>
      <c r="C150" s="106" t="s">
        <v>169</v>
      </c>
      <c r="D150" s="107"/>
      <c r="E150" s="107" t="s">
        <v>905</v>
      </c>
      <c r="F150" s="108"/>
      <c r="G150" s="109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ht="26.25" customHeight="1">
      <c r="A151" s="104">
        <v>2.0</v>
      </c>
      <c r="B151" s="120"/>
      <c r="C151" s="110"/>
      <c r="D151" s="107"/>
      <c r="E151" s="107" t="s">
        <v>906</v>
      </c>
      <c r="F151" s="111" t="s">
        <v>907</v>
      </c>
      <c r="G151" s="109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ht="26.25" customHeight="1">
      <c r="A152" s="104">
        <v>3.0</v>
      </c>
      <c r="B152" s="120"/>
      <c r="C152" s="110"/>
      <c r="D152" s="107"/>
      <c r="E152" s="107" t="s">
        <v>908</v>
      </c>
      <c r="F152" s="108">
        <v>35.0</v>
      </c>
      <c r="G152" s="109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ht="26.25" customHeight="1">
      <c r="A153" s="104">
        <v>4.0</v>
      </c>
      <c r="B153" s="120"/>
      <c r="C153" s="110"/>
      <c r="D153" s="107"/>
      <c r="E153" s="107" t="s">
        <v>909</v>
      </c>
      <c r="F153" s="108"/>
      <c r="G153" s="205" t="s">
        <v>910</v>
      </c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</row>
    <row r="154" ht="26.25" customHeight="1">
      <c r="A154" s="104">
        <v>5.0</v>
      </c>
      <c r="B154" s="120"/>
      <c r="C154" s="110"/>
      <c r="D154" s="107"/>
      <c r="E154" s="107" t="s">
        <v>911</v>
      </c>
      <c r="F154" s="108"/>
      <c r="G154" s="109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ht="26.25" customHeight="1">
      <c r="A155" s="104">
        <v>6.0</v>
      </c>
      <c r="B155" s="120"/>
      <c r="C155" s="110"/>
      <c r="D155" s="107"/>
      <c r="E155" s="107" t="s">
        <v>912</v>
      </c>
      <c r="F155" s="111" t="s">
        <v>176</v>
      </c>
      <c r="G155" s="109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ht="26.25" customHeight="1">
      <c r="A156" s="104">
        <v>7.0</v>
      </c>
      <c r="B156" s="120"/>
      <c r="C156" s="110"/>
      <c r="D156" s="107"/>
      <c r="E156" s="107" t="s">
        <v>187</v>
      </c>
      <c r="F156" s="108">
        <v>40.0</v>
      </c>
      <c r="G156" s="111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ht="26.25" customHeight="1">
      <c r="A157" s="104">
        <v>8.0</v>
      </c>
      <c r="B157" s="120"/>
      <c r="C157" s="106"/>
      <c r="D157" s="107"/>
      <c r="E157" s="107" t="s">
        <v>913</v>
      </c>
      <c r="F157" s="108"/>
      <c r="G157" s="109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ht="26.25" customHeight="1">
      <c r="A158" s="104">
        <v>9.0</v>
      </c>
      <c r="B158" s="120"/>
      <c r="C158" s="110"/>
      <c r="D158" s="107"/>
      <c r="E158" s="107" t="s">
        <v>914</v>
      </c>
      <c r="F158" s="108"/>
      <c r="G158" s="109">
        <f>460+375</f>
        <v>835</v>
      </c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</row>
    <row r="159" ht="26.25" customHeight="1">
      <c r="A159" s="104">
        <v>10.0</v>
      </c>
      <c r="B159" s="120"/>
      <c r="C159" s="110"/>
      <c r="D159" s="107"/>
      <c r="E159" s="107" t="s">
        <v>915</v>
      </c>
      <c r="F159" s="108"/>
      <c r="G159" s="109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ht="26.25" customHeight="1">
      <c r="A160" s="104">
        <v>11.0</v>
      </c>
      <c r="B160" s="120"/>
      <c r="C160" s="110"/>
      <c r="D160" s="107"/>
      <c r="E160" s="107" t="s">
        <v>916</v>
      </c>
      <c r="F160" s="108"/>
      <c r="G160" s="109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ht="26.25" customHeight="1">
      <c r="A161" s="104">
        <v>12.0</v>
      </c>
      <c r="B161" s="120"/>
      <c r="C161" s="110"/>
      <c r="D161" s="107"/>
      <c r="E161" s="107" t="s">
        <v>917</v>
      </c>
      <c r="F161" s="109"/>
      <c r="G161" s="111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</row>
    <row r="162" ht="26.25" customHeight="1">
      <c r="A162" s="104">
        <v>13.0</v>
      </c>
      <c r="B162" s="120"/>
      <c r="C162" s="110"/>
      <c r="D162" s="107"/>
      <c r="E162" s="107" t="s">
        <v>918</v>
      </c>
      <c r="F162" s="108"/>
      <c r="G162" s="109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</row>
    <row r="163" ht="26.25" customHeight="1">
      <c r="A163" s="104">
        <v>14.0</v>
      </c>
      <c r="B163" s="120"/>
      <c r="C163" s="110"/>
      <c r="D163" s="107"/>
      <c r="E163" s="107" t="s">
        <v>919</v>
      </c>
      <c r="F163" s="108"/>
      <c r="G163" s="109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</row>
    <row r="164" ht="26.25" customHeight="1">
      <c r="A164" s="122">
        <v>15.0</v>
      </c>
      <c r="B164" s="123"/>
      <c r="C164" s="124"/>
      <c r="D164" s="107"/>
      <c r="E164" s="107" t="s">
        <v>920</v>
      </c>
      <c r="F164" s="109"/>
      <c r="G164" s="109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</row>
    <row r="165" ht="26.25" customHeight="1">
      <c r="A165" s="200"/>
      <c r="B165" s="123"/>
      <c r="C165" s="124"/>
      <c r="D165" s="107"/>
      <c r="E165" s="107" t="s">
        <v>921</v>
      </c>
      <c r="F165" s="108" t="s">
        <v>922</v>
      </c>
      <c r="G165" s="108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</row>
    <row r="166" ht="26.25" customHeight="1">
      <c r="A166" s="200"/>
      <c r="B166" s="123"/>
      <c r="C166" s="124"/>
      <c r="D166" s="136" t="s">
        <v>923</v>
      </c>
      <c r="E166" s="206" t="s">
        <v>924</v>
      </c>
      <c r="F166" s="206" t="s">
        <v>925</v>
      </c>
      <c r="G166" s="206" t="s">
        <v>926</v>
      </c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</row>
    <row r="167" ht="26.25" customHeight="1">
      <c r="A167" s="200">
        <v>16.0</v>
      </c>
      <c r="B167" s="123"/>
      <c r="C167" s="124"/>
      <c r="D167" s="107"/>
      <c r="E167" s="107"/>
      <c r="F167" s="109" t="s">
        <v>927</v>
      </c>
      <c r="G167" s="109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</row>
    <row r="168" ht="26.25" customHeight="1">
      <c r="A168" s="112"/>
      <c r="B168" s="113"/>
      <c r="C168" s="114"/>
      <c r="D168" s="114"/>
      <c r="E168" s="99" t="s">
        <v>144</v>
      </c>
      <c r="F168" s="100">
        <v>395.0</v>
      </c>
      <c r="G168" s="114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</row>
    <row r="169" ht="26.25" customHeight="1">
      <c r="A169" s="115"/>
      <c r="B169" s="113"/>
      <c r="C169" s="114"/>
      <c r="D169" s="114"/>
      <c r="E169" s="99" t="s">
        <v>145</v>
      </c>
      <c r="F169" s="100">
        <v>455.0</v>
      </c>
      <c r="G169" s="114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ht="26.25" customHeight="1">
      <c r="A170" s="115"/>
      <c r="B170" s="113"/>
      <c r="C170" s="114"/>
      <c r="D170" s="114"/>
      <c r="E170" s="99" t="s">
        <v>146</v>
      </c>
      <c r="F170" s="100">
        <v>670.0</v>
      </c>
      <c r="G170" s="114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</row>
    <row r="171" ht="26.25" customHeight="1">
      <c r="A171" s="115"/>
      <c r="B171" s="113"/>
      <c r="C171" s="114"/>
      <c r="D171" s="114"/>
      <c r="E171" s="99" t="s">
        <v>147</v>
      </c>
      <c r="F171" s="100">
        <v>500.0</v>
      </c>
      <c r="G171" s="114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</row>
    <row r="172" ht="26.25" customHeight="1">
      <c r="A172" s="115"/>
      <c r="B172" s="113"/>
      <c r="C172" s="114"/>
      <c r="D172" s="114"/>
      <c r="E172" s="99" t="s">
        <v>902</v>
      </c>
      <c r="F172" s="100">
        <v>45.0</v>
      </c>
      <c r="G172" s="114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</row>
    <row r="173" ht="26.25" customHeight="1">
      <c r="A173" s="118"/>
      <c r="B173" s="119"/>
      <c r="C173" s="119"/>
      <c r="D173" s="119"/>
      <c r="E173" s="119"/>
      <c r="F173" s="144"/>
      <c r="G173" s="119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ht="26.25" customHeight="1">
      <c r="A174" s="207"/>
      <c r="B174" s="207"/>
      <c r="C174" s="207"/>
      <c r="D174" s="207"/>
      <c r="E174" s="208" t="s">
        <v>928</v>
      </c>
      <c r="F174" s="208" t="s">
        <v>929</v>
      </c>
      <c r="G174" s="207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</row>
    <row r="175" ht="26.25" customHeight="1">
      <c r="A175" s="102" t="s">
        <v>4</v>
      </c>
      <c r="B175" s="102" t="s">
        <v>5</v>
      </c>
      <c r="C175" s="102" t="s">
        <v>126</v>
      </c>
      <c r="D175" s="102" t="s">
        <v>6</v>
      </c>
      <c r="E175" s="102" t="s">
        <v>7</v>
      </c>
      <c r="F175" s="102" t="s">
        <v>127</v>
      </c>
      <c r="G175" s="103" t="s">
        <v>128</v>
      </c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</row>
    <row r="176" ht="26.25" customHeight="1">
      <c r="A176" s="104">
        <v>1.0</v>
      </c>
      <c r="B176" s="105">
        <v>46099.0</v>
      </c>
      <c r="C176" s="106" t="s">
        <v>299</v>
      </c>
      <c r="D176" s="107"/>
      <c r="E176" s="107" t="s">
        <v>930</v>
      </c>
      <c r="F176" s="108">
        <v>-600.0</v>
      </c>
      <c r="G176" s="111" t="s">
        <v>931</v>
      </c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</row>
    <row r="177" ht="26.25" customHeight="1">
      <c r="A177" s="104">
        <v>2.0</v>
      </c>
      <c r="B177" s="120"/>
      <c r="C177" s="110"/>
      <c r="D177" s="107"/>
      <c r="E177" s="107" t="s">
        <v>932</v>
      </c>
      <c r="F177" s="108"/>
      <c r="G177" s="109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ht="26.25" customHeight="1">
      <c r="A178" s="104">
        <v>3.0</v>
      </c>
      <c r="B178" s="120"/>
      <c r="C178" s="110"/>
      <c r="D178" s="107"/>
      <c r="E178" s="107" t="s">
        <v>243</v>
      </c>
      <c r="F178" s="108">
        <v>50.0</v>
      </c>
      <c r="G178" s="109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</row>
    <row r="179" ht="26.25" customHeight="1">
      <c r="A179" s="104">
        <v>4.0</v>
      </c>
      <c r="B179" s="120"/>
      <c r="C179" s="110"/>
      <c r="D179" s="107"/>
      <c r="E179" s="107" t="s">
        <v>933</v>
      </c>
      <c r="F179" s="108">
        <v>35.0</v>
      </c>
      <c r="G179" s="111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ht="26.25" customHeight="1">
      <c r="A180" s="104">
        <v>5.0</v>
      </c>
      <c r="B180" s="120"/>
      <c r="C180" s="110"/>
      <c r="D180" s="107"/>
      <c r="E180" s="136" t="s">
        <v>934</v>
      </c>
      <c r="F180" s="209"/>
      <c r="G180" s="109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ht="26.25" customHeight="1">
      <c r="A181" s="104">
        <v>6.0</v>
      </c>
      <c r="B181" s="120"/>
      <c r="C181" s="110"/>
      <c r="D181" s="107"/>
      <c r="E181" s="136" t="s">
        <v>130</v>
      </c>
      <c r="F181" s="209"/>
      <c r="G181" s="109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ht="26.25" customHeight="1">
      <c r="A182" s="104">
        <v>7.0</v>
      </c>
      <c r="B182" s="120"/>
      <c r="C182" s="110"/>
      <c r="D182" s="107"/>
      <c r="E182" s="136" t="s">
        <v>97</v>
      </c>
      <c r="F182" s="209"/>
      <c r="G182" s="109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ht="26.25" customHeight="1">
      <c r="A183" s="104">
        <v>8.0</v>
      </c>
      <c r="B183" s="120"/>
      <c r="C183" s="106"/>
      <c r="D183" s="107"/>
      <c r="E183" s="107" t="s">
        <v>935</v>
      </c>
      <c r="F183" s="108"/>
      <c r="G183" s="109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ht="26.25" customHeight="1">
      <c r="A184" s="104">
        <v>9.0</v>
      </c>
      <c r="B184" s="120"/>
      <c r="C184" s="110"/>
      <c r="D184" s="107"/>
      <c r="E184" s="107" t="s">
        <v>936</v>
      </c>
      <c r="F184" s="108"/>
      <c r="G184" s="109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</row>
    <row r="185" ht="26.25" customHeight="1">
      <c r="A185" s="104">
        <v>10.0</v>
      </c>
      <c r="B185" s="120"/>
      <c r="C185" s="110"/>
      <c r="D185" s="107"/>
      <c r="E185" s="107" t="s">
        <v>937</v>
      </c>
      <c r="F185" s="108">
        <v>35.0</v>
      </c>
      <c r="G185" s="109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ht="26.25" customHeight="1">
      <c r="A186" s="104">
        <v>11.0</v>
      </c>
      <c r="B186" s="120"/>
      <c r="C186" s="110"/>
      <c r="D186" s="107"/>
      <c r="E186" s="107" t="s">
        <v>938</v>
      </c>
      <c r="F186" s="108" t="s">
        <v>939</v>
      </c>
      <c r="G186" s="109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ht="26.25" customHeight="1">
      <c r="A187" s="104">
        <v>12.0</v>
      </c>
      <c r="B187" s="120"/>
      <c r="C187" s="110"/>
      <c r="D187" s="107"/>
      <c r="E187" s="107" t="s">
        <v>940</v>
      </c>
      <c r="F187" s="108" t="s">
        <v>941</v>
      </c>
      <c r="G187" s="111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</row>
    <row r="188" ht="26.25" customHeight="1">
      <c r="A188" s="104">
        <v>13.0</v>
      </c>
      <c r="B188" s="120"/>
      <c r="C188" s="110"/>
      <c r="D188" s="107"/>
      <c r="E188" s="107" t="s">
        <v>942</v>
      </c>
      <c r="F188" s="108" t="s">
        <v>943</v>
      </c>
      <c r="G188" s="109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ht="26.25" customHeight="1">
      <c r="A189" s="104">
        <v>14.0</v>
      </c>
      <c r="B189" s="120"/>
      <c r="C189" s="110"/>
      <c r="D189" s="107"/>
      <c r="E189" s="107" t="s">
        <v>944</v>
      </c>
      <c r="F189" s="108" t="s">
        <v>945</v>
      </c>
      <c r="G189" s="109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ht="26.25" customHeight="1">
      <c r="A190" s="122">
        <v>15.0</v>
      </c>
      <c r="B190" s="123"/>
      <c r="C190" s="124"/>
      <c r="D190" s="107"/>
      <c r="E190" s="127" t="s">
        <v>946</v>
      </c>
      <c r="F190" s="111" t="s">
        <v>947</v>
      </c>
      <c r="G190" s="109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</row>
    <row r="191" ht="26.25" customHeight="1">
      <c r="A191" s="112"/>
      <c r="B191" s="113"/>
      <c r="C191" s="114"/>
      <c r="D191" s="114"/>
      <c r="E191" s="99" t="s">
        <v>144</v>
      </c>
      <c r="F191" s="100">
        <v>0.0</v>
      </c>
      <c r="G191" s="114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ht="26.25" customHeight="1">
      <c r="A192" s="115"/>
      <c r="B192" s="113"/>
      <c r="C192" s="114"/>
      <c r="D192" s="114"/>
      <c r="E192" s="99" t="s">
        <v>145</v>
      </c>
      <c r="F192" s="100">
        <v>9500.0</v>
      </c>
      <c r="G192" s="114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ht="26.25" customHeight="1">
      <c r="A193" s="115"/>
      <c r="B193" s="113"/>
      <c r="C193" s="114"/>
      <c r="D193" s="114"/>
      <c r="E193" s="99" t="s">
        <v>146</v>
      </c>
      <c r="F193" s="100">
        <v>1295.0</v>
      </c>
      <c r="G193" s="114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ht="26.25" customHeight="1">
      <c r="A194" s="115"/>
      <c r="B194" s="113"/>
      <c r="C194" s="114"/>
      <c r="D194" s="114"/>
      <c r="E194" s="99" t="s">
        <v>147</v>
      </c>
      <c r="F194" s="100">
        <v>970.0</v>
      </c>
      <c r="G194" s="114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ht="26.25" customHeight="1">
      <c r="A195" s="115"/>
      <c r="B195" s="113"/>
      <c r="C195" s="114"/>
      <c r="D195" s="114"/>
      <c r="E195" s="99" t="s">
        <v>148</v>
      </c>
      <c r="F195" s="100">
        <v>8530.0</v>
      </c>
      <c r="G195" s="114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</row>
    <row r="196" ht="26.25" customHeight="1">
      <c r="A196" s="118"/>
      <c r="B196" s="119"/>
      <c r="C196" s="119"/>
      <c r="D196" s="119"/>
      <c r="E196" s="144" t="s">
        <v>948</v>
      </c>
      <c r="F196" s="144"/>
      <c r="G196" s="144" t="s">
        <v>949</v>
      </c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</row>
    <row r="197" ht="26.25" customHeight="1">
      <c r="A197" s="118"/>
      <c r="B197" s="119"/>
      <c r="C197" s="119"/>
      <c r="D197" s="119"/>
      <c r="E197" s="144" t="s">
        <v>950</v>
      </c>
      <c r="F197" s="119"/>
      <c r="G197" s="119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ht="26.25" customHeight="1">
      <c r="A198" s="102" t="s">
        <v>4</v>
      </c>
      <c r="B198" s="102" t="s">
        <v>5</v>
      </c>
      <c r="C198" s="102" t="s">
        <v>126</v>
      </c>
      <c r="D198" s="102" t="s">
        <v>6</v>
      </c>
      <c r="E198" s="102" t="s">
        <v>7</v>
      </c>
      <c r="F198" s="102" t="s">
        <v>127</v>
      </c>
      <c r="G198" s="103" t="s">
        <v>128</v>
      </c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</row>
    <row r="199" ht="26.25" customHeight="1">
      <c r="A199" s="104">
        <v>1.0</v>
      </c>
      <c r="B199" s="105">
        <v>46100.0</v>
      </c>
      <c r="C199" s="106" t="s">
        <v>211</v>
      </c>
      <c r="D199" s="107"/>
      <c r="E199" s="107" t="s">
        <v>951</v>
      </c>
      <c r="F199" s="108" t="s">
        <v>952</v>
      </c>
      <c r="G199" s="111" t="s">
        <v>953</v>
      </c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</row>
    <row r="200" ht="26.25" customHeight="1">
      <c r="A200" s="104">
        <v>2.0</v>
      </c>
      <c r="B200" s="120"/>
      <c r="C200" s="110"/>
      <c r="D200" s="127">
        <v>0.0</v>
      </c>
      <c r="E200" s="107" t="s">
        <v>954</v>
      </c>
      <c r="F200" s="108"/>
      <c r="G200" s="109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</row>
    <row r="201" ht="26.25" customHeight="1">
      <c r="A201" s="104">
        <v>3.0</v>
      </c>
      <c r="B201" s="120"/>
      <c r="C201" s="110"/>
      <c r="D201" s="127">
        <v>0.0</v>
      </c>
      <c r="E201" s="107" t="s">
        <v>955</v>
      </c>
      <c r="F201" s="111"/>
      <c r="G201" s="109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ht="26.25" customHeight="1">
      <c r="A202" s="104">
        <v>4.0</v>
      </c>
      <c r="B202" s="120"/>
      <c r="C202" s="110"/>
      <c r="D202" s="127">
        <v>0.0</v>
      </c>
      <c r="E202" s="107" t="s">
        <v>956</v>
      </c>
      <c r="F202" s="111" t="s">
        <v>957</v>
      </c>
      <c r="G202" s="111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</row>
    <row r="203" ht="26.25" customHeight="1">
      <c r="A203" s="104">
        <v>5.0</v>
      </c>
      <c r="B203" s="120"/>
      <c r="C203" s="110"/>
      <c r="D203" s="127">
        <v>0.0</v>
      </c>
      <c r="E203" s="107" t="s">
        <v>958</v>
      </c>
      <c r="F203" s="108"/>
      <c r="G203" s="109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</row>
    <row r="204" ht="26.25" customHeight="1">
      <c r="A204" s="104">
        <v>6.0</v>
      </c>
      <c r="B204" s="120"/>
      <c r="C204" s="110"/>
      <c r="D204" s="127">
        <v>0.0</v>
      </c>
      <c r="E204" s="107" t="s">
        <v>959</v>
      </c>
      <c r="F204" s="108"/>
      <c r="G204" s="109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</row>
    <row r="205" ht="26.25" customHeight="1">
      <c r="A205" s="104">
        <v>7.0</v>
      </c>
      <c r="B205" s="120"/>
      <c r="C205" s="110"/>
      <c r="D205" s="127">
        <v>0.0</v>
      </c>
      <c r="E205" s="107" t="s">
        <v>960</v>
      </c>
      <c r="F205" s="111" t="s">
        <v>961</v>
      </c>
      <c r="G205" s="109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ht="26.25" customHeight="1">
      <c r="A206" s="104">
        <v>8.0</v>
      </c>
      <c r="B206" s="120"/>
      <c r="C206" s="106"/>
      <c r="D206" s="127">
        <v>0.0</v>
      </c>
      <c r="E206" s="107" t="s">
        <v>962</v>
      </c>
      <c r="F206" s="111" t="s">
        <v>961</v>
      </c>
      <c r="G206" s="109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</row>
    <row r="207" ht="26.25" customHeight="1">
      <c r="A207" s="104">
        <v>9.0</v>
      </c>
      <c r="B207" s="120"/>
      <c r="C207" s="110"/>
      <c r="D207" s="127">
        <v>0.0</v>
      </c>
      <c r="E207" s="107" t="s">
        <v>963</v>
      </c>
      <c r="F207" s="111" t="s">
        <v>961</v>
      </c>
      <c r="G207" s="109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</row>
    <row r="208" ht="26.25" customHeight="1">
      <c r="A208" s="104">
        <v>10.0</v>
      </c>
      <c r="B208" s="120"/>
      <c r="C208" s="110"/>
      <c r="D208" s="127">
        <v>0.0</v>
      </c>
      <c r="E208" s="107" t="s">
        <v>964</v>
      </c>
      <c r="F208" s="108"/>
      <c r="G208" s="109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</row>
    <row r="209" ht="26.25" customHeight="1">
      <c r="A209" s="104">
        <v>11.0</v>
      </c>
      <c r="B209" s="120"/>
      <c r="C209" s="110"/>
      <c r="D209" s="107"/>
      <c r="E209" s="107" t="s">
        <v>965</v>
      </c>
      <c r="F209" s="108"/>
      <c r="G209" s="109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ht="26.25" customHeight="1">
      <c r="A210" s="104">
        <v>12.0</v>
      </c>
      <c r="B210" s="120"/>
      <c r="C210" s="110"/>
      <c r="D210" s="127">
        <v>0.0</v>
      </c>
      <c r="E210" s="107" t="s">
        <v>966</v>
      </c>
      <c r="F210" s="109"/>
      <c r="G210" s="111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</row>
    <row r="211" ht="26.25" customHeight="1">
      <c r="A211" s="104">
        <v>13.0</v>
      </c>
      <c r="B211" s="120"/>
      <c r="C211" s="110"/>
      <c r="D211" s="107"/>
      <c r="E211" s="107" t="s">
        <v>967</v>
      </c>
      <c r="F211" s="109"/>
      <c r="G211" s="109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</row>
    <row r="212" ht="26.25" customHeight="1">
      <c r="A212" s="104">
        <v>14.0</v>
      </c>
      <c r="B212" s="120"/>
      <c r="C212" s="110"/>
      <c r="D212" s="107"/>
      <c r="E212" s="107" t="s">
        <v>968</v>
      </c>
      <c r="F212" s="108"/>
      <c r="G212" s="109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ht="26.25" customHeight="1">
      <c r="A213" s="112"/>
      <c r="B213" s="113"/>
      <c r="C213" s="114"/>
      <c r="D213" s="114"/>
      <c r="E213" s="99" t="s">
        <v>144</v>
      </c>
      <c r="F213" s="100">
        <v>0.0</v>
      </c>
      <c r="G213" s="114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ht="26.25" customHeight="1">
      <c r="A214" s="115"/>
      <c r="B214" s="113"/>
      <c r="C214" s="114"/>
      <c r="D214" s="114"/>
      <c r="E214" s="99" t="s">
        <v>145</v>
      </c>
      <c r="F214" s="100">
        <v>5775.0</v>
      </c>
      <c r="G214" s="210">
        <v>5965.0</v>
      </c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</row>
    <row r="215" ht="26.25" customHeight="1">
      <c r="A215" s="115"/>
      <c r="B215" s="113"/>
      <c r="C215" s="114"/>
      <c r="D215" s="114"/>
      <c r="E215" s="99" t="s">
        <v>146</v>
      </c>
      <c r="F215" s="100">
        <v>1020.0</v>
      </c>
      <c r="G215" s="114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</row>
    <row r="216" ht="26.25" customHeight="1">
      <c r="A216" s="115"/>
      <c r="B216" s="113"/>
      <c r="C216" s="114"/>
      <c r="D216" s="114"/>
      <c r="E216" s="99" t="s">
        <v>147</v>
      </c>
      <c r="F216" s="100">
        <v>765.0</v>
      </c>
      <c r="G216" s="114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</row>
    <row r="217" ht="26.25" customHeight="1">
      <c r="A217" s="115"/>
      <c r="B217" s="113"/>
      <c r="C217" s="114"/>
      <c r="D217" s="114"/>
      <c r="E217" s="99" t="s">
        <v>148</v>
      </c>
      <c r="F217" s="100">
        <v>5010.0</v>
      </c>
      <c r="G217" s="201" t="s">
        <v>969</v>
      </c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ht="26.25" customHeight="1">
      <c r="A218" s="118"/>
      <c r="B218" s="119"/>
      <c r="C218" s="119"/>
      <c r="D218" s="119"/>
      <c r="E218" s="144" t="s">
        <v>970</v>
      </c>
      <c r="F218" s="144" t="s">
        <v>971</v>
      </c>
      <c r="G218" s="119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</row>
    <row r="219" ht="26.25" customHeight="1">
      <c r="A219" s="102" t="s">
        <v>4</v>
      </c>
      <c r="B219" s="102" t="s">
        <v>5</v>
      </c>
      <c r="C219" s="102" t="s">
        <v>126</v>
      </c>
      <c r="D219" s="102" t="s">
        <v>6</v>
      </c>
      <c r="E219" s="102" t="s">
        <v>7</v>
      </c>
      <c r="F219" s="102" t="s">
        <v>127</v>
      </c>
      <c r="G219" s="103" t="s">
        <v>128</v>
      </c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</row>
    <row r="220" ht="26.25" customHeight="1">
      <c r="A220" s="104">
        <v>1.0</v>
      </c>
      <c r="B220" s="105">
        <v>46103.0</v>
      </c>
      <c r="C220" s="106" t="s">
        <v>561</v>
      </c>
      <c r="D220" s="107"/>
      <c r="E220" s="107" t="s">
        <v>972</v>
      </c>
      <c r="F220" s="108"/>
      <c r="G220" s="109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</row>
    <row r="221" ht="26.25" customHeight="1">
      <c r="A221" s="104">
        <v>2.0</v>
      </c>
      <c r="B221" s="105">
        <v>46103.0</v>
      </c>
      <c r="C221" s="110"/>
      <c r="D221" s="107"/>
      <c r="E221" s="107" t="s">
        <v>973</v>
      </c>
      <c r="F221" s="108"/>
      <c r="G221" s="109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ht="26.25" customHeight="1">
      <c r="A222" s="104">
        <v>3.0</v>
      </c>
      <c r="B222" s="120"/>
      <c r="C222" s="110"/>
      <c r="D222" s="107"/>
      <c r="E222" s="107"/>
      <c r="F222" s="111"/>
      <c r="G222" s="109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ht="26.25" customHeight="1">
      <c r="A223" s="104">
        <v>4.0</v>
      </c>
      <c r="B223" s="105">
        <v>46104.0</v>
      </c>
      <c r="C223" s="110"/>
      <c r="D223" s="107"/>
      <c r="E223" s="107" t="s">
        <v>974</v>
      </c>
      <c r="F223" s="108"/>
      <c r="G223" s="111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ht="26.25" customHeight="1">
      <c r="A224" s="104">
        <v>5.0</v>
      </c>
      <c r="B224" s="105">
        <v>46105.0</v>
      </c>
      <c r="C224" s="110"/>
      <c r="D224" s="107"/>
      <c r="E224" s="107"/>
      <c r="F224" s="211" t="s">
        <v>975</v>
      </c>
      <c r="G224" s="109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ht="26.25" customHeight="1">
      <c r="A225" s="104">
        <v>6.0</v>
      </c>
      <c r="B225" s="120"/>
      <c r="C225" s="110"/>
      <c r="D225" s="107"/>
      <c r="E225" s="107" t="s">
        <v>976</v>
      </c>
      <c r="F225" s="108"/>
      <c r="G225" s="108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ht="26.25" customHeight="1">
      <c r="A226" s="104">
        <v>7.0</v>
      </c>
      <c r="B226" s="120"/>
      <c r="C226" s="110"/>
      <c r="D226" s="107"/>
      <c r="E226" s="107" t="s">
        <v>977</v>
      </c>
      <c r="F226" s="111"/>
      <c r="G226" s="109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ht="26.25" customHeight="1">
      <c r="A227" s="104">
        <v>8.0</v>
      </c>
      <c r="B227" s="120"/>
      <c r="C227" s="106"/>
      <c r="D227" s="107"/>
      <c r="E227" s="107"/>
      <c r="F227" s="108"/>
      <c r="G227" s="109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ht="26.25" customHeight="1">
      <c r="A228" s="104">
        <v>9.0</v>
      </c>
      <c r="B228" s="120"/>
      <c r="C228" s="110"/>
      <c r="D228" s="107"/>
      <c r="E228" s="107" t="s">
        <v>978</v>
      </c>
      <c r="F228" s="108">
        <v>2370.0</v>
      </c>
      <c r="G228" s="109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ht="26.25" customHeight="1">
      <c r="A229" s="104">
        <v>10.0</v>
      </c>
      <c r="B229" s="120"/>
      <c r="C229" s="110"/>
      <c r="D229" s="107"/>
      <c r="E229" s="107" t="s">
        <v>849</v>
      </c>
      <c r="F229" s="108">
        <v>205.0</v>
      </c>
      <c r="G229" s="109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ht="26.25" customHeight="1">
      <c r="A230" s="104">
        <v>11.0</v>
      </c>
      <c r="B230" s="120"/>
      <c r="C230" s="110"/>
      <c r="D230" s="107"/>
      <c r="E230" s="107" t="s">
        <v>147</v>
      </c>
      <c r="F230" s="108">
        <v>155.0</v>
      </c>
      <c r="G230" s="109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ht="26.25" customHeight="1">
      <c r="A231" s="104">
        <v>12.0</v>
      </c>
      <c r="B231" s="120"/>
      <c r="C231" s="110"/>
      <c r="D231" s="107"/>
      <c r="E231" s="107" t="s">
        <v>979</v>
      </c>
      <c r="F231" s="108">
        <v>2215.0</v>
      </c>
      <c r="G231" s="111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ht="26.25" customHeight="1">
      <c r="A232" s="104">
        <v>13.0</v>
      </c>
      <c r="B232" s="120"/>
      <c r="C232" s="110"/>
      <c r="D232" s="107"/>
      <c r="E232" s="107" t="s">
        <v>801</v>
      </c>
      <c r="F232" s="108">
        <v>1715.0</v>
      </c>
      <c r="G232" s="109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</row>
    <row r="233" ht="26.25" customHeight="1">
      <c r="A233" s="104">
        <v>14.0</v>
      </c>
      <c r="B233" s="120"/>
      <c r="C233" s="110"/>
      <c r="D233" s="107"/>
      <c r="E233" s="107" t="s">
        <v>980</v>
      </c>
      <c r="F233" s="111" t="s">
        <v>981</v>
      </c>
      <c r="G233" s="109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ht="26.25" customHeight="1">
      <c r="A234" s="112"/>
      <c r="B234" s="113"/>
      <c r="C234" s="114"/>
      <c r="D234" s="114"/>
      <c r="E234" s="99" t="s">
        <v>144</v>
      </c>
      <c r="F234" s="131"/>
      <c r="G234" s="114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</row>
    <row r="235" ht="26.25" customHeight="1">
      <c r="A235" s="115"/>
      <c r="B235" s="113"/>
      <c r="C235" s="114"/>
      <c r="D235" s="114"/>
      <c r="E235" s="99" t="s">
        <v>145</v>
      </c>
      <c r="F235" s="100"/>
      <c r="G235" s="114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</row>
    <row r="236" ht="26.25" customHeight="1">
      <c r="A236" s="115"/>
      <c r="B236" s="113"/>
      <c r="C236" s="114"/>
      <c r="D236" s="114"/>
      <c r="E236" s="99" t="s">
        <v>146</v>
      </c>
      <c r="F236" s="100"/>
      <c r="G236" s="114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</row>
    <row r="237" ht="26.25" customHeight="1">
      <c r="A237" s="115"/>
      <c r="B237" s="113"/>
      <c r="C237" s="114"/>
      <c r="D237" s="114"/>
      <c r="E237" s="99" t="s">
        <v>147</v>
      </c>
      <c r="F237" s="100"/>
      <c r="G237" s="114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ht="26.25" customHeight="1">
      <c r="A238" s="115"/>
      <c r="B238" s="113"/>
      <c r="C238" s="114"/>
      <c r="D238" s="114"/>
      <c r="E238" s="99" t="s">
        <v>148</v>
      </c>
      <c r="F238" s="100"/>
      <c r="G238" s="114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</row>
    <row r="239" ht="26.25" customHeight="1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</row>
    <row r="240" ht="26.25" customHeight="1">
      <c r="A240" s="102" t="s">
        <v>4</v>
      </c>
      <c r="B240" s="102" t="s">
        <v>5</v>
      </c>
      <c r="C240" s="102" t="s">
        <v>126</v>
      </c>
      <c r="D240" s="102" t="s">
        <v>6</v>
      </c>
      <c r="E240" s="102" t="s">
        <v>7</v>
      </c>
      <c r="F240" s="102" t="s">
        <v>127</v>
      </c>
      <c r="G240" s="102" t="s">
        <v>128</v>
      </c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</row>
    <row r="241" ht="26.25" customHeight="1">
      <c r="A241" s="102">
        <v>1.0</v>
      </c>
      <c r="B241" s="147">
        <v>46105.0</v>
      </c>
      <c r="C241" s="148" t="s">
        <v>169</v>
      </c>
      <c r="D241" s="107"/>
      <c r="E241" s="107" t="s">
        <v>982</v>
      </c>
      <c r="F241" s="108" t="s">
        <v>983</v>
      </c>
      <c r="G241" s="111" t="s">
        <v>984</v>
      </c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ht="26.25" customHeight="1">
      <c r="A242" s="102">
        <v>2.0</v>
      </c>
      <c r="B242" s="123"/>
      <c r="C242" s="123"/>
      <c r="D242" s="107"/>
      <c r="E242" s="107" t="s">
        <v>985</v>
      </c>
      <c r="F242" s="108">
        <v>40.0</v>
      </c>
      <c r="G242" s="108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</row>
    <row r="243" ht="26.25" customHeight="1">
      <c r="A243" s="102">
        <v>3.0</v>
      </c>
      <c r="B243" s="123"/>
      <c r="C243" s="123"/>
      <c r="D243" s="107"/>
      <c r="E243" s="107" t="s">
        <v>986</v>
      </c>
      <c r="F243" s="108">
        <v>40.0</v>
      </c>
      <c r="G243" s="108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</row>
    <row r="244" ht="26.25" customHeight="1">
      <c r="A244" s="102">
        <v>4.0</v>
      </c>
      <c r="B244" s="123"/>
      <c r="C244" s="123"/>
      <c r="D244" s="107"/>
      <c r="E244" s="107" t="s">
        <v>795</v>
      </c>
      <c r="F244" s="108">
        <v>50.0</v>
      </c>
      <c r="G244" s="108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</row>
    <row r="245" ht="26.25" customHeight="1">
      <c r="A245" s="102">
        <v>5.0</v>
      </c>
      <c r="B245" s="123"/>
      <c r="C245" s="123"/>
      <c r="D245" s="107"/>
      <c r="E245" s="107" t="s">
        <v>987</v>
      </c>
      <c r="F245" s="108">
        <v>50.0</v>
      </c>
      <c r="G245" s="108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</row>
    <row r="246" ht="26.25" customHeight="1">
      <c r="A246" s="102">
        <v>6.0</v>
      </c>
      <c r="B246" s="123"/>
      <c r="C246" s="123"/>
      <c r="D246" s="107"/>
      <c r="E246" s="107" t="s">
        <v>988</v>
      </c>
      <c r="F246" s="108">
        <v>40.0</v>
      </c>
      <c r="G246" s="108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</row>
    <row r="247" ht="26.25" customHeight="1">
      <c r="A247" s="102">
        <v>7.0</v>
      </c>
      <c r="B247" s="123"/>
      <c r="C247" s="123"/>
      <c r="D247" s="107"/>
      <c r="E247" s="107" t="s">
        <v>989</v>
      </c>
      <c r="F247" s="108">
        <v>50.0</v>
      </c>
      <c r="G247" s="108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</row>
    <row r="248" ht="26.25" customHeight="1">
      <c r="A248" s="102">
        <v>8.0</v>
      </c>
      <c r="B248" s="123"/>
      <c r="C248" s="123"/>
      <c r="D248" s="107"/>
      <c r="E248" s="107" t="s">
        <v>990</v>
      </c>
      <c r="F248" s="108">
        <v>35.0</v>
      </c>
      <c r="G248" s="108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</row>
    <row r="249" ht="26.25" customHeight="1">
      <c r="A249" s="58"/>
      <c r="B249" s="149"/>
      <c r="C249" s="58"/>
      <c r="D249" s="58"/>
      <c r="E249" s="102" t="s">
        <v>144</v>
      </c>
      <c r="F249" s="150">
        <v>3000.0</v>
      </c>
      <c r="G249" s="58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</row>
    <row r="250" ht="26.25" customHeight="1">
      <c r="A250" s="58"/>
      <c r="B250" s="149"/>
      <c r="C250" s="58"/>
      <c r="D250" s="58"/>
      <c r="E250" s="102" t="s">
        <v>145</v>
      </c>
      <c r="F250" s="150">
        <v>3895.0</v>
      </c>
      <c r="G250" s="58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</row>
    <row r="251" ht="26.25" customHeight="1">
      <c r="A251" s="58"/>
      <c r="B251" s="149"/>
      <c r="C251" s="58"/>
      <c r="D251" s="58"/>
      <c r="E251" s="102" t="s">
        <v>146</v>
      </c>
      <c r="F251" s="150">
        <v>395.0</v>
      </c>
      <c r="G251" s="58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</row>
    <row r="252" ht="26.25" customHeight="1">
      <c r="A252" s="58"/>
      <c r="B252" s="149"/>
      <c r="C252" s="58"/>
      <c r="D252" s="58"/>
      <c r="E252" s="102" t="s">
        <v>147</v>
      </c>
      <c r="F252" s="150">
        <v>295.0</v>
      </c>
      <c r="G252" s="58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</row>
    <row r="253" ht="26.25" customHeight="1">
      <c r="A253" s="58"/>
      <c r="B253" s="149"/>
      <c r="C253" s="58"/>
      <c r="D253" s="58"/>
      <c r="E253" s="102" t="s">
        <v>148</v>
      </c>
      <c r="F253" s="150">
        <v>3600.0</v>
      </c>
      <c r="G253" s="58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</row>
    <row r="254" ht="26.25" customHeight="1">
      <c r="A254" s="115"/>
      <c r="B254" s="113"/>
      <c r="C254" s="114"/>
      <c r="D254" s="114"/>
      <c r="E254" s="146"/>
      <c r="F254" s="146" t="s">
        <v>991</v>
      </c>
      <c r="G254" s="114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</row>
    <row r="255" ht="26.25" customHeight="1">
      <c r="A255" s="102" t="s">
        <v>4</v>
      </c>
      <c r="B255" s="102" t="s">
        <v>5</v>
      </c>
      <c r="C255" s="102" t="s">
        <v>126</v>
      </c>
      <c r="D255" s="102" t="s">
        <v>6</v>
      </c>
      <c r="E255" s="102" t="s">
        <v>7</v>
      </c>
      <c r="F255" s="102" t="s">
        <v>127</v>
      </c>
      <c r="G255" s="102" t="s">
        <v>128</v>
      </c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</row>
    <row r="256" ht="26.25" customHeight="1">
      <c r="A256" s="102">
        <v>1.0</v>
      </c>
      <c r="B256" s="147">
        <v>46106.0</v>
      </c>
      <c r="C256" s="148" t="s">
        <v>299</v>
      </c>
      <c r="D256" s="107"/>
      <c r="E256" s="107" t="s">
        <v>795</v>
      </c>
      <c r="F256" s="111" t="s">
        <v>992</v>
      </c>
      <c r="G256" s="108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</row>
    <row r="257" ht="26.25" customHeight="1">
      <c r="A257" s="102">
        <v>2.0</v>
      </c>
      <c r="B257" s="123"/>
      <c r="C257" s="123"/>
      <c r="D257" s="107"/>
      <c r="E257" s="107" t="s">
        <v>993</v>
      </c>
      <c r="F257" s="108">
        <v>-2350.0</v>
      </c>
      <c r="G257" s="108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ht="26.25" customHeight="1">
      <c r="A258" s="102">
        <v>3.0</v>
      </c>
      <c r="B258" s="123"/>
      <c r="C258" s="123"/>
      <c r="D258" s="107"/>
      <c r="E258" s="107" t="s">
        <v>994</v>
      </c>
      <c r="F258" s="108">
        <v>50.0</v>
      </c>
      <c r="G258" s="108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ht="26.25" customHeight="1">
      <c r="A259" s="102">
        <v>4.0</v>
      </c>
      <c r="B259" s="123"/>
      <c r="C259" s="123"/>
      <c r="D259" s="107"/>
      <c r="E259" s="107" t="s">
        <v>995</v>
      </c>
      <c r="F259" s="111" t="s">
        <v>996</v>
      </c>
      <c r="G259" s="108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</row>
    <row r="260" ht="26.25" customHeight="1">
      <c r="A260" s="102">
        <v>5.0</v>
      </c>
      <c r="B260" s="123"/>
      <c r="C260" s="123"/>
      <c r="D260" s="107"/>
      <c r="E260" s="107" t="s">
        <v>997</v>
      </c>
      <c r="F260" s="108" t="s">
        <v>998</v>
      </c>
      <c r="G260" s="108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</row>
    <row r="261" ht="26.25" customHeight="1">
      <c r="A261" s="102">
        <v>6.0</v>
      </c>
      <c r="B261" s="123"/>
      <c r="C261" s="123"/>
      <c r="D261" s="107"/>
      <c r="E261" s="107" t="s">
        <v>999</v>
      </c>
      <c r="F261" s="108" t="s">
        <v>1000</v>
      </c>
      <c r="G261" s="108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ht="26.25" customHeight="1">
      <c r="A262" s="58"/>
      <c r="B262" s="149"/>
      <c r="C262" s="58"/>
      <c r="D262" s="58"/>
      <c r="E262" s="102" t="s">
        <v>144</v>
      </c>
      <c r="F262" s="150">
        <v>3000.0</v>
      </c>
      <c r="G262" s="58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ht="26.25" customHeight="1">
      <c r="A263" s="58"/>
      <c r="B263" s="149"/>
      <c r="C263" s="58"/>
      <c r="D263" s="58"/>
      <c r="E263" s="102" t="s">
        <v>145</v>
      </c>
      <c r="F263" s="102">
        <f>3000-225-2350+50+6150+170+1330+150</f>
        <v>8275</v>
      </c>
      <c r="G263" s="58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ht="26.25" customHeight="1">
      <c r="A264" s="58"/>
      <c r="B264" s="149"/>
      <c r="C264" s="58"/>
      <c r="D264" s="58"/>
      <c r="E264" s="102" t="s">
        <v>146</v>
      </c>
      <c r="F264" s="102">
        <f>40+50+150+170+150</f>
        <v>560</v>
      </c>
      <c r="G264" s="58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ht="26.25" customHeight="1">
      <c r="A265" s="58"/>
      <c r="B265" s="149"/>
      <c r="C265" s="58"/>
      <c r="D265" s="58"/>
      <c r="E265" s="102" t="s">
        <v>147</v>
      </c>
      <c r="F265" s="102">
        <f>F264*75/100</f>
        <v>420</v>
      </c>
      <c r="G265" s="212" t="s">
        <v>1001</v>
      </c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ht="26.25" customHeight="1">
      <c r="A266" s="58"/>
      <c r="B266" s="149"/>
      <c r="C266" s="58"/>
      <c r="D266" s="58"/>
      <c r="E266" s="102" t="s">
        <v>148</v>
      </c>
      <c r="F266" s="102">
        <f>8275-220</f>
        <v>8055</v>
      </c>
      <c r="G266" s="58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ht="26.25" customHeight="1">
      <c r="A267" s="213"/>
      <c r="B267" s="214"/>
      <c r="C267" s="214"/>
      <c r="D267" s="215"/>
      <c r="E267" s="216" t="s">
        <v>1002</v>
      </c>
      <c r="F267" s="217"/>
      <c r="G267" s="214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ht="26.25" customHeight="1">
      <c r="A268" s="102" t="s">
        <v>4</v>
      </c>
      <c r="B268" s="102" t="s">
        <v>5</v>
      </c>
      <c r="C268" s="102" t="s">
        <v>126</v>
      </c>
      <c r="D268" s="102" t="s">
        <v>6</v>
      </c>
      <c r="E268" s="102" t="s">
        <v>7</v>
      </c>
      <c r="F268" s="102" t="s">
        <v>127</v>
      </c>
      <c r="G268" s="102" t="s">
        <v>128</v>
      </c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ht="26.25" customHeight="1">
      <c r="A269" s="102">
        <v>1.0</v>
      </c>
      <c r="B269" s="147">
        <v>46108.0</v>
      </c>
      <c r="C269" s="148" t="s">
        <v>470</v>
      </c>
      <c r="D269" s="107"/>
      <c r="E269" s="107" t="s">
        <v>1003</v>
      </c>
      <c r="F269" s="108" t="s">
        <v>1004</v>
      </c>
      <c r="G269" s="108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ht="26.25" customHeight="1">
      <c r="A270" s="102">
        <v>2.0</v>
      </c>
      <c r="B270" s="123"/>
      <c r="C270" s="123"/>
      <c r="D270" s="107"/>
      <c r="E270" s="107" t="s">
        <v>1005</v>
      </c>
      <c r="F270" s="108">
        <v>60.0</v>
      </c>
      <c r="G270" s="108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ht="26.25" customHeight="1">
      <c r="A271" s="102">
        <v>3.0</v>
      </c>
      <c r="B271" s="123"/>
      <c r="C271" s="123"/>
      <c r="D271" s="107"/>
      <c r="E271" s="107" t="s">
        <v>1006</v>
      </c>
      <c r="F271" s="108">
        <v>40.0</v>
      </c>
      <c r="G271" s="108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</row>
    <row r="272" ht="26.25" customHeight="1">
      <c r="A272" s="102">
        <v>4.0</v>
      </c>
      <c r="B272" s="123"/>
      <c r="C272" s="123"/>
      <c r="D272" s="107"/>
      <c r="E272" s="107" t="s">
        <v>1007</v>
      </c>
      <c r="F272" s="108">
        <v>40.0</v>
      </c>
      <c r="G272" s="108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ht="26.25" customHeight="1">
      <c r="A273" s="102">
        <v>5.0</v>
      </c>
      <c r="B273" s="123"/>
      <c r="C273" s="123"/>
      <c r="D273" s="107"/>
      <c r="E273" s="107" t="s">
        <v>1008</v>
      </c>
      <c r="F273" s="108" t="s">
        <v>1009</v>
      </c>
      <c r="G273" s="108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ht="26.25" customHeight="1">
      <c r="A274" s="58"/>
      <c r="B274" s="149"/>
      <c r="C274" s="58"/>
      <c r="D274" s="58"/>
      <c r="E274" s="102" t="s">
        <v>144</v>
      </c>
      <c r="F274" s="150">
        <v>0.0</v>
      </c>
      <c r="G274" s="58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</row>
    <row r="275" ht="26.25" customHeight="1">
      <c r="A275" s="58"/>
      <c r="B275" s="149"/>
      <c r="C275" s="58"/>
      <c r="D275" s="58"/>
      <c r="E275" s="102" t="s">
        <v>145</v>
      </c>
      <c r="F275" s="102">
        <f>470+40+60+40+40+140+60</f>
        <v>850</v>
      </c>
      <c r="G275" s="58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ht="26.25" customHeight="1">
      <c r="A276" s="58"/>
      <c r="B276" s="149"/>
      <c r="C276" s="58"/>
      <c r="D276" s="58"/>
      <c r="E276" s="102" t="s">
        <v>146</v>
      </c>
      <c r="F276" s="102">
        <f>40+60+80+60</f>
        <v>240</v>
      </c>
      <c r="G276" s="58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</row>
    <row r="277" ht="26.25" customHeight="1">
      <c r="A277" s="58"/>
      <c r="B277" s="149"/>
      <c r="C277" s="58"/>
      <c r="D277" s="58"/>
      <c r="E277" s="102" t="s">
        <v>147</v>
      </c>
      <c r="F277" s="102">
        <f>F276*75/100</f>
        <v>180</v>
      </c>
      <c r="G277" s="212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ht="26.25" customHeight="1">
      <c r="A278" s="58"/>
      <c r="B278" s="149"/>
      <c r="C278" s="58"/>
      <c r="D278" s="58"/>
      <c r="E278" s="102" t="s">
        <v>148</v>
      </c>
      <c r="F278" s="102">
        <f>F275-F277</f>
        <v>670</v>
      </c>
      <c r="G278" s="58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ht="26.25" customHeight="1">
      <c r="A279" s="213"/>
      <c r="B279" s="214"/>
      <c r="C279" s="214"/>
      <c r="D279" s="215"/>
      <c r="E279" s="216" t="s">
        <v>1010</v>
      </c>
      <c r="F279" s="217">
        <f>F278+225</f>
        <v>895</v>
      </c>
      <c r="G279" s="214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</row>
    <row r="280" ht="26.25" customHeight="1">
      <c r="A280" s="218"/>
      <c r="B280" s="219"/>
      <c r="C280" s="219"/>
      <c r="D280" s="219"/>
      <c r="E280" s="219"/>
      <c r="F280" s="219"/>
      <c r="G280" s="219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</row>
    <row r="281" ht="26.25" customHeight="1">
      <c r="A281" s="102" t="s">
        <v>4</v>
      </c>
      <c r="B281" s="102" t="s">
        <v>5</v>
      </c>
      <c r="C281" s="102" t="s">
        <v>126</v>
      </c>
      <c r="D281" s="102" t="s">
        <v>6</v>
      </c>
      <c r="E281" s="102" t="s">
        <v>7</v>
      </c>
      <c r="F281" s="102" t="s">
        <v>127</v>
      </c>
      <c r="G281" s="103" t="s">
        <v>128</v>
      </c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</row>
    <row r="282" ht="26.25" customHeight="1">
      <c r="A282" s="104">
        <v>1.0</v>
      </c>
      <c r="B282" s="105">
        <v>46110.0</v>
      </c>
      <c r="C282" s="106" t="s">
        <v>476</v>
      </c>
      <c r="D282" s="107" t="s">
        <v>833</v>
      </c>
      <c r="E282" s="107" t="s">
        <v>1011</v>
      </c>
      <c r="F282" s="108"/>
      <c r="G282" s="109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ht="26.25" customHeight="1">
      <c r="A283" s="104">
        <v>2.0</v>
      </c>
      <c r="B283" s="105"/>
      <c r="C283" s="110"/>
      <c r="D283" s="107"/>
      <c r="E283" s="107" t="s">
        <v>1012</v>
      </c>
      <c r="F283" s="108"/>
      <c r="G283" s="109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ht="26.25" customHeight="1">
      <c r="A284" s="104">
        <v>3.0</v>
      </c>
      <c r="B284" s="120"/>
      <c r="C284" s="110"/>
      <c r="D284" s="107"/>
      <c r="E284" s="107" t="s">
        <v>1013</v>
      </c>
      <c r="F284" s="111" t="s">
        <v>1014</v>
      </c>
      <c r="G284" s="109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</row>
    <row r="285" ht="26.25" customHeight="1">
      <c r="A285" s="104">
        <v>4.0</v>
      </c>
      <c r="B285" s="105"/>
      <c r="C285" s="110"/>
      <c r="D285" s="107"/>
      <c r="E285" s="107" t="s">
        <v>1015</v>
      </c>
      <c r="F285" s="108"/>
      <c r="G285" s="111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ht="26.25" customHeight="1">
      <c r="A286" s="104">
        <v>5.0</v>
      </c>
      <c r="B286" s="105"/>
      <c r="C286" s="110"/>
      <c r="D286" s="107"/>
      <c r="E286" s="107" t="s">
        <v>528</v>
      </c>
      <c r="F286" s="211"/>
      <c r="G286" s="109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</row>
    <row r="287" ht="26.25" customHeight="1">
      <c r="A287" s="104">
        <v>6.0</v>
      </c>
      <c r="B287" s="120"/>
      <c r="C287" s="110"/>
      <c r="D287" s="107"/>
      <c r="E287" s="107" t="s">
        <v>1016</v>
      </c>
      <c r="F287" s="108"/>
      <c r="G287" s="109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</row>
    <row r="288" ht="26.25" customHeight="1">
      <c r="A288" s="112"/>
      <c r="B288" s="113"/>
      <c r="C288" s="114"/>
      <c r="D288" s="114"/>
      <c r="E288" s="99" t="s">
        <v>144</v>
      </c>
      <c r="F288" s="100">
        <v>3000.0</v>
      </c>
      <c r="G288" s="114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</row>
    <row r="289" ht="26.25" customHeight="1">
      <c r="A289" s="115"/>
      <c r="B289" s="113"/>
      <c r="C289" s="114"/>
      <c r="D289" s="114"/>
      <c r="E289" s="99" t="s">
        <v>145</v>
      </c>
      <c r="F289" s="100">
        <v>1935.0</v>
      </c>
      <c r="G289" s="114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</row>
    <row r="290" ht="26.25" customHeight="1">
      <c r="A290" s="115"/>
      <c r="B290" s="113"/>
      <c r="C290" s="114"/>
      <c r="D290" s="114"/>
      <c r="E290" s="99" t="s">
        <v>146</v>
      </c>
      <c r="F290" s="100">
        <v>340.0</v>
      </c>
      <c r="G290" s="114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</row>
    <row r="291" ht="26.25" customHeight="1">
      <c r="A291" s="115"/>
      <c r="B291" s="113"/>
      <c r="C291" s="114"/>
      <c r="D291" s="114"/>
      <c r="E291" s="99" t="s">
        <v>147</v>
      </c>
      <c r="F291" s="100">
        <v>255.0</v>
      </c>
      <c r="G291" s="114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</row>
    <row r="292" ht="26.25" customHeight="1">
      <c r="A292" s="115"/>
      <c r="B292" s="113"/>
      <c r="C292" s="114"/>
      <c r="D292" s="114"/>
      <c r="E292" s="99" t="s">
        <v>148</v>
      </c>
      <c r="F292" s="100">
        <v>1680.0</v>
      </c>
      <c r="G292" s="220" t="s">
        <v>1017</v>
      </c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</row>
    <row r="293" ht="26.25" customHeight="1">
      <c r="A293" s="115"/>
      <c r="B293" s="113"/>
      <c r="C293" s="114"/>
      <c r="D293" s="114"/>
      <c r="E293" s="221"/>
      <c r="F293" s="222"/>
      <c r="G293" s="22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</row>
    <row r="294" ht="26.25" customHeight="1">
      <c r="A294" s="218"/>
      <c r="B294" s="219"/>
      <c r="C294" s="219"/>
      <c r="D294" s="219"/>
      <c r="E294" s="219"/>
      <c r="F294" s="219"/>
      <c r="G294" s="219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</row>
    <row r="295" ht="26.25" customHeight="1">
      <c r="A295" s="102" t="s">
        <v>4</v>
      </c>
      <c r="B295" s="102" t="s">
        <v>5</v>
      </c>
      <c r="C295" s="102" t="s">
        <v>126</v>
      </c>
      <c r="D295" s="102" t="s">
        <v>6</v>
      </c>
      <c r="E295" s="102" t="s">
        <v>7</v>
      </c>
      <c r="F295" s="102" t="s">
        <v>127</v>
      </c>
      <c r="G295" s="103" t="s">
        <v>128</v>
      </c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</row>
    <row r="296" ht="26.25" customHeight="1">
      <c r="A296" s="104">
        <v>1.0</v>
      </c>
      <c r="B296" s="105">
        <v>46111.0</v>
      </c>
      <c r="C296" s="106" t="s">
        <v>1018</v>
      </c>
      <c r="D296" s="107" t="s">
        <v>833</v>
      </c>
      <c r="E296" s="107" t="s">
        <v>1019</v>
      </c>
      <c r="F296" s="108"/>
      <c r="G296" s="109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</row>
    <row r="297" ht="26.25" customHeight="1">
      <c r="A297" s="104">
        <v>2.0</v>
      </c>
      <c r="B297" s="105"/>
      <c r="C297" s="110"/>
      <c r="D297" s="107"/>
      <c r="E297" s="107" t="s">
        <v>1020</v>
      </c>
      <c r="F297" s="108"/>
      <c r="G297" s="109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</row>
    <row r="298" ht="26.25" customHeight="1">
      <c r="A298" s="104">
        <v>3.0</v>
      </c>
      <c r="B298" s="120"/>
      <c r="C298" s="110"/>
      <c r="D298" s="107"/>
      <c r="E298" s="107" t="s">
        <v>1021</v>
      </c>
      <c r="F298" s="111"/>
      <c r="G298" s="109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</row>
    <row r="299" ht="26.25" customHeight="1">
      <c r="A299" s="104">
        <v>4.0</v>
      </c>
      <c r="B299" s="105"/>
      <c r="C299" s="110"/>
      <c r="D299" s="107"/>
      <c r="E299" s="107" t="s">
        <v>1022</v>
      </c>
      <c r="F299" s="108"/>
      <c r="G299" s="111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</row>
    <row r="300" ht="26.25" customHeight="1">
      <c r="A300" s="115"/>
      <c r="B300" s="113"/>
      <c r="C300" s="114"/>
      <c r="D300" s="223" t="s">
        <v>1023</v>
      </c>
      <c r="E300" s="146"/>
      <c r="F300" s="224"/>
      <c r="G300" s="22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ht="26.25" customHeight="1">
      <c r="A301" s="115"/>
      <c r="B301" s="113"/>
      <c r="C301" s="114"/>
      <c r="D301" s="114"/>
      <c r="E301" s="146" t="s">
        <v>1024</v>
      </c>
      <c r="F301" s="224"/>
      <c r="G301" s="22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ht="26.25" customHeight="1">
      <c r="A302" s="102" t="s">
        <v>4</v>
      </c>
      <c r="B302" s="102" t="s">
        <v>5</v>
      </c>
      <c r="C302" s="102" t="s">
        <v>126</v>
      </c>
      <c r="D302" s="102" t="s">
        <v>6</v>
      </c>
      <c r="E302" s="102" t="s">
        <v>7</v>
      </c>
      <c r="F302" s="102" t="s">
        <v>127</v>
      </c>
      <c r="G302" s="103" t="s">
        <v>128</v>
      </c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</row>
    <row r="303" ht="26.25" customHeight="1">
      <c r="A303" s="104">
        <v>1.0</v>
      </c>
      <c r="B303" s="105">
        <v>46112.0</v>
      </c>
      <c r="C303" s="106" t="s">
        <v>476</v>
      </c>
      <c r="D303" s="107" t="s">
        <v>833</v>
      </c>
      <c r="E303" s="107" t="s">
        <v>1025</v>
      </c>
      <c r="F303" s="108"/>
      <c r="G303" s="109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ht="26.25" customHeight="1">
      <c r="A304" s="104">
        <v>2.0</v>
      </c>
      <c r="B304" s="105"/>
      <c r="C304" s="110"/>
      <c r="D304" s="107"/>
      <c r="E304" s="107" t="s">
        <v>1026</v>
      </c>
      <c r="F304" s="108">
        <v>-200.0</v>
      </c>
      <c r="G304" s="109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ht="26.25" customHeight="1">
      <c r="A305" s="104">
        <v>3.0</v>
      </c>
      <c r="B305" s="120"/>
      <c r="C305" s="110"/>
      <c r="D305" s="107"/>
      <c r="E305" s="107" t="s">
        <v>1027</v>
      </c>
      <c r="F305" s="108">
        <v>-255.0</v>
      </c>
      <c r="G305" s="109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</row>
    <row r="306" ht="26.25" customHeight="1">
      <c r="A306" s="112"/>
      <c r="B306" s="113"/>
      <c r="C306" s="114"/>
      <c r="D306" s="114"/>
      <c r="E306" s="99" t="s">
        <v>144</v>
      </c>
      <c r="F306" s="100">
        <v>500.0</v>
      </c>
      <c r="G306" s="114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ht="26.25" customHeight="1">
      <c r="A307" s="115"/>
      <c r="B307" s="113"/>
      <c r="C307" s="114"/>
      <c r="D307" s="114"/>
      <c r="E307" s="99" t="s">
        <v>145</v>
      </c>
      <c r="F307" s="100">
        <v>145.0</v>
      </c>
      <c r="G307" s="114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ht="26.25" customHeight="1">
      <c r="A308" s="115"/>
      <c r="B308" s="113"/>
      <c r="C308" s="114"/>
      <c r="D308" s="114"/>
      <c r="E308" s="99" t="s">
        <v>146</v>
      </c>
      <c r="F308" s="100">
        <v>100.0</v>
      </c>
      <c r="G308" s="114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</row>
    <row r="309" ht="26.25" customHeight="1">
      <c r="A309" s="115"/>
      <c r="B309" s="113"/>
      <c r="C309" s="114"/>
      <c r="D309" s="114"/>
      <c r="E309" s="99" t="s">
        <v>147</v>
      </c>
      <c r="F309" s="100">
        <v>75.0</v>
      </c>
      <c r="G309" s="114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ht="26.25" customHeight="1">
      <c r="A310" s="115"/>
      <c r="B310" s="113"/>
      <c r="C310" s="114"/>
      <c r="D310" s="114"/>
      <c r="E310" s="99" t="s">
        <v>148</v>
      </c>
      <c r="F310" s="100">
        <v>70.0</v>
      </c>
      <c r="G310" s="22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ht="26.25" customHeight="1">
      <c r="A311" s="115"/>
      <c r="B311" s="113"/>
      <c r="C311" s="114"/>
      <c r="D311" s="114"/>
      <c r="E311" s="221" t="s">
        <v>1028</v>
      </c>
      <c r="F311" s="222" t="s">
        <v>1029</v>
      </c>
      <c r="G311" s="22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</row>
    <row r="312" ht="26.25" customHeight="1">
      <c r="A312" s="115"/>
      <c r="B312" s="113"/>
      <c r="C312" s="114"/>
      <c r="D312" s="114"/>
      <c r="E312" s="146" t="s">
        <v>1030</v>
      </c>
      <c r="F312" s="224">
        <v>400.0</v>
      </c>
      <c r="G312" s="22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ht="26.25" customHeight="1">
      <c r="A313" s="213"/>
      <c r="B313" s="214"/>
      <c r="C313" s="214"/>
      <c r="D313" s="215"/>
      <c r="E313" s="216"/>
      <c r="F313" s="217"/>
      <c r="G313" s="214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ht="26.25" customHeight="1">
      <c r="A314" s="218"/>
      <c r="B314" s="219"/>
      <c r="C314" s="219"/>
      <c r="D314" s="219"/>
      <c r="E314" s="219"/>
      <c r="F314" s="219"/>
      <c r="G314" s="219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</row>
    <row r="315" ht="26.25" customHeight="1">
      <c r="A315" s="102" t="s">
        <v>4</v>
      </c>
      <c r="B315" s="102" t="s">
        <v>5</v>
      </c>
      <c r="C315" s="102" t="s">
        <v>126</v>
      </c>
      <c r="D315" s="102" t="s">
        <v>6</v>
      </c>
      <c r="E315" s="102" t="s">
        <v>7</v>
      </c>
      <c r="F315" s="102" t="s">
        <v>127</v>
      </c>
      <c r="G315" s="103" t="s">
        <v>128</v>
      </c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ht="26.25" customHeight="1">
      <c r="A316" s="104">
        <v>1.0</v>
      </c>
      <c r="B316" s="105">
        <v>46114.0</v>
      </c>
      <c r="C316" s="106" t="s">
        <v>211</v>
      </c>
      <c r="D316" s="107" t="s">
        <v>833</v>
      </c>
      <c r="E316" s="107" t="s">
        <v>1031</v>
      </c>
      <c r="F316" s="108"/>
      <c r="G316" s="109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</row>
    <row r="317" ht="26.25" customHeight="1">
      <c r="A317" s="104">
        <v>2.0</v>
      </c>
      <c r="B317" s="105"/>
      <c r="C317" s="110"/>
      <c r="D317" s="107"/>
      <c r="E317" s="107" t="s">
        <v>1032</v>
      </c>
      <c r="F317" s="108"/>
      <c r="G317" s="109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</row>
    <row r="318" ht="26.25" customHeight="1">
      <c r="A318" s="104">
        <v>3.0</v>
      </c>
      <c r="B318" s="120"/>
      <c r="C318" s="110"/>
      <c r="D318" s="107"/>
      <c r="E318" s="107" t="s">
        <v>1033</v>
      </c>
      <c r="F318" s="111"/>
      <c r="G318" s="109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</row>
    <row r="319" ht="26.25" customHeight="1">
      <c r="A319" s="104">
        <v>4.0</v>
      </c>
      <c r="B319" s="105"/>
      <c r="C319" s="110"/>
      <c r="D319" s="107"/>
      <c r="E319" s="107" t="s">
        <v>165</v>
      </c>
      <c r="F319" s="111" t="s">
        <v>1034</v>
      </c>
      <c r="G319" s="111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</row>
    <row r="320" ht="26.25" customHeight="1">
      <c r="A320" s="112"/>
      <c r="B320" s="113"/>
      <c r="C320" s="114"/>
      <c r="D320" s="114"/>
      <c r="E320" s="99" t="s">
        <v>144</v>
      </c>
      <c r="F320" s="100">
        <v>0.0</v>
      </c>
      <c r="G320" s="152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</row>
    <row r="321" ht="26.25" customHeight="1">
      <c r="A321" s="115"/>
      <c r="B321" s="113"/>
      <c r="C321" s="114"/>
      <c r="D321" s="114"/>
      <c r="E321" s="99" t="s">
        <v>145</v>
      </c>
      <c r="F321" s="100">
        <v>2510.0</v>
      </c>
      <c r="G321" s="152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</row>
    <row r="322" ht="26.25" customHeight="1">
      <c r="A322" s="115"/>
      <c r="B322" s="113"/>
      <c r="C322" s="114"/>
      <c r="D322" s="114"/>
      <c r="E322" s="99" t="s">
        <v>146</v>
      </c>
      <c r="F322" s="100">
        <v>690.0</v>
      </c>
      <c r="G322" s="152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</row>
    <row r="323" ht="26.25" customHeight="1">
      <c r="A323" s="115"/>
      <c r="B323" s="113"/>
      <c r="C323" s="114"/>
      <c r="D323" s="114"/>
      <c r="E323" s="99" t="s">
        <v>147</v>
      </c>
      <c r="F323" s="100">
        <v>520.0</v>
      </c>
      <c r="G323" s="152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</row>
    <row r="324" ht="26.25" customHeight="1">
      <c r="A324" s="115"/>
      <c r="B324" s="113"/>
      <c r="C324" s="114"/>
      <c r="D324" s="114"/>
      <c r="E324" s="99" t="s">
        <v>148</v>
      </c>
      <c r="F324" s="126" t="s">
        <v>1035</v>
      </c>
      <c r="G324" s="22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</row>
    <row r="325" ht="26.25" customHeight="1">
      <c r="A325" s="115"/>
      <c r="B325" s="113"/>
      <c r="C325" s="114"/>
      <c r="D325" s="114"/>
      <c r="E325" s="146"/>
      <c r="F325" s="224"/>
      <c r="G325" s="22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</row>
    <row r="326" ht="26.25" customHeight="1">
      <c r="A326" s="102" t="s">
        <v>4</v>
      </c>
      <c r="B326" s="102" t="s">
        <v>5</v>
      </c>
      <c r="C326" s="102" t="s">
        <v>126</v>
      </c>
      <c r="D326" s="102" t="s">
        <v>6</v>
      </c>
      <c r="E326" s="102" t="s">
        <v>7</v>
      </c>
      <c r="F326" s="102" t="s">
        <v>127</v>
      </c>
      <c r="G326" s="103" t="s">
        <v>128</v>
      </c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ht="26.25" customHeight="1">
      <c r="A327" s="104">
        <v>1.0</v>
      </c>
      <c r="B327" s="105">
        <v>46115.0</v>
      </c>
      <c r="C327" s="106" t="s">
        <v>1036</v>
      </c>
      <c r="D327" s="107" t="s">
        <v>833</v>
      </c>
      <c r="E327" s="107" t="s">
        <v>1037</v>
      </c>
      <c r="F327" s="108">
        <v>40.0</v>
      </c>
      <c r="G327" s="109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</row>
    <row r="328" ht="26.25" customHeight="1">
      <c r="A328" s="104">
        <v>2.0</v>
      </c>
      <c r="B328" s="105"/>
      <c r="C328" s="110"/>
      <c r="D328" s="107"/>
      <c r="E328" s="107" t="s">
        <v>1038</v>
      </c>
      <c r="F328" s="111" t="s">
        <v>1039</v>
      </c>
      <c r="G328" s="109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</row>
    <row r="329" ht="26.25" customHeight="1">
      <c r="A329" s="104">
        <v>3.0</v>
      </c>
      <c r="B329" s="120"/>
      <c r="C329" s="110"/>
      <c r="D329" s="107"/>
      <c r="E329" s="107" t="s">
        <v>1040</v>
      </c>
      <c r="F329" s="108">
        <v>-120.0</v>
      </c>
      <c r="G329" s="109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</row>
    <row r="330" ht="26.25" customHeight="1">
      <c r="A330" s="112"/>
      <c r="B330" s="113"/>
      <c r="C330" s="114"/>
      <c r="D330" s="114"/>
      <c r="E330" s="99" t="s">
        <v>144</v>
      </c>
      <c r="F330" s="100">
        <v>1990.0</v>
      </c>
      <c r="G330" s="152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</row>
    <row r="331" ht="26.25" customHeight="1">
      <c r="A331" s="115"/>
      <c r="B331" s="113"/>
      <c r="C331" s="114"/>
      <c r="D331" s="114"/>
      <c r="E331" s="99" t="s">
        <v>145</v>
      </c>
      <c r="F331" s="100">
        <v>1910.0</v>
      </c>
      <c r="G331" s="152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ht="26.25" customHeight="1">
      <c r="A332" s="115"/>
      <c r="B332" s="113"/>
      <c r="C332" s="114"/>
      <c r="D332" s="114"/>
      <c r="E332" s="99" t="s">
        <v>146</v>
      </c>
      <c r="F332" s="100">
        <v>190.0</v>
      </c>
      <c r="G332" s="152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</row>
    <row r="333" ht="26.25" customHeight="1">
      <c r="A333" s="115"/>
      <c r="B333" s="113"/>
      <c r="C333" s="114"/>
      <c r="D333" s="114"/>
      <c r="E333" s="99" t="s">
        <v>147</v>
      </c>
      <c r="F333" s="100">
        <v>190.0</v>
      </c>
      <c r="G333" s="152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</row>
    <row r="334" ht="26.25" customHeight="1">
      <c r="A334" s="115"/>
      <c r="B334" s="113"/>
      <c r="C334" s="114"/>
      <c r="D334" s="114"/>
      <c r="E334" s="99" t="s">
        <v>148</v>
      </c>
      <c r="F334" s="100">
        <v>1720.0</v>
      </c>
      <c r="G334" s="22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</row>
    <row r="335" ht="26.25" customHeight="1">
      <c r="A335" s="102" t="s">
        <v>4</v>
      </c>
      <c r="B335" s="102" t="s">
        <v>5</v>
      </c>
      <c r="C335" s="102" t="s">
        <v>126</v>
      </c>
      <c r="D335" s="102" t="s">
        <v>6</v>
      </c>
      <c r="E335" s="102" t="s">
        <v>7</v>
      </c>
      <c r="F335" s="102" t="s">
        <v>127</v>
      </c>
      <c r="G335" s="103" t="s">
        <v>128</v>
      </c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</row>
    <row r="336" ht="26.25" customHeight="1">
      <c r="A336" s="104">
        <v>1.0</v>
      </c>
      <c r="B336" s="105">
        <v>46116.0</v>
      </c>
      <c r="C336" s="106" t="s">
        <v>1041</v>
      </c>
      <c r="D336" s="107" t="s">
        <v>833</v>
      </c>
      <c r="E336" s="107" t="s">
        <v>1042</v>
      </c>
      <c r="F336" s="108"/>
      <c r="G336" s="109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ht="26.25" customHeight="1">
      <c r="A337" s="104">
        <v>2.0</v>
      </c>
      <c r="B337" s="105"/>
      <c r="C337" s="110"/>
      <c r="D337" s="107"/>
      <c r="E337" s="107" t="s">
        <v>1043</v>
      </c>
      <c r="F337" s="111" t="s">
        <v>1044</v>
      </c>
      <c r="G337" s="109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</row>
    <row r="338" ht="26.25" customHeight="1">
      <c r="A338" s="104">
        <v>3.0</v>
      </c>
      <c r="B338" s="120"/>
      <c r="C338" s="110"/>
      <c r="D338" s="107"/>
      <c r="E338" s="107" t="s">
        <v>1045</v>
      </c>
      <c r="F338" s="111" t="s">
        <v>1046</v>
      </c>
      <c r="G338" s="109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</row>
    <row r="339" ht="26.25" customHeight="1">
      <c r="A339" s="104">
        <v>4.0</v>
      </c>
      <c r="B339" s="105"/>
      <c r="C339" s="110"/>
      <c r="D339" s="107"/>
      <c r="E339" s="107" t="s">
        <v>1047</v>
      </c>
      <c r="F339" s="108"/>
      <c r="G339" s="111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</row>
    <row r="340" ht="26.25" customHeight="1">
      <c r="A340" s="112"/>
      <c r="B340" s="113"/>
      <c r="C340" s="114"/>
      <c r="D340" s="114"/>
      <c r="E340" s="99" t="s">
        <v>144</v>
      </c>
      <c r="F340" s="100">
        <v>1720.0</v>
      </c>
      <c r="G340" s="114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</row>
    <row r="341" ht="26.25" customHeight="1">
      <c r="A341" s="115"/>
      <c r="B341" s="113"/>
      <c r="C341" s="114"/>
      <c r="D341" s="114"/>
      <c r="E341" s="99" t="s">
        <v>145</v>
      </c>
      <c r="F341" s="100">
        <f>1720-1000-100-400</f>
        <v>220</v>
      </c>
      <c r="G341" s="114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ht="26.25" customHeight="1">
      <c r="A342" s="115"/>
      <c r="B342" s="113"/>
      <c r="C342" s="114"/>
      <c r="D342" s="114"/>
      <c r="E342" s="99" t="s">
        <v>146</v>
      </c>
      <c r="F342" s="100">
        <f>35+40+50</f>
        <v>125</v>
      </c>
      <c r="G342" s="114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</row>
    <row r="343" ht="26.25" customHeight="1">
      <c r="A343" s="115"/>
      <c r="B343" s="113"/>
      <c r="C343" s="114"/>
      <c r="D343" s="114"/>
      <c r="E343" s="99" t="s">
        <v>147</v>
      </c>
      <c r="F343" s="100">
        <v>125.0</v>
      </c>
      <c r="G343" s="114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</row>
    <row r="344" ht="26.25" customHeight="1">
      <c r="A344" s="115"/>
      <c r="B344" s="113"/>
      <c r="C344" s="114"/>
      <c r="D344" s="114"/>
      <c r="E344" s="99" t="s">
        <v>148</v>
      </c>
      <c r="F344" s="100">
        <f>F341-F343</f>
        <v>95</v>
      </c>
      <c r="G344" s="22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</row>
    <row r="345" ht="26.25" customHeight="1">
      <c r="A345" s="102" t="s">
        <v>4</v>
      </c>
      <c r="B345" s="102" t="s">
        <v>5</v>
      </c>
      <c r="C345" s="102" t="s">
        <v>126</v>
      </c>
      <c r="D345" s="102" t="s">
        <v>6</v>
      </c>
      <c r="E345" s="102" t="s">
        <v>7</v>
      </c>
      <c r="F345" s="102" t="s">
        <v>127</v>
      </c>
      <c r="G345" s="103" t="s">
        <v>128</v>
      </c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</row>
    <row r="346" ht="26.25" customHeight="1">
      <c r="A346" s="104">
        <v>1.0</v>
      </c>
      <c r="B346" s="105">
        <v>46117.0</v>
      </c>
      <c r="C346" s="106" t="s">
        <v>561</v>
      </c>
      <c r="D346" s="107" t="s">
        <v>833</v>
      </c>
      <c r="E346" s="107" t="s">
        <v>69</v>
      </c>
      <c r="F346" s="108">
        <v>40.0</v>
      </c>
      <c r="G346" s="109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ht="26.25" customHeight="1">
      <c r="A347" s="104">
        <v>2.0</v>
      </c>
      <c r="B347" s="105"/>
      <c r="C347" s="110"/>
      <c r="D347" s="107"/>
      <c r="E347" s="107" t="s">
        <v>1048</v>
      </c>
      <c r="F347" s="111"/>
      <c r="G347" s="109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</row>
    <row r="348" ht="26.25" customHeight="1">
      <c r="A348" s="104">
        <v>3.0</v>
      </c>
      <c r="B348" s="120"/>
      <c r="C348" s="110"/>
      <c r="D348" s="107"/>
      <c r="E348" s="107" t="s">
        <v>1049</v>
      </c>
      <c r="F348" s="111">
        <f>1000</f>
        <v>1000</v>
      </c>
      <c r="G348" s="109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ht="26.25" customHeight="1">
      <c r="A349" s="104"/>
      <c r="B349" s="105"/>
      <c r="C349" s="110"/>
      <c r="D349" s="107"/>
      <c r="E349" s="107" t="s">
        <v>1050</v>
      </c>
      <c r="F349" s="108">
        <v>-1380.0</v>
      </c>
      <c r="G349" s="111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</row>
    <row r="350" ht="26.25" customHeight="1">
      <c r="A350" s="104">
        <v>4.0</v>
      </c>
      <c r="B350" s="105"/>
      <c r="C350" s="110"/>
      <c r="D350" s="107"/>
      <c r="E350" s="107" t="s">
        <v>1051</v>
      </c>
      <c r="F350" s="108">
        <v>1800.0</v>
      </c>
      <c r="G350" s="111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</row>
    <row r="351" ht="26.25" customHeight="1">
      <c r="A351" s="112"/>
      <c r="B351" s="113"/>
      <c r="C351" s="114"/>
      <c r="D351" s="114"/>
      <c r="E351" s="99" t="s">
        <v>144</v>
      </c>
      <c r="F351" s="100" t="s">
        <v>1052</v>
      </c>
      <c r="G351" s="114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ht="26.25" customHeight="1">
      <c r="A352" s="115"/>
      <c r="B352" s="113"/>
      <c r="C352" s="114"/>
      <c r="D352" s="114"/>
      <c r="E352" s="99" t="s">
        <v>145</v>
      </c>
      <c r="F352" s="100">
        <f>95+40+1000+1800+1400+600-1380</f>
        <v>3555</v>
      </c>
      <c r="G352" s="114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ht="26.25" customHeight="1">
      <c r="A353" s="115"/>
      <c r="B353" s="113"/>
      <c r="C353" s="114"/>
      <c r="D353" s="114"/>
      <c r="E353" s="99" t="s">
        <v>146</v>
      </c>
      <c r="F353" s="100">
        <f>40+35+35</f>
        <v>110</v>
      </c>
      <c r="G353" s="114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ht="26.25" customHeight="1">
      <c r="A354" s="115"/>
      <c r="B354" s="113"/>
      <c r="C354" s="114"/>
      <c r="D354" s="114"/>
      <c r="E354" s="99" t="s">
        <v>147</v>
      </c>
      <c r="F354" s="100">
        <v>110.0</v>
      </c>
      <c r="G354" s="114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ht="26.25" customHeight="1">
      <c r="A355" s="115"/>
      <c r="B355" s="113"/>
      <c r="C355" s="114"/>
      <c r="D355" s="114"/>
      <c r="E355" s="99" t="s">
        <v>148</v>
      </c>
      <c r="F355" s="100">
        <f>F352-F354</f>
        <v>3445</v>
      </c>
      <c r="G355" s="22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</row>
    <row r="356" ht="26.25" customHeight="1">
      <c r="A356" s="115"/>
      <c r="B356" s="113"/>
      <c r="C356" s="114"/>
      <c r="D356" s="114"/>
      <c r="E356" s="146" t="s">
        <v>1053</v>
      </c>
      <c r="F356" s="224">
        <f>F355-2500</f>
        <v>945</v>
      </c>
      <c r="G356" s="220" t="s">
        <v>1054</v>
      </c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ht="26.25" customHeight="1">
      <c r="A357" s="115"/>
      <c r="B357" s="113"/>
      <c r="C357" s="114"/>
      <c r="D357" s="114"/>
      <c r="E357" s="146"/>
      <c r="F357" s="224"/>
      <c r="G357" s="220" t="s">
        <v>1055</v>
      </c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</row>
    <row r="358" ht="26.25" customHeight="1">
      <c r="A358" s="102" t="s">
        <v>4</v>
      </c>
      <c r="B358" s="102" t="s">
        <v>5</v>
      </c>
      <c r="C358" s="102" t="s">
        <v>126</v>
      </c>
      <c r="D358" s="102" t="s">
        <v>6</v>
      </c>
      <c r="E358" s="102" t="s">
        <v>7</v>
      </c>
      <c r="F358" s="102" t="s">
        <v>127</v>
      </c>
      <c r="G358" s="103" t="s">
        <v>128</v>
      </c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</row>
    <row r="359" ht="26.25" customHeight="1">
      <c r="A359" s="104">
        <v>1.0</v>
      </c>
      <c r="B359" s="105">
        <v>46118.0</v>
      </c>
      <c r="C359" s="106" t="s">
        <v>149</v>
      </c>
      <c r="D359" s="107" t="s">
        <v>833</v>
      </c>
      <c r="E359" s="107" t="s">
        <v>165</v>
      </c>
      <c r="F359" s="108" t="s">
        <v>1056</v>
      </c>
      <c r="G359" s="109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</row>
    <row r="360" ht="26.25" customHeight="1">
      <c r="A360" s="112"/>
      <c r="B360" s="113"/>
      <c r="C360" s="114"/>
      <c r="D360" s="114"/>
      <c r="E360" s="99" t="s">
        <v>144</v>
      </c>
      <c r="F360" s="100">
        <v>945.0</v>
      </c>
      <c r="G360" s="114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</row>
    <row r="361" ht="26.25" customHeight="1">
      <c r="A361" s="115"/>
      <c r="B361" s="113"/>
      <c r="C361" s="114"/>
      <c r="D361" s="114"/>
      <c r="E361" s="99" t="s">
        <v>145</v>
      </c>
      <c r="F361" s="100">
        <f>945+290+50</f>
        <v>1285</v>
      </c>
      <c r="G361" s="114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</row>
    <row r="362" ht="26.25" customHeight="1">
      <c r="A362" s="115"/>
      <c r="B362" s="113"/>
      <c r="C362" s="114"/>
      <c r="D362" s="114"/>
      <c r="E362" s="99" t="s">
        <v>146</v>
      </c>
      <c r="F362" s="100">
        <v>50.0</v>
      </c>
      <c r="G362" s="114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ht="26.25" customHeight="1">
      <c r="A363" s="115"/>
      <c r="B363" s="113"/>
      <c r="C363" s="114"/>
      <c r="D363" s="114"/>
      <c r="E363" s="99" t="s">
        <v>147</v>
      </c>
      <c r="F363" s="100">
        <v>50.0</v>
      </c>
      <c r="G363" s="114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ht="26.25" customHeight="1">
      <c r="A364" s="115"/>
      <c r="B364" s="113"/>
      <c r="C364" s="114"/>
      <c r="D364" s="114"/>
      <c r="E364" s="99" t="s">
        <v>148</v>
      </c>
      <c r="F364" s="100">
        <f>F361-F363</f>
        <v>1235</v>
      </c>
      <c r="G364" s="22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ht="26.25" customHeight="1">
      <c r="A365" s="115"/>
      <c r="B365" s="113"/>
      <c r="C365" s="114"/>
      <c r="D365" s="114"/>
      <c r="E365" s="146" t="s">
        <v>1057</v>
      </c>
      <c r="F365" s="224">
        <f>F364-1070</f>
        <v>165</v>
      </c>
      <c r="G365" s="22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ht="26.25" customHeight="1">
      <c r="A366" s="115"/>
      <c r="B366" s="113"/>
      <c r="C366" s="114"/>
      <c r="D366" s="114"/>
      <c r="E366" s="146" t="s">
        <v>1058</v>
      </c>
      <c r="F366" s="224">
        <f>640+165</f>
        <v>805</v>
      </c>
      <c r="G366" s="22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ht="26.25" customHeight="1">
      <c r="A367" s="102" t="s">
        <v>4</v>
      </c>
      <c r="B367" s="102" t="s">
        <v>5</v>
      </c>
      <c r="C367" s="102" t="s">
        <v>126</v>
      </c>
      <c r="D367" s="102" t="s">
        <v>6</v>
      </c>
      <c r="E367" s="102" t="s">
        <v>7</v>
      </c>
      <c r="F367" s="102" t="s">
        <v>127</v>
      </c>
      <c r="G367" s="103" t="s">
        <v>128</v>
      </c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ht="26.25" customHeight="1">
      <c r="A368" s="104">
        <v>1.0</v>
      </c>
      <c r="B368" s="105">
        <v>46118.0</v>
      </c>
      <c r="C368" s="106" t="s">
        <v>149</v>
      </c>
      <c r="D368" s="107" t="s">
        <v>833</v>
      </c>
      <c r="E368" s="107" t="s">
        <v>1059</v>
      </c>
      <c r="F368" s="108"/>
      <c r="G368" s="109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ht="26.25" customHeight="1">
      <c r="A369" s="104">
        <v>2.0</v>
      </c>
      <c r="B369" s="105"/>
      <c r="C369" s="110"/>
      <c r="D369" s="107"/>
      <c r="E369" s="107"/>
      <c r="F369" s="111"/>
      <c r="G369" s="109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ht="26.25" customHeight="1">
      <c r="A370" s="104">
        <v>3.0</v>
      </c>
      <c r="B370" s="120"/>
      <c r="C370" s="110"/>
      <c r="D370" s="107"/>
      <c r="E370" s="107" t="s">
        <v>1060</v>
      </c>
      <c r="F370" s="111"/>
      <c r="G370" s="109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ht="26.25" customHeight="1">
      <c r="A371" s="104"/>
      <c r="B371" s="105"/>
      <c r="C371" s="110"/>
      <c r="D371" s="107"/>
      <c r="E371" s="107"/>
      <c r="F371" s="108"/>
      <c r="G371" s="111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</row>
    <row r="372" ht="26.25" customHeight="1">
      <c r="A372" s="104">
        <v>4.0</v>
      </c>
      <c r="B372" s="105"/>
      <c r="C372" s="110"/>
      <c r="D372" s="107"/>
      <c r="E372" s="107"/>
      <c r="F372" s="108"/>
      <c r="G372" s="111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ht="26.25" customHeight="1">
      <c r="A373" s="112"/>
      <c r="B373" s="113"/>
      <c r="C373" s="114"/>
      <c r="D373" s="114"/>
      <c r="E373" s="99" t="s">
        <v>144</v>
      </c>
      <c r="F373" s="100"/>
      <c r="G373" s="114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ht="26.25" customHeight="1">
      <c r="A374" s="115"/>
      <c r="B374" s="113"/>
      <c r="C374" s="114"/>
      <c r="D374" s="114"/>
      <c r="E374" s="99" t="s">
        <v>145</v>
      </c>
      <c r="F374" s="100"/>
      <c r="G374" s="114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</row>
    <row r="375" ht="26.25" customHeight="1">
      <c r="A375" s="115"/>
      <c r="B375" s="113"/>
      <c r="C375" s="114"/>
      <c r="D375" s="114"/>
      <c r="E375" s="99" t="s">
        <v>146</v>
      </c>
      <c r="F375" s="100"/>
      <c r="G375" s="114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</row>
    <row r="376" ht="26.25" customHeight="1">
      <c r="A376" s="115"/>
      <c r="B376" s="113"/>
      <c r="C376" s="114"/>
      <c r="D376" s="114"/>
      <c r="E376" s="99" t="s">
        <v>147</v>
      </c>
      <c r="F376" s="100"/>
      <c r="G376" s="114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ht="26.25" customHeight="1">
      <c r="A377" s="115"/>
      <c r="B377" s="113"/>
      <c r="C377" s="114"/>
      <c r="D377" s="114"/>
      <c r="E377" s="99" t="s">
        <v>148</v>
      </c>
      <c r="F377" s="100"/>
      <c r="G377" s="22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</row>
    <row r="378" ht="26.25" customHeight="1">
      <c r="A378" s="115"/>
      <c r="B378" s="113"/>
      <c r="C378" s="114"/>
      <c r="D378" s="114"/>
      <c r="E378" s="146"/>
      <c r="F378" s="224"/>
      <c r="G378" s="22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</row>
    <row r="379" ht="26.25" customHeight="1">
      <c r="A379" s="102" t="s">
        <v>4</v>
      </c>
      <c r="B379" s="102" t="s">
        <v>5</v>
      </c>
      <c r="C379" s="102" t="s">
        <v>126</v>
      </c>
      <c r="D379" s="102" t="s">
        <v>6</v>
      </c>
      <c r="E379" s="102" t="s">
        <v>7</v>
      </c>
      <c r="F379" s="102" t="s">
        <v>127</v>
      </c>
      <c r="G379" s="103" t="s">
        <v>128</v>
      </c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</row>
    <row r="380" ht="26.25" customHeight="1">
      <c r="A380" s="104">
        <v>1.0</v>
      </c>
      <c r="B380" s="105">
        <v>46124.0</v>
      </c>
      <c r="C380" s="106" t="s">
        <v>476</v>
      </c>
      <c r="D380" s="107" t="s">
        <v>833</v>
      </c>
      <c r="E380" s="107" t="s">
        <v>1061</v>
      </c>
      <c r="F380" s="111" t="s">
        <v>1062</v>
      </c>
      <c r="G380" s="109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</row>
    <row r="381" ht="26.25" customHeight="1">
      <c r="A381" s="104">
        <v>2.0</v>
      </c>
      <c r="B381" s="105"/>
      <c r="C381" s="110"/>
      <c r="D381" s="107"/>
      <c r="E381" s="107" t="s">
        <v>1063</v>
      </c>
      <c r="F381" s="108"/>
      <c r="G381" s="109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</row>
    <row r="382" ht="26.25" customHeight="1">
      <c r="A382" s="104">
        <v>3.0</v>
      </c>
      <c r="B382" s="120"/>
      <c r="C382" s="110"/>
      <c r="D382" s="107"/>
      <c r="E382" s="107" t="s">
        <v>1064</v>
      </c>
      <c r="F382" s="108" t="s">
        <v>1065</v>
      </c>
      <c r="G382" s="109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</row>
    <row r="383" ht="26.25" customHeight="1">
      <c r="A383" s="104">
        <v>4.0</v>
      </c>
      <c r="B383" s="105"/>
      <c r="C383" s="110"/>
      <c r="D383" s="107"/>
      <c r="E383" s="107" t="s">
        <v>1066</v>
      </c>
      <c r="F383" s="108">
        <v>40.0</v>
      </c>
      <c r="G383" s="111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</row>
    <row r="384" ht="26.25" customHeight="1">
      <c r="A384" s="104">
        <v>5.0</v>
      </c>
      <c r="B384" s="105"/>
      <c r="C384" s="110"/>
      <c r="D384" s="107"/>
      <c r="E384" s="107" t="s">
        <v>1067</v>
      </c>
      <c r="F384" s="211"/>
      <c r="G384" s="109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</row>
    <row r="385" ht="26.25" customHeight="1">
      <c r="A385" s="104">
        <v>6.0</v>
      </c>
      <c r="B385" s="120"/>
      <c r="C385" s="110"/>
      <c r="D385" s="107"/>
      <c r="E385" s="107" t="s">
        <v>1068</v>
      </c>
      <c r="F385" s="108"/>
      <c r="G385" s="109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</row>
    <row r="386" ht="26.25" customHeight="1">
      <c r="A386" s="104">
        <v>7.0</v>
      </c>
      <c r="B386" s="120"/>
      <c r="C386" s="110"/>
      <c r="D386" s="107"/>
      <c r="E386" s="107" t="s">
        <v>1069</v>
      </c>
      <c r="F386" s="108">
        <v>40.0</v>
      </c>
      <c r="G386" s="109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</row>
    <row r="387" ht="26.25" customHeight="1">
      <c r="A387" s="104">
        <v>8.0</v>
      </c>
      <c r="B387" s="120"/>
      <c r="C387" s="106"/>
      <c r="D387" s="107"/>
      <c r="E387" s="107" t="s">
        <v>1070</v>
      </c>
      <c r="F387" s="108">
        <v>100.0</v>
      </c>
      <c r="G387" s="109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</row>
    <row r="388" ht="26.25" customHeight="1">
      <c r="A388" s="112"/>
      <c r="B388" s="113"/>
      <c r="C388" s="114"/>
      <c r="D388" s="114"/>
      <c r="E388" s="99" t="s">
        <v>144</v>
      </c>
      <c r="F388" s="100">
        <v>0.0</v>
      </c>
      <c r="G388" s="114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</row>
    <row r="389" ht="26.25" customHeight="1">
      <c r="A389" s="115"/>
      <c r="B389" s="113"/>
      <c r="C389" s="114"/>
      <c r="D389" s="114"/>
      <c r="E389" s="99" t="s">
        <v>145</v>
      </c>
      <c r="F389" s="100">
        <v>770.0</v>
      </c>
      <c r="G389" s="114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ht="26.25" customHeight="1">
      <c r="A390" s="115"/>
      <c r="B390" s="113"/>
      <c r="C390" s="114"/>
      <c r="D390" s="114"/>
      <c r="E390" s="99" t="s">
        <v>146</v>
      </c>
      <c r="F390" s="100">
        <v>360.0</v>
      </c>
      <c r="G390" s="114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</row>
    <row r="391" ht="26.25" customHeight="1">
      <c r="A391" s="115"/>
      <c r="B391" s="113"/>
      <c r="C391" s="114"/>
      <c r="D391" s="114"/>
      <c r="E391" s="99" t="s">
        <v>147</v>
      </c>
      <c r="F391" s="100">
        <v>360.0</v>
      </c>
      <c r="G391" s="114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ht="26.25" customHeight="1">
      <c r="A392" s="115"/>
      <c r="B392" s="113"/>
      <c r="C392" s="114"/>
      <c r="D392" s="114"/>
      <c r="E392" s="99" t="s">
        <v>148</v>
      </c>
      <c r="F392" s="126" t="s">
        <v>1071</v>
      </c>
      <c r="G392" s="220" t="s">
        <v>1072</v>
      </c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ht="26.25" customHeight="1">
      <c r="A393" s="115"/>
      <c r="B393" s="113"/>
      <c r="C393" s="114"/>
      <c r="D393" s="114"/>
      <c r="E393" s="146"/>
      <c r="F393" s="146" t="s">
        <v>1073</v>
      </c>
      <c r="G393" s="22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</row>
    <row r="394" ht="26.25" customHeight="1">
      <c r="A394" s="115"/>
      <c r="B394" s="113"/>
      <c r="C394" s="114"/>
      <c r="D394" s="114"/>
      <c r="E394" s="146"/>
      <c r="F394" s="224"/>
      <c r="G394" s="22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ht="26.25" customHeight="1">
      <c r="A395" s="102" t="s">
        <v>4</v>
      </c>
      <c r="B395" s="102" t="s">
        <v>5</v>
      </c>
      <c r="C395" s="102" t="s">
        <v>126</v>
      </c>
      <c r="D395" s="102" t="s">
        <v>6</v>
      </c>
      <c r="E395" s="102" t="s">
        <v>7</v>
      </c>
      <c r="F395" s="102" t="s">
        <v>127</v>
      </c>
      <c r="G395" s="103" t="s">
        <v>128</v>
      </c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ht="26.25" customHeight="1">
      <c r="A396" s="104">
        <v>1.0</v>
      </c>
      <c r="B396" s="105">
        <v>46124.0</v>
      </c>
      <c r="C396" s="106" t="s">
        <v>476</v>
      </c>
      <c r="D396" s="107" t="s">
        <v>833</v>
      </c>
      <c r="E396" s="107" t="s">
        <v>1074</v>
      </c>
      <c r="F396" s="111"/>
      <c r="G396" s="109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</row>
    <row r="397" ht="26.25" customHeight="1">
      <c r="A397" s="104">
        <v>2.0</v>
      </c>
      <c r="B397" s="105"/>
      <c r="C397" s="110"/>
      <c r="D397" s="107"/>
      <c r="E397" s="107" t="s">
        <v>1075</v>
      </c>
      <c r="F397" s="108"/>
      <c r="G397" s="109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ht="26.25" customHeight="1">
      <c r="A398" s="104">
        <v>3.0</v>
      </c>
      <c r="B398" s="120"/>
      <c r="C398" s="110"/>
      <c r="D398" s="107"/>
      <c r="E398" s="107" t="s">
        <v>1076</v>
      </c>
      <c r="F398" s="108"/>
      <c r="G398" s="109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ht="26.25" customHeight="1">
      <c r="A399" s="104">
        <v>4.0</v>
      </c>
      <c r="B399" s="105"/>
      <c r="C399" s="110"/>
      <c r="D399" s="107"/>
      <c r="E399" s="107" t="s">
        <v>1077</v>
      </c>
      <c r="F399" s="108"/>
      <c r="G399" s="111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</row>
    <row r="400" ht="26.25" customHeight="1">
      <c r="A400" s="104">
        <v>5.0</v>
      </c>
      <c r="B400" s="105"/>
      <c r="C400" s="110"/>
      <c r="D400" s="107"/>
      <c r="E400" s="107"/>
      <c r="F400" s="211"/>
      <c r="G400" s="109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ht="26.25" customHeight="1">
      <c r="A401" s="104">
        <v>6.0</v>
      </c>
      <c r="B401" s="120"/>
      <c r="C401" s="110"/>
      <c r="D401" s="107"/>
      <c r="E401" s="107"/>
      <c r="F401" s="108"/>
      <c r="G401" s="109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</row>
    <row r="402" ht="26.25" customHeight="1">
      <c r="A402" s="104">
        <v>7.0</v>
      </c>
      <c r="B402" s="120"/>
      <c r="C402" s="110"/>
      <c r="D402" s="107"/>
      <c r="E402" s="107"/>
      <c r="F402" s="108"/>
      <c r="G402" s="109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</row>
    <row r="403" ht="26.25" customHeight="1">
      <c r="A403" s="104">
        <v>8.0</v>
      </c>
      <c r="B403" s="120"/>
      <c r="C403" s="106"/>
      <c r="D403" s="107"/>
      <c r="E403" s="107"/>
      <c r="F403" s="108"/>
      <c r="G403" s="109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</row>
    <row r="404" ht="26.25" customHeight="1">
      <c r="A404" s="112"/>
      <c r="B404" s="113"/>
      <c r="C404" s="114"/>
      <c r="D404" s="114"/>
      <c r="E404" s="99" t="s">
        <v>144</v>
      </c>
      <c r="F404" s="100"/>
      <c r="G404" s="114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</row>
    <row r="405" ht="26.25" customHeight="1">
      <c r="A405" s="115"/>
      <c r="B405" s="113"/>
      <c r="C405" s="114"/>
      <c r="D405" s="114"/>
      <c r="E405" s="99" t="s">
        <v>145</v>
      </c>
      <c r="F405" s="100"/>
      <c r="G405" s="114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</row>
    <row r="406" ht="26.25" customHeight="1">
      <c r="A406" s="115"/>
      <c r="B406" s="113"/>
      <c r="C406" s="114"/>
      <c r="D406" s="114"/>
      <c r="E406" s="99" t="s">
        <v>146</v>
      </c>
      <c r="F406" s="100">
        <v>155.0</v>
      </c>
      <c r="G406" s="114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</row>
    <row r="407" ht="26.25" customHeight="1">
      <c r="A407" s="115"/>
      <c r="B407" s="113"/>
      <c r="C407" s="114"/>
      <c r="D407" s="114"/>
      <c r="E407" s="99" t="s">
        <v>147</v>
      </c>
      <c r="F407" s="100">
        <v>224.0</v>
      </c>
      <c r="G407" s="114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</row>
    <row r="408" ht="26.25" customHeight="1">
      <c r="A408" s="115"/>
      <c r="B408" s="113"/>
      <c r="C408" s="114"/>
      <c r="D408" s="114"/>
      <c r="E408" s="99" t="s">
        <v>148</v>
      </c>
      <c r="F408" s="126"/>
      <c r="G408" s="22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</row>
    <row r="409" ht="26.25" customHeight="1">
      <c r="A409" s="115"/>
      <c r="B409" s="113"/>
      <c r="C409" s="114"/>
      <c r="D409" s="114"/>
      <c r="E409" s="146" t="s">
        <v>1078</v>
      </c>
      <c r="F409" s="224"/>
      <c r="G409" s="22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</row>
    <row r="410" ht="26.25" customHeight="1">
      <c r="A410" s="115"/>
      <c r="B410" s="113"/>
      <c r="C410" s="114"/>
      <c r="D410" s="220" t="s">
        <v>1079</v>
      </c>
      <c r="E410" s="146" t="s">
        <v>1080</v>
      </c>
      <c r="F410" s="146" t="s">
        <v>1081</v>
      </c>
      <c r="G410" s="22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</row>
    <row r="411" ht="26.25" customHeight="1">
      <c r="A411" s="115"/>
      <c r="B411" s="113"/>
      <c r="C411" s="114"/>
      <c r="D411" s="114"/>
      <c r="E411" s="146"/>
      <c r="F411" s="146" t="s">
        <v>1082</v>
      </c>
      <c r="G411" s="22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</row>
    <row r="412" ht="26.25" customHeight="1">
      <c r="A412" s="115"/>
      <c r="B412" s="113"/>
      <c r="C412" s="114"/>
      <c r="D412" s="114"/>
      <c r="E412" s="146"/>
      <c r="F412" s="224"/>
      <c r="G412" s="22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ht="26.25" customHeight="1">
      <c r="A413" s="115"/>
      <c r="B413" s="113"/>
      <c r="C413" s="114"/>
      <c r="D413" s="114"/>
      <c r="E413" s="146" t="s">
        <v>1083</v>
      </c>
      <c r="F413" s="224"/>
      <c r="G413" s="22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</row>
    <row r="414" ht="26.25" customHeight="1">
      <c r="A414" s="115"/>
      <c r="B414" s="113"/>
      <c r="C414" s="114"/>
      <c r="D414" s="152" t="s">
        <v>1084</v>
      </c>
      <c r="E414" s="146" t="s">
        <v>1085</v>
      </c>
      <c r="F414" s="224"/>
      <c r="G414" s="22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ht="26.25" customHeight="1">
      <c r="A415" s="115"/>
      <c r="B415" s="113"/>
      <c r="C415" s="114"/>
      <c r="D415" s="114"/>
      <c r="E415" s="146" t="s">
        <v>1086</v>
      </c>
      <c r="F415" s="224"/>
      <c r="G415" s="22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ht="26.25" customHeight="1">
      <c r="A416" s="115"/>
      <c r="B416" s="113"/>
      <c r="C416" s="114"/>
      <c r="D416" s="114"/>
      <c r="E416" s="146" t="s">
        <v>1087</v>
      </c>
      <c r="F416" s="224"/>
      <c r="G416" s="22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ht="26.25" customHeight="1">
      <c r="A417" s="115"/>
      <c r="B417" s="113"/>
      <c r="C417" s="114"/>
      <c r="D417" s="114"/>
      <c r="E417" s="146" t="s">
        <v>1088</v>
      </c>
      <c r="F417" s="224"/>
      <c r="G417" s="22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ht="26.25" customHeight="1">
      <c r="A418" s="115"/>
      <c r="B418" s="113"/>
      <c r="C418" s="114"/>
      <c r="D418" s="114"/>
      <c r="E418" s="146" t="s">
        <v>1089</v>
      </c>
      <c r="F418" s="224"/>
      <c r="G418" s="22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ht="26.25" customHeight="1">
      <c r="A419" s="102" t="s">
        <v>4</v>
      </c>
      <c r="B419" s="102" t="s">
        <v>5</v>
      </c>
      <c r="C419" s="102" t="s">
        <v>126</v>
      </c>
      <c r="D419" s="102" t="s">
        <v>6</v>
      </c>
      <c r="E419" s="102" t="s">
        <v>7</v>
      </c>
      <c r="F419" s="102" t="s">
        <v>127</v>
      </c>
      <c r="G419" s="103" t="s">
        <v>128</v>
      </c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ht="26.25" customHeight="1">
      <c r="A420" s="104">
        <v>1.0</v>
      </c>
      <c r="B420" s="105">
        <v>46131.0</v>
      </c>
      <c r="C420" s="106" t="s">
        <v>476</v>
      </c>
      <c r="D420" s="107" t="s">
        <v>833</v>
      </c>
      <c r="E420" s="107" t="s">
        <v>1090</v>
      </c>
      <c r="F420" s="111" t="s">
        <v>1091</v>
      </c>
      <c r="G420" s="109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ht="26.25" customHeight="1">
      <c r="A421" s="104">
        <v>2.0</v>
      </c>
      <c r="B421" s="105"/>
      <c r="C421" s="110"/>
      <c r="D421" s="107"/>
      <c r="E421" s="107" t="s">
        <v>1092</v>
      </c>
      <c r="F421" s="111" t="s">
        <v>1093</v>
      </c>
      <c r="G421" s="111" t="s">
        <v>1094</v>
      </c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ht="26.25" customHeight="1">
      <c r="A422" s="112"/>
      <c r="B422" s="113"/>
      <c r="C422" s="114"/>
      <c r="D422" s="114"/>
      <c r="E422" s="99" t="s">
        <v>144</v>
      </c>
      <c r="F422" s="100">
        <v>500.0</v>
      </c>
      <c r="G422" s="114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ht="26.25" customHeight="1">
      <c r="A423" s="115"/>
      <c r="B423" s="113"/>
      <c r="C423" s="114"/>
      <c r="D423" s="114"/>
      <c r="E423" s="99" t="s">
        <v>145</v>
      </c>
      <c r="F423" s="126" t="s">
        <v>1095</v>
      </c>
      <c r="G423" s="114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ht="26.25" customHeight="1">
      <c r="A424" s="115"/>
      <c r="B424" s="113"/>
      <c r="C424" s="114"/>
      <c r="D424" s="114"/>
      <c r="E424" s="99" t="s">
        <v>146</v>
      </c>
      <c r="F424" s="100">
        <v>100.0</v>
      </c>
      <c r="G424" s="114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ht="26.25" customHeight="1">
      <c r="A425" s="115"/>
      <c r="B425" s="113"/>
      <c r="C425" s="114"/>
      <c r="D425" s="114"/>
      <c r="E425" s="99" t="s">
        <v>147</v>
      </c>
      <c r="F425" s="100">
        <v>150.0</v>
      </c>
      <c r="G425" s="114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ht="26.25" customHeight="1">
      <c r="A426" s="115"/>
      <c r="B426" s="113"/>
      <c r="C426" s="114"/>
      <c r="D426" s="114"/>
      <c r="E426" s="99" t="s">
        <v>148</v>
      </c>
      <c r="F426" s="126" t="s">
        <v>1096</v>
      </c>
      <c r="G426" s="22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ht="26.25" customHeight="1">
      <c r="A427" s="115"/>
      <c r="B427" s="113"/>
      <c r="C427" s="114"/>
      <c r="D427" s="114"/>
      <c r="E427" s="146" t="s">
        <v>1097</v>
      </c>
      <c r="F427" s="146" t="s">
        <v>1098</v>
      </c>
      <c r="G427" s="22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ht="26.25" customHeight="1">
      <c r="A428" s="115"/>
      <c r="B428" s="113"/>
      <c r="C428" s="114"/>
      <c r="D428" s="114"/>
      <c r="E428" s="146" t="s">
        <v>1099</v>
      </c>
      <c r="F428" s="224"/>
      <c r="G428" s="22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ht="26.25" customHeight="1">
      <c r="A429" s="115"/>
      <c r="B429" s="113"/>
      <c r="C429" s="114"/>
      <c r="D429" s="114"/>
      <c r="E429" s="146" t="s">
        <v>1100</v>
      </c>
      <c r="F429" s="146" t="s">
        <v>1101</v>
      </c>
      <c r="G429" s="22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ht="26.25" customHeight="1">
      <c r="A430" s="115"/>
      <c r="B430" s="113"/>
      <c r="C430" s="114"/>
      <c r="D430" s="114"/>
      <c r="E430" s="146" t="s">
        <v>1102</v>
      </c>
      <c r="F430" s="224"/>
      <c r="G430" s="22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ht="26.25" customHeight="1">
      <c r="A431" s="115"/>
      <c r="B431" s="113"/>
      <c r="C431" s="114"/>
      <c r="D431" s="114"/>
      <c r="E431" s="146"/>
      <c r="F431" s="224"/>
      <c r="G431" s="22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ht="26.25" customHeight="1">
      <c r="A432" s="115"/>
      <c r="B432" s="113"/>
      <c r="C432" s="114"/>
      <c r="D432" s="114"/>
      <c r="E432" s="146"/>
      <c r="F432" s="224"/>
      <c r="G432" s="22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ht="26.25" customHeight="1">
      <c r="A433" s="115"/>
      <c r="B433" s="113"/>
      <c r="C433" s="114"/>
      <c r="D433" s="114"/>
      <c r="E433" s="146"/>
      <c r="F433" s="224"/>
      <c r="G433" s="22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ht="26.25" customHeight="1">
      <c r="A434" s="115"/>
      <c r="B434" s="113"/>
      <c r="C434" s="114"/>
      <c r="D434" s="114"/>
      <c r="E434" s="146"/>
      <c r="F434" s="224"/>
      <c r="G434" s="22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ht="26.25" customHeight="1">
      <c r="A435" s="115"/>
      <c r="B435" s="113"/>
      <c r="C435" s="114"/>
      <c r="D435" s="114"/>
      <c r="E435" s="146"/>
      <c r="F435" s="224"/>
      <c r="G435" s="22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ht="26.25" customHeight="1">
      <c r="A436" s="115"/>
      <c r="B436" s="113"/>
      <c r="C436" s="114"/>
      <c r="D436" s="114"/>
      <c r="E436" s="146"/>
      <c r="F436" s="224"/>
      <c r="G436" s="22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ht="26.25" customHeight="1">
      <c r="A437" s="115"/>
      <c r="B437" s="113"/>
      <c r="C437" s="114"/>
      <c r="D437" s="114"/>
      <c r="E437" s="146"/>
      <c r="F437" s="224"/>
      <c r="G437" s="22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ht="26.25" customHeight="1">
      <c r="A438" s="115"/>
      <c r="B438" s="113"/>
      <c r="C438" s="114"/>
      <c r="D438" s="114"/>
      <c r="E438" s="146"/>
      <c r="F438" s="224"/>
      <c r="G438" s="22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ht="26.25" customHeight="1">
      <c r="A439" s="115"/>
      <c r="B439" s="113"/>
      <c r="C439" s="114"/>
      <c r="D439" s="114"/>
      <c r="E439" s="146"/>
      <c r="F439" s="224"/>
      <c r="G439" s="22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ht="26.25" customHeight="1">
      <c r="A440" s="115"/>
      <c r="B440" s="113"/>
      <c r="C440" s="114"/>
      <c r="D440" s="114"/>
      <c r="E440" s="146"/>
      <c r="F440" s="224"/>
      <c r="G440" s="22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ht="26.25" customHeight="1">
      <c r="A441" s="115"/>
      <c r="B441" s="113"/>
      <c r="C441" s="114"/>
      <c r="D441" s="114"/>
      <c r="E441" s="146"/>
      <c r="F441" s="224"/>
      <c r="G441" s="22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ht="26.25" customHeight="1">
      <c r="A442" s="115"/>
      <c r="B442" s="113"/>
      <c r="C442" s="114"/>
      <c r="D442" s="114"/>
      <c r="E442" s="146"/>
      <c r="F442" s="224"/>
      <c r="G442" s="22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ht="26.25" customHeight="1">
      <c r="A443" s="115"/>
      <c r="B443" s="113"/>
      <c r="C443" s="114"/>
      <c r="D443" s="114"/>
      <c r="E443" s="146"/>
      <c r="F443" s="224"/>
      <c r="G443" s="22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ht="26.25" customHeight="1">
      <c r="A444" s="115"/>
      <c r="B444" s="113"/>
      <c r="C444" s="114"/>
      <c r="D444" s="114"/>
      <c r="E444" s="146"/>
      <c r="F444" s="224"/>
      <c r="G444" s="22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ht="26.25" customHeight="1">
      <c r="A445" s="115"/>
      <c r="B445" s="113"/>
      <c r="C445" s="114"/>
      <c r="D445" s="114"/>
      <c r="E445" s="146"/>
      <c r="F445" s="224"/>
      <c r="G445" s="22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ht="26.25" customHeight="1">
      <c r="A446" s="115"/>
      <c r="B446" s="113"/>
      <c r="C446" s="114"/>
      <c r="D446" s="114"/>
      <c r="E446" s="146"/>
      <c r="F446" s="224"/>
      <c r="G446" s="22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ht="26.25" customHeight="1">
      <c r="A447" s="115"/>
      <c r="B447" s="113"/>
      <c r="C447" s="114"/>
      <c r="D447" s="114"/>
      <c r="E447" s="146"/>
      <c r="F447" s="224"/>
      <c r="G447" s="22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ht="26.25" customHeight="1">
      <c r="A448" s="115"/>
      <c r="B448" s="113"/>
      <c r="C448" s="114"/>
      <c r="D448" s="114"/>
      <c r="E448" s="146"/>
      <c r="F448" s="224"/>
      <c r="G448" s="22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ht="26.25" customHeight="1">
      <c r="A449" s="115"/>
      <c r="B449" s="113"/>
      <c r="C449" s="114"/>
      <c r="D449" s="114"/>
      <c r="E449" s="146"/>
      <c r="F449" s="224"/>
      <c r="G449" s="22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</row>
    <row r="450" ht="26.25" customHeight="1">
      <c r="A450" s="115"/>
      <c r="B450" s="113"/>
      <c r="C450" s="114"/>
      <c r="D450" s="114"/>
      <c r="E450" s="146"/>
      <c r="F450" s="224"/>
      <c r="G450" s="22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ht="26.25" customHeight="1">
      <c r="A451" s="115"/>
      <c r="B451" s="113"/>
      <c r="C451" s="114"/>
      <c r="D451" s="114"/>
      <c r="E451" s="146"/>
      <c r="F451" s="224"/>
      <c r="G451" s="22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ht="26.25" customHeight="1">
      <c r="A452" s="115"/>
      <c r="B452" s="113"/>
      <c r="C452" s="114"/>
      <c r="D452" s="114"/>
      <c r="E452" s="146"/>
      <c r="F452" s="224"/>
      <c r="G452" s="22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ht="26.25" customHeight="1">
      <c r="A453" s="115"/>
      <c r="B453" s="113"/>
      <c r="C453" s="114"/>
      <c r="D453" s="114"/>
      <c r="E453" s="146"/>
      <c r="F453" s="224"/>
      <c r="G453" s="22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ht="26.25" customHeight="1">
      <c r="A454" s="115"/>
      <c r="B454" s="113"/>
      <c r="C454" s="114"/>
      <c r="D454" s="114"/>
      <c r="E454" s="146"/>
      <c r="F454" s="224"/>
      <c r="G454" s="22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ht="26.25" customHeight="1">
      <c r="A455" s="115"/>
      <c r="B455" s="113"/>
      <c r="C455" s="114"/>
      <c r="D455" s="114"/>
      <c r="E455" s="146"/>
      <c r="F455" s="224"/>
      <c r="G455" s="22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</row>
    <row r="456" ht="26.25" customHeight="1">
      <c r="A456" s="115"/>
      <c r="B456" s="113"/>
      <c r="C456" s="114"/>
      <c r="D456" s="114"/>
      <c r="E456" s="146"/>
      <c r="F456" s="224"/>
      <c r="G456" s="22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ht="26.25" customHeight="1">
      <c r="A457" s="115"/>
      <c r="B457" s="113"/>
      <c r="C457" s="114"/>
      <c r="D457" s="114"/>
      <c r="E457" s="146"/>
      <c r="F457" s="224"/>
      <c r="G457" s="22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ht="26.25" customHeight="1">
      <c r="A458" s="115"/>
      <c r="B458" s="113"/>
      <c r="C458" s="114"/>
      <c r="D458" s="114"/>
      <c r="E458" s="146"/>
      <c r="F458" s="224"/>
      <c r="G458" s="22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</row>
    <row r="459" ht="26.25" customHeight="1">
      <c r="A459" s="115"/>
      <c r="B459" s="113"/>
      <c r="C459" s="114"/>
      <c r="D459" s="114"/>
      <c r="E459" s="146"/>
      <c r="F459" s="224"/>
      <c r="G459" s="22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ht="26.25" customHeight="1">
      <c r="A460" s="115"/>
      <c r="B460" s="113"/>
      <c r="C460" s="114"/>
      <c r="D460" s="114"/>
      <c r="E460" s="146"/>
      <c r="F460" s="224"/>
      <c r="G460" s="22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ht="26.25" customHeight="1">
      <c r="A461" s="115"/>
      <c r="B461" s="113"/>
      <c r="C461" s="114"/>
      <c r="D461" s="114"/>
      <c r="E461" s="146"/>
      <c r="F461" s="224"/>
      <c r="G461" s="22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</row>
    <row r="462" ht="26.25" customHeight="1">
      <c r="A462" s="115"/>
      <c r="B462" s="113"/>
      <c r="C462" s="114"/>
      <c r="D462" s="114"/>
      <c r="E462" s="146"/>
      <c r="F462" s="224"/>
      <c r="G462" s="22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ht="26.25" customHeight="1">
      <c r="A463" s="115"/>
      <c r="B463" s="113"/>
      <c r="C463" s="114"/>
      <c r="D463" s="114"/>
      <c r="E463" s="146"/>
      <c r="F463" s="224"/>
      <c r="G463" s="22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</row>
    <row r="464" ht="26.25" customHeight="1">
      <c r="A464" s="115"/>
      <c r="B464" s="113"/>
      <c r="C464" s="114"/>
      <c r="D464" s="114"/>
      <c r="E464" s="146"/>
      <c r="F464" s="224"/>
      <c r="G464" s="22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ht="26.25" customHeight="1">
      <c r="A465" s="115"/>
      <c r="B465" s="113"/>
      <c r="C465" s="114"/>
      <c r="D465" s="114"/>
      <c r="E465" s="146"/>
      <c r="F465" s="224"/>
      <c r="G465" s="22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</row>
    <row r="466" ht="26.25" customHeight="1">
      <c r="A466" s="115"/>
      <c r="B466" s="113"/>
      <c r="C466" s="114"/>
      <c r="D466" s="114"/>
      <c r="E466" s="146"/>
      <c r="F466" s="224"/>
      <c r="G466" s="22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ht="26.25" customHeight="1">
      <c r="A467" s="115"/>
      <c r="B467" s="113"/>
      <c r="C467" s="114"/>
      <c r="D467" s="114"/>
      <c r="E467" s="146"/>
      <c r="F467" s="224"/>
      <c r="G467" s="22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</row>
    <row r="468" ht="26.25" customHeight="1">
      <c r="A468" s="115"/>
      <c r="B468" s="113"/>
      <c r="C468" s="114"/>
      <c r="D468" s="114"/>
      <c r="E468" s="146"/>
      <c r="F468" s="224"/>
      <c r="G468" s="22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</row>
    <row r="469" ht="26.25" customHeight="1">
      <c r="A469" s="115"/>
      <c r="B469" s="113"/>
      <c r="C469" s="114"/>
      <c r="D469" s="114"/>
      <c r="E469" s="146"/>
      <c r="F469" s="224"/>
      <c r="G469" s="22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ht="26.25" customHeight="1">
      <c r="A470" s="115"/>
      <c r="B470" s="113"/>
      <c r="C470" s="114"/>
      <c r="D470" s="114"/>
      <c r="E470" s="146"/>
      <c r="F470" s="224"/>
      <c r="G470" s="22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</row>
    <row r="471" ht="26.25" customHeight="1">
      <c r="A471" s="115"/>
      <c r="B471" s="113"/>
      <c r="C471" s="114"/>
      <c r="D471" s="114"/>
      <c r="E471" s="146"/>
      <c r="F471" s="224"/>
      <c r="G471" s="22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</row>
    <row r="472" ht="26.25" customHeight="1">
      <c r="A472" s="115"/>
      <c r="B472" s="113"/>
      <c r="C472" s="114"/>
      <c r="D472" s="114"/>
      <c r="E472" s="146"/>
      <c r="F472" s="224"/>
      <c r="G472" s="22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</row>
    <row r="473" ht="26.25" customHeight="1">
      <c r="A473" s="115"/>
      <c r="B473" s="113"/>
      <c r="C473" s="114"/>
      <c r="D473" s="114"/>
      <c r="E473" s="146"/>
      <c r="F473" s="224"/>
      <c r="G473" s="22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</row>
    <row r="474" ht="26.25" customHeight="1">
      <c r="A474" s="115"/>
      <c r="B474" s="113"/>
      <c r="C474" s="114"/>
      <c r="D474" s="114"/>
      <c r="E474" s="146"/>
      <c r="F474" s="224"/>
      <c r="G474" s="22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</row>
    <row r="475" ht="26.25" customHeight="1">
      <c r="A475" s="115"/>
      <c r="B475" s="113"/>
      <c r="C475" s="114"/>
      <c r="D475" s="114"/>
      <c r="E475" s="146"/>
      <c r="F475" s="224"/>
      <c r="G475" s="22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</row>
    <row r="476" ht="26.25" customHeight="1">
      <c r="A476" s="115"/>
      <c r="B476" s="113"/>
      <c r="C476" s="114"/>
      <c r="D476" s="114"/>
      <c r="E476" s="146"/>
      <c r="F476" s="224"/>
      <c r="G476" s="22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ht="26.25" customHeight="1">
      <c r="A477" s="115"/>
      <c r="B477" s="113"/>
      <c r="C477" s="114"/>
      <c r="D477" s="114"/>
      <c r="E477" s="146"/>
      <c r="F477" s="224"/>
      <c r="G477" s="22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</row>
    <row r="478" ht="26.25" customHeight="1">
      <c r="A478" s="115"/>
      <c r="B478" s="113"/>
      <c r="C478" s="114"/>
      <c r="D478" s="114"/>
      <c r="E478" s="146"/>
      <c r="F478" s="224"/>
      <c r="G478" s="22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</row>
    <row r="479" ht="26.25" customHeight="1">
      <c r="A479" s="115"/>
      <c r="B479" s="113"/>
      <c r="C479" s="114"/>
      <c r="D479" s="114"/>
      <c r="E479" s="146"/>
      <c r="F479" s="224"/>
      <c r="G479" s="22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ht="26.25" customHeight="1">
      <c r="A480" s="115"/>
      <c r="B480" s="113"/>
      <c r="C480" s="114"/>
      <c r="D480" s="114"/>
      <c r="E480" s="146"/>
      <c r="F480" s="224"/>
      <c r="G480" s="22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</row>
  </sheetData>
  <mergeCells count="3">
    <mergeCell ref="A1:G1"/>
    <mergeCell ref="F29:G29"/>
    <mergeCell ref="F49:G49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9.71"/>
    <col customWidth="1" min="2" max="2" width="16.29"/>
    <col customWidth="1" min="3" max="3" width="15.43"/>
    <col customWidth="1" min="4" max="4" width="17.57"/>
    <col customWidth="1" min="5" max="5" width="41.86"/>
    <col customWidth="1" min="6" max="6" width="32.57"/>
    <col customWidth="1" min="7" max="7" width="50.86"/>
    <col customWidth="1" hidden="1" min="8" max="10" width="21.57"/>
  </cols>
  <sheetData>
    <row r="1" ht="20.25" customHeight="1">
      <c r="A1" s="225">
        <v>0.0</v>
      </c>
      <c r="B1" s="226"/>
      <c r="C1" s="226"/>
      <c r="D1" s="226"/>
      <c r="E1" s="226"/>
      <c r="F1" s="226"/>
      <c r="G1" s="226"/>
      <c r="H1" s="227"/>
      <c r="I1" s="227"/>
      <c r="J1" s="227"/>
    </row>
    <row r="2" ht="20.25" customHeight="1">
      <c r="A2" s="228" t="s">
        <v>4</v>
      </c>
      <c r="B2" s="229" t="s">
        <v>5</v>
      </c>
      <c r="C2" s="229" t="s">
        <v>126</v>
      </c>
      <c r="D2" s="229" t="s">
        <v>6</v>
      </c>
      <c r="E2" s="229" t="s">
        <v>7</v>
      </c>
      <c r="F2" s="229" t="s">
        <v>127</v>
      </c>
      <c r="G2" s="230" t="s">
        <v>128</v>
      </c>
      <c r="H2" s="227"/>
      <c r="I2" s="227"/>
      <c r="J2" s="227"/>
    </row>
    <row r="3" ht="20.25" customHeight="1">
      <c r="A3" s="231">
        <v>1.0</v>
      </c>
      <c r="B3" s="232">
        <v>46025.0</v>
      </c>
      <c r="C3" s="233" t="s">
        <v>129</v>
      </c>
      <c r="D3" s="234"/>
      <c r="E3" s="235"/>
      <c r="F3" s="236" t="s">
        <v>1103</v>
      </c>
      <c r="G3" s="237"/>
      <c r="H3" s="227"/>
      <c r="I3" s="227"/>
      <c r="J3" s="227"/>
    </row>
    <row r="4" ht="20.25" customHeight="1">
      <c r="A4" s="231">
        <v>2.0</v>
      </c>
      <c r="B4" s="238"/>
      <c r="C4" s="238"/>
      <c r="D4" s="234"/>
      <c r="E4" s="239" t="s">
        <v>365</v>
      </c>
      <c r="F4" s="240">
        <v>30.0</v>
      </c>
      <c r="G4" s="237"/>
      <c r="H4" s="227"/>
      <c r="I4" s="227"/>
      <c r="J4" s="227"/>
    </row>
    <row r="5" ht="20.25" customHeight="1">
      <c r="A5" s="231">
        <v>3.0</v>
      </c>
      <c r="B5" s="238"/>
      <c r="C5" s="238"/>
      <c r="D5" s="234"/>
      <c r="E5" s="239" t="s">
        <v>796</v>
      </c>
      <c r="F5" s="240" t="s">
        <v>1104</v>
      </c>
      <c r="G5" s="237"/>
      <c r="H5" s="227"/>
      <c r="I5" s="227"/>
      <c r="J5" s="227"/>
    </row>
    <row r="6" ht="20.25" customHeight="1">
      <c r="A6" s="231">
        <v>4.0</v>
      </c>
      <c r="B6" s="238"/>
      <c r="C6" s="238"/>
      <c r="D6" s="234"/>
      <c r="E6" s="239" t="s">
        <v>1105</v>
      </c>
      <c r="F6" s="240">
        <v>35.0</v>
      </c>
      <c r="G6" s="237"/>
      <c r="H6" s="227"/>
      <c r="I6" s="227"/>
      <c r="J6" s="227"/>
    </row>
    <row r="7" ht="20.25" customHeight="1">
      <c r="A7" s="231">
        <v>5.0</v>
      </c>
      <c r="B7" s="238"/>
      <c r="C7" s="238"/>
      <c r="D7" s="234"/>
      <c r="E7" s="239" t="s">
        <v>156</v>
      </c>
      <c r="F7" s="240">
        <v>30.0</v>
      </c>
      <c r="G7" s="237"/>
      <c r="H7" s="227"/>
      <c r="I7" s="227"/>
      <c r="J7" s="227"/>
    </row>
    <row r="8" ht="20.25" customHeight="1">
      <c r="A8" s="231">
        <v>6.0</v>
      </c>
      <c r="B8" s="238"/>
      <c r="C8" s="238"/>
      <c r="D8" s="234"/>
      <c r="E8" s="239" t="s">
        <v>1106</v>
      </c>
      <c r="F8" s="236" t="s">
        <v>1107</v>
      </c>
      <c r="G8" s="237"/>
      <c r="H8" s="227"/>
      <c r="I8" s="227"/>
      <c r="J8" s="227"/>
    </row>
    <row r="9" ht="20.25" customHeight="1">
      <c r="A9" s="231">
        <v>7.0</v>
      </c>
      <c r="B9" s="238"/>
      <c r="C9" s="238"/>
      <c r="D9" s="234"/>
      <c r="E9" s="239" t="s">
        <v>1108</v>
      </c>
      <c r="F9" s="236" t="s">
        <v>1109</v>
      </c>
      <c r="G9" s="237"/>
      <c r="H9" s="227"/>
      <c r="I9" s="227"/>
      <c r="J9" s="227"/>
    </row>
    <row r="10" ht="20.25" customHeight="1">
      <c r="A10" s="231">
        <v>8.0</v>
      </c>
      <c r="B10" s="238"/>
      <c r="C10" s="238"/>
      <c r="D10" s="234"/>
      <c r="E10" s="239" t="s">
        <v>1110</v>
      </c>
      <c r="F10" s="236" t="s">
        <v>1111</v>
      </c>
      <c r="G10" s="236" t="s">
        <v>154</v>
      </c>
      <c r="H10" s="227"/>
      <c r="I10" s="227"/>
      <c r="J10" s="227"/>
    </row>
    <row r="11" ht="20.25" customHeight="1">
      <c r="A11" s="231">
        <v>9.0</v>
      </c>
      <c r="B11" s="238"/>
      <c r="C11" s="238"/>
      <c r="D11" s="234"/>
      <c r="E11" s="239" t="s">
        <v>1112</v>
      </c>
      <c r="F11" s="240" t="s">
        <v>1113</v>
      </c>
      <c r="G11" s="237"/>
      <c r="H11" s="227"/>
      <c r="I11" s="227"/>
      <c r="J11" s="227"/>
    </row>
    <row r="12" ht="20.25" customHeight="1">
      <c r="A12" s="231">
        <v>10.0</v>
      </c>
      <c r="B12" s="238"/>
      <c r="C12" s="238"/>
      <c r="D12" s="234"/>
      <c r="E12" s="235"/>
      <c r="F12" s="237"/>
      <c r="G12" s="237"/>
      <c r="H12" s="227"/>
      <c r="I12" s="227"/>
      <c r="J12" s="227"/>
    </row>
    <row r="13" ht="20.25" customHeight="1">
      <c r="A13" s="231">
        <v>11.0</v>
      </c>
      <c r="B13" s="238"/>
      <c r="C13" s="238"/>
      <c r="D13" s="234"/>
      <c r="E13" s="235"/>
      <c r="F13" s="237"/>
      <c r="G13" s="237"/>
      <c r="H13" s="227"/>
      <c r="I13" s="227"/>
      <c r="J13" s="227"/>
    </row>
    <row r="14" ht="20.25" customHeight="1">
      <c r="A14" s="231">
        <v>12.0</v>
      </c>
      <c r="B14" s="238"/>
      <c r="C14" s="238"/>
      <c r="D14" s="234"/>
      <c r="E14" s="235"/>
      <c r="F14" s="237"/>
      <c r="G14" s="237"/>
      <c r="H14" s="227"/>
      <c r="I14" s="227"/>
      <c r="J14" s="227"/>
    </row>
    <row r="15" ht="20.25" customHeight="1">
      <c r="A15" s="231">
        <v>13.0</v>
      </c>
      <c r="B15" s="238"/>
      <c r="C15" s="238"/>
      <c r="D15" s="234"/>
      <c r="E15" s="235"/>
      <c r="F15" s="237"/>
      <c r="G15" s="237"/>
      <c r="H15" s="227"/>
      <c r="I15" s="227"/>
      <c r="J15" s="227"/>
    </row>
    <row r="16" ht="20.25" customHeight="1">
      <c r="A16" s="231">
        <v>14.0</v>
      </c>
      <c r="B16" s="238"/>
      <c r="C16" s="238"/>
      <c r="D16" s="234"/>
      <c r="E16" s="235"/>
      <c r="F16" s="237"/>
      <c r="G16" s="237"/>
      <c r="H16" s="227"/>
      <c r="I16" s="227"/>
      <c r="J16" s="227"/>
    </row>
    <row r="17" ht="20.25" customHeight="1">
      <c r="A17" s="241">
        <v>15.0</v>
      </c>
      <c r="B17" s="242"/>
      <c r="C17" s="242"/>
      <c r="D17" s="243"/>
      <c r="E17" s="244"/>
      <c r="F17" s="245"/>
      <c r="G17" s="245"/>
      <c r="H17" s="227"/>
      <c r="I17" s="227"/>
      <c r="J17" s="227"/>
    </row>
    <row r="18" ht="20.25" customHeight="1">
      <c r="A18" s="246"/>
      <c r="B18" s="246"/>
      <c r="C18" s="246"/>
      <c r="D18" s="246"/>
      <c r="E18" s="247" t="s">
        <v>144</v>
      </c>
      <c r="F18" s="248">
        <v>335.0</v>
      </c>
      <c r="G18" s="246"/>
      <c r="H18" s="227"/>
      <c r="I18" s="227"/>
      <c r="J18" s="227"/>
    </row>
    <row r="19" ht="20.25" customHeight="1">
      <c r="A19" s="249"/>
      <c r="B19" s="246"/>
      <c r="C19" s="246"/>
      <c r="D19" s="246"/>
      <c r="E19" s="247" t="s">
        <v>145</v>
      </c>
      <c r="F19" s="248">
        <v>2225.0</v>
      </c>
      <c r="G19" s="246"/>
      <c r="H19" s="227"/>
      <c r="I19" s="227"/>
      <c r="J19" s="227"/>
    </row>
    <row r="20" ht="20.25" customHeight="1">
      <c r="A20" s="249"/>
      <c r="B20" s="246"/>
      <c r="C20" s="246"/>
      <c r="D20" s="246"/>
      <c r="E20" s="247" t="s">
        <v>849</v>
      </c>
      <c r="F20" s="248">
        <v>375.0</v>
      </c>
      <c r="G20" s="246"/>
      <c r="H20" s="227"/>
      <c r="I20" s="227"/>
      <c r="J20" s="227"/>
    </row>
    <row r="21" ht="20.25" customHeight="1">
      <c r="A21" s="249"/>
      <c r="B21" s="246"/>
      <c r="C21" s="246"/>
      <c r="D21" s="246"/>
      <c r="E21" s="247" t="s">
        <v>147</v>
      </c>
      <c r="F21" s="248">
        <v>280.0</v>
      </c>
      <c r="G21" s="246"/>
      <c r="H21" s="227"/>
      <c r="I21" s="227"/>
      <c r="J21" s="227"/>
    </row>
    <row r="22" ht="20.25" customHeight="1">
      <c r="A22" s="249"/>
      <c r="B22" s="246"/>
      <c r="C22" s="246"/>
      <c r="D22" s="246"/>
      <c r="E22" s="247" t="s">
        <v>148</v>
      </c>
      <c r="F22" s="248">
        <v>1945.0</v>
      </c>
      <c r="G22" s="246"/>
      <c r="H22" s="227"/>
      <c r="I22" s="227"/>
      <c r="J22" s="227"/>
    </row>
    <row r="23" ht="20.25" customHeight="1">
      <c r="A23" s="226"/>
      <c r="B23" s="226"/>
      <c r="C23" s="226"/>
      <c r="D23" s="226"/>
      <c r="E23" s="226"/>
      <c r="F23" s="226"/>
      <c r="G23" s="226"/>
      <c r="H23" s="227"/>
      <c r="I23" s="227"/>
      <c r="J23" s="227"/>
    </row>
    <row r="24" ht="20.25" customHeight="1">
      <c r="A24" s="228" t="s">
        <v>4</v>
      </c>
      <c r="B24" s="229" t="s">
        <v>5</v>
      </c>
      <c r="C24" s="229" t="s">
        <v>126</v>
      </c>
      <c r="D24" s="229" t="s">
        <v>6</v>
      </c>
      <c r="E24" s="229" t="s">
        <v>7</v>
      </c>
      <c r="F24" s="229" t="s">
        <v>127</v>
      </c>
      <c r="G24" s="230" t="s">
        <v>128</v>
      </c>
      <c r="H24" s="227"/>
      <c r="I24" s="227"/>
      <c r="J24" s="227"/>
    </row>
    <row r="25" ht="20.25" customHeight="1">
      <c r="A25" s="231">
        <v>1.0</v>
      </c>
      <c r="B25" s="232">
        <v>46056.0</v>
      </c>
      <c r="C25" s="233" t="s">
        <v>149</v>
      </c>
      <c r="D25" s="250"/>
      <c r="E25" s="251" t="s">
        <v>1114</v>
      </c>
      <c r="F25" s="252" t="s">
        <v>1115</v>
      </c>
      <c r="G25" s="252" t="s">
        <v>1116</v>
      </c>
      <c r="H25" s="227"/>
      <c r="I25" s="227"/>
      <c r="J25" s="227"/>
    </row>
    <row r="26" ht="20.25" customHeight="1">
      <c r="A26" s="231">
        <v>2.0</v>
      </c>
      <c r="B26" s="238"/>
      <c r="C26" s="238"/>
      <c r="D26" s="250"/>
      <c r="E26" s="251" t="s">
        <v>1117</v>
      </c>
      <c r="F26" s="252" t="s">
        <v>1118</v>
      </c>
      <c r="G26" s="253"/>
      <c r="H26" s="227"/>
      <c r="I26" s="227"/>
      <c r="J26" s="227"/>
    </row>
    <row r="27" ht="20.25" customHeight="1">
      <c r="A27" s="231">
        <v>3.0</v>
      </c>
      <c r="B27" s="238"/>
      <c r="C27" s="238"/>
      <c r="D27" s="250"/>
      <c r="E27" s="251" t="s">
        <v>36</v>
      </c>
      <c r="F27" s="252" t="s">
        <v>1119</v>
      </c>
      <c r="G27" s="253"/>
      <c r="H27" s="227"/>
      <c r="I27" s="227"/>
      <c r="J27" s="227"/>
    </row>
    <row r="28" ht="20.25" customHeight="1">
      <c r="A28" s="231">
        <v>4.0</v>
      </c>
      <c r="B28" s="238"/>
      <c r="C28" s="238"/>
      <c r="D28" s="250"/>
      <c r="E28" s="251" t="s">
        <v>1120</v>
      </c>
      <c r="F28" s="254">
        <v>50.0</v>
      </c>
      <c r="G28" s="253"/>
      <c r="H28" s="227"/>
      <c r="I28" s="227"/>
      <c r="J28" s="227"/>
    </row>
    <row r="29" ht="20.25" customHeight="1">
      <c r="A29" s="231">
        <v>5.0</v>
      </c>
      <c r="B29" s="238"/>
      <c r="C29" s="238"/>
      <c r="D29" s="250"/>
      <c r="E29" s="251" t="s">
        <v>1121</v>
      </c>
      <c r="F29" s="252" t="s">
        <v>1122</v>
      </c>
      <c r="G29" s="253"/>
      <c r="H29" s="227"/>
      <c r="I29" s="227"/>
      <c r="J29" s="227"/>
    </row>
    <row r="30" ht="20.25" customHeight="1">
      <c r="A30" s="231">
        <v>6.0</v>
      </c>
      <c r="B30" s="238"/>
      <c r="C30" s="238"/>
      <c r="D30" s="250"/>
      <c r="E30" s="251" t="s">
        <v>1123</v>
      </c>
      <c r="F30" s="254" t="s">
        <v>1124</v>
      </c>
      <c r="G30" s="253"/>
      <c r="H30" s="227"/>
      <c r="I30" s="227"/>
      <c r="J30" s="227"/>
    </row>
    <row r="31" ht="20.25" customHeight="1">
      <c r="A31" s="231">
        <v>7.0</v>
      </c>
      <c r="B31" s="238"/>
      <c r="C31" s="238"/>
      <c r="D31" s="250"/>
      <c r="E31" s="255"/>
      <c r="F31" s="253"/>
      <c r="G31" s="253"/>
      <c r="H31" s="227"/>
      <c r="I31" s="227"/>
      <c r="J31" s="227"/>
    </row>
    <row r="32" ht="20.25" customHeight="1">
      <c r="A32" s="231">
        <v>8.0</v>
      </c>
      <c r="B32" s="238"/>
      <c r="C32" s="238"/>
      <c r="D32" s="250"/>
      <c r="E32" s="255"/>
      <c r="F32" s="253"/>
      <c r="G32" s="253"/>
      <c r="H32" s="227"/>
      <c r="I32" s="227"/>
      <c r="J32" s="227"/>
    </row>
    <row r="33" ht="20.25" customHeight="1">
      <c r="A33" s="231">
        <v>9.0</v>
      </c>
      <c r="B33" s="238"/>
      <c r="C33" s="238"/>
      <c r="D33" s="250"/>
      <c r="E33" s="255"/>
      <c r="F33" s="253"/>
      <c r="G33" s="253"/>
      <c r="H33" s="227"/>
      <c r="I33" s="227"/>
      <c r="J33" s="227"/>
    </row>
    <row r="34" ht="20.25" customHeight="1">
      <c r="A34" s="231">
        <v>10.0</v>
      </c>
      <c r="B34" s="238"/>
      <c r="C34" s="238"/>
      <c r="D34" s="250"/>
      <c r="E34" s="255"/>
      <c r="F34" s="253"/>
      <c r="G34" s="253"/>
      <c r="H34" s="227"/>
      <c r="I34" s="227"/>
      <c r="J34" s="227"/>
    </row>
    <row r="35" ht="20.25" customHeight="1">
      <c r="A35" s="231">
        <v>11.0</v>
      </c>
      <c r="B35" s="238"/>
      <c r="C35" s="238"/>
      <c r="D35" s="250"/>
      <c r="E35" s="255"/>
      <c r="F35" s="253"/>
      <c r="G35" s="253"/>
      <c r="H35" s="227"/>
      <c r="I35" s="227"/>
      <c r="J35" s="227"/>
    </row>
    <row r="36" ht="20.25" customHeight="1">
      <c r="A36" s="231">
        <v>12.0</v>
      </c>
      <c r="B36" s="238"/>
      <c r="C36" s="238"/>
      <c r="D36" s="243"/>
      <c r="E36" s="244"/>
      <c r="F36" s="245"/>
      <c r="G36" s="245"/>
      <c r="H36" s="227"/>
      <c r="I36" s="227"/>
      <c r="J36" s="227"/>
    </row>
    <row r="37" ht="20.25" customHeight="1">
      <c r="A37" s="231">
        <v>13.0</v>
      </c>
      <c r="B37" s="238"/>
      <c r="C37" s="238"/>
      <c r="D37" s="243"/>
      <c r="E37" s="244"/>
      <c r="F37" s="245"/>
      <c r="G37" s="245"/>
      <c r="H37" s="227"/>
      <c r="I37" s="227"/>
      <c r="J37" s="227"/>
    </row>
    <row r="38" ht="20.25" customHeight="1">
      <c r="A38" s="231">
        <v>14.0</v>
      </c>
      <c r="B38" s="238"/>
      <c r="C38" s="238"/>
      <c r="D38" s="243"/>
      <c r="E38" s="244"/>
      <c r="F38" s="245"/>
      <c r="G38" s="245"/>
      <c r="H38" s="227"/>
      <c r="I38" s="227"/>
      <c r="J38" s="227"/>
    </row>
    <row r="39" ht="20.25" customHeight="1">
      <c r="A39" s="241">
        <v>15.0</v>
      </c>
      <c r="B39" s="242"/>
      <c r="C39" s="242"/>
      <c r="D39" s="243"/>
      <c r="E39" s="244"/>
      <c r="F39" s="245"/>
      <c r="G39" s="245"/>
      <c r="H39" s="227"/>
      <c r="I39" s="227"/>
      <c r="J39" s="227"/>
    </row>
    <row r="40" ht="20.25" customHeight="1">
      <c r="A40" s="246"/>
      <c r="B40" s="246"/>
      <c r="C40" s="246"/>
      <c r="D40" s="246"/>
      <c r="E40" s="247" t="s">
        <v>1125</v>
      </c>
      <c r="F40" s="256"/>
      <c r="G40" s="246"/>
      <c r="H40" s="227"/>
      <c r="I40" s="227"/>
      <c r="J40" s="227"/>
    </row>
    <row r="41" ht="20.25" customHeight="1">
      <c r="A41" s="249"/>
      <c r="B41" s="246"/>
      <c r="C41" s="246"/>
      <c r="D41" s="246"/>
      <c r="E41" s="247" t="s">
        <v>1126</v>
      </c>
      <c r="F41" s="256"/>
      <c r="G41" s="246"/>
      <c r="H41" s="227"/>
      <c r="I41" s="227"/>
      <c r="J41" s="227"/>
    </row>
    <row r="42" ht="20.25" customHeight="1">
      <c r="A42" s="249"/>
      <c r="B42" s="246"/>
      <c r="C42" s="246"/>
      <c r="D42" s="246"/>
      <c r="E42" s="247" t="s">
        <v>1127</v>
      </c>
      <c r="F42" s="256"/>
      <c r="G42" s="246"/>
      <c r="H42" s="227"/>
      <c r="I42" s="227"/>
      <c r="J42" s="227"/>
    </row>
    <row r="43" ht="20.25" customHeight="1">
      <c r="A43" s="249"/>
      <c r="B43" s="246"/>
      <c r="C43" s="246"/>
      <c r="D43" s="246"/>
      <c r="E43" s="247" t="s">
        <v>1128</v>
      </c>
      <c r="F43" s="256"/>
      <c r="G43" s="246"/>
      <c r="H43" s="227"/>
      <c r="I43" s="227"/>
      <c r="J43" s="227"/>
    </row>
    <row r="44" ht="20.25" customHeight="1">
      <c r="A44" s="249"/>
      <c r="B44" s="246"/>
      <c r="C44" s="246"/>
      <c r="D44" s="246"/>
      <c r="E44" s="247" t="s">
        <v>1129</v>
      </c>
      <c r="F44" s="256"/>
      <c r="G44" s="246"/>
      <c r="H44" s="227"/>
      <c r="I44" s="227"/>
      <c r="J44" s="227"/>
    </row>
    <row r="45" ht="20.25" customHeight="1">
      <c r="A45" s="226"/>
      <c r="B45" s="226"/>
      <c r="C45" s="226"/>
      <c r="D45" s="226"/>
      <c r="E45" s="226"/>
      <c r="F45" s="226"/>
      <c r="G45" s="226"/>
      <c r="H45" s="227"/>
      <c r="I45" s="227"/>
      <c r="J45" s="227"/>
    </row>
    <row r="46" ht="20.25" customHeight="1">
      <c r="A46" s="228" t="s">
        <v>4</v>
      </c>
      <c r="B46" s="229" t="s">
        <v>5</v>
      </c>
      <c r="C46" s="229" t="s">
        <v>126</v>
      </c>
      <c r="D46" s="229" t="s">
        <v>6</v>
      </c>
      <c r="E46" s="229" t="s">
        <v>7</v>
      </c>
      <c r="F46" s="229" t="s">
        <v>127</v>
      </c>
      <c r="G46" s="230" t="s">
        <v>128</v>
      </c>
      <c r="H46" s="227"/>
      <c r="I46" s="227"/>
      <c r="J46" s="227"/>
    </row>
    <row r="47" ht="20.25" customHeight="1">
      <c r="A47" s="231">
        <v>1.0</v>
      </c>
      <c r="B47" s="232">
        <v>46084.0</v>
      </c>
      <c r="C47" s="233" t="s">
        <v>169</v>
      </c>
      <c r="D47" s="243"/>
      <c r="E47" s="257" t="s">
        <v>140</v>
      </c>
      <c r="F47" s="258">
        <v>9.0</v>
      </c>
      <c r="G47" s="259" t="s">
        <v>662</v>
      </c>
      <c r="H47" s="227"/>
      <c r="I47" s="227"/>
      <c r="J47" s="227"/>
    </row>
    <row r="48" ht="20.25" customHeight="1">
      <c r="A48" s="231">
        <v>2.0</v>
      </c>
      <c r="B48" s="238"/>
      <c r="C48" s="260" t="s">
        <v>1130</v>
      </c>
      <c r="D48" s="243"/>
      <c r="E48" s="257" t="s">
        <v>1131</v>
      </c>
      <c r="F48" s="259" t="s">
        <v>1132</v>
      </c>
      <c r="G48" s="245"/>
      <c r="H48" s="227"/>
      <c r="I48" s="227"/>
      <c r="J48" s="227"/>
    </row>
    <row r="49" ht="20.25" customHeight="1">
      <c r="A49" s="231">
        <v>3.0</v>
      </c>
      <c r="B49" s="238"/>
      <c r="C49" s="238"/>
      <c r="D49" s="243"/>
      <c r="E49" s="244"/>
      <c r="F49" s="245"/>
      <c r="G49" s="245"/>
      <c r="H49" s="227"/>
      <c r="I49" s="227"/>
      <c r="J49" s="227"/>
    </row>
    <row r="50" ht="20.25" customHeight="1">
      <c r="A50" s="231">
        <v>4.0</v>
      </c>
      <c r="B50" s="238"/>
      <c r="C50" s="238"/>
      <c r="D50" s="243"/>
      <c r="E50" s="244"/>
      <c r="F50" s="245"/>
      <c r="G50" s="245"/>
      <c r="H50" s="227"/>
      <c r="I50" s="227"/>
      <c r="J50" s="227"/>
    </row>
    <row r="51" ht="20.25" customHeight="1">
      <c r="A51" s="231">
        <v>5.0</v>
      </c>
      <c r="B51" s="238"/>
      <c r="C51" s="238"/>
      <c r="D51" s="243"/>
      <c r="E51" s="244"/>
      <c r="F51" s="245"/>
      <c r="G51" s="245"/>
      <c r="H51" s="227"/>
      <c r="I51" s="227"/>
      <c r="J51" s="227"/>
    </row>
    <row r="52" ht="20.25" customHeight="1">
      <c r="A52" s="231">
        <v>6.0</v>
      </c>
      <c r="B52" s="238"/>
      <c r="C52" s="238"/>
      <c r="D52" s="243"/>
      <c r="E52" s="244"/>
      <c r="F52" s="245"/>
      <c r="G52" s="245"/>
      <c r="H52" s="227"/>
      <c r="I52" s="227"/>
      <c r="J52" s="227"/>
    </row>
    <row r="53" ht="20.25" customHeight="1">
      <c r="A53" s="231">
        <v>7.0</v>
      </c>
      <c r="B53" s="238"/>
      <c r="C53" s="238"/>
      <c r="D53" s="243"/>
      <c r="E53" s="244"/>
      <c r="F53" s="245"/>
      <c r="G53" s="245"/>
      <c r="H53" s="227"/>
      <c r="I53" s="227"/>
      <c r="J53" s="227"/>
    </row>
    <row r="54" ht="20.25" customHeight="1">
      <c r="A54" s="231">
        <v>8.0</v>
      </c>
      <c r="B54" s="238"/>
      <c r="C54" s="238"/>
      <c r="D54" s="243"/>
      <c r="E54" s="244"/>
      <c r="F54" s="245"/>
      <c r="G54" s="245"/>
      <c r="H54" s="227"/>
      <c r="I54" s="227"/>
      <c r="J54" s="227"/>
    </row>
    <row r="55" ht="20.25" customHeight="1">
      <c r="A55" s="231">
        <v>9.0</v>
      </c>
      <c r="B55" s="238"/>
      <c r="C55" s="238"/>
      <c r="D55" s="243"/>
      <c r="E55" s="244"/>
      <c r="F55" s="245"/>
      <c r="G55" s="245"/>
      <c r="H55" s="227"/>
      <c r="I55" s="227"/>
      <c r="J55" s="227"/>
    </row>
    <row r="56" ht="20.25" customHeight="1">
      <c r="A56" s="231">
        <v>10.0</v>
      </c>
      <c r="B56" s="238"/>
      <c r="C56" s="238"/>
      <c r="D56" s="243"/>
      <c r="E56" s="244"/>
      <c r="F56" s="245"/>
      <c r="G56" s="245"/>
      <c r="H56" s="227"/>
      <c r="I56" s="227"/>
      <c r="J56" s="227"/>
    </row>
    <row r="57" ht="20.25" customHeight="1">
      <c r="A57" s="231">
        <v>11.0</v>
      </c>
      <c r="B57" s="238"/>
      <c r="C57" s="238"/>
      <c r="D57" s="243"/>
      <c r="E57" s="244"/>
      <c r="F57" s="245"/>
      <c r="G57" s="245"/>
      <c r="H57" s="227"/>
      <c r="I57" s="227"/>
      <c r="J57" s="227"/>
    </row>
    <row r="58" ht="20.25" customHeight="1">
      <c r="A58" s="231">
        <v>12.0</v>
      </c>
      <c r="B58" s="238"/>
      <c r="C58" s="238"/>
      <c r="D58" s="243"/>
      <c r="E58" s="244"/>
      <c r="F58" s="245"/>
      <c r="G58" s="245"/>
      <c r="H58" s="227"/>
      <c r="I58" s="227"/>
      <c r="J58" s="227"/>
    </row>
    <row r="59" ht="20.25" customHeight="1">
      <c r="A59" s="231">
        <v>13.0</v>
      </c>
      <c r="B59" s="238"/>
      <c r="C59" s="238"/>
      <c r="D59" s="243"/>
      <c r="E59" s="244"/>
      <c r="F59" s="245"/>
      <c r="G59" s="245"/>
      <c r="H59" s="227"/>
      <c r="I59" s="227"/>
      <c r="J59" s="227"/>
    </row>
    <row r="60" ht="20.25" customHeight="1">
      <c r="A60" s="231">
        <v>14.0</v>
      </c>
      <c r="B60" s="238"/>
      <c r="C60" s="238"/>
      <c r="D60" s="243"/>
      <c r="E60" s="244"/>
      <c r="F60" s="245"/>
      <c r="G60" s="245"/>
      <c r="H60" s="227"/>
      <c r="I60" s="227"/>
      <c r="J60" s="227"/>
    </row>
    <row r="61" ht="20.25" customHeight="1">
      <c r="A61" s="241">
        <v>15.0</v>
      </c>
      <c r="B61" s="242"/>
      <c r="C61" s="242"/>
      <c r="D61" s="243"/>
      <c r="E61" s="244"/>
      <c r="F61" s="245"/>
      <c r="G61" s="245"/>
      <c r="H61" s="227"/>
      <c r="I61" s="227"/>
      <c r="J61" s="227"/>
    </row>
    <row r="62" ht="20.25" customHeight="1">
      <c r="A62" s="246"/>
      <c r="B62" s="246"/>
      <c r="C62" s="246"/>
      <c r="D62" s="246"/>
      <c r="E62" s="247" t="s">
        <v>1133</v>
      </c>
      <c r="F62" s="256"/>
      <c r="G62" s="246"/>
      <c r="H62" s="227"/>
      <c r="I62" s="227"/>
      <c r="J62" s="227"/>
    </row>
    <row r="63" ht="20.25" customHeight="1">
      <c r="A63" s="249"/>
      <c r="B63" s="246"/>
      <c r="C63" s="246"/>
      <c r="D63" s="246"/>
      <c r="E63" s="247" t="s">
        <v>145</v>
      </c>
      <c r="F63" s="256"/>
      <c r="G63" s="246"/>
      <c r="H63" s="227"/>
      <c r="I63" s="227"/>
      <c r="J63" s="227"/>
    </row>
    <row r="64" ht="20.25" customHeight="1">
      <c r="A64" s="249"/>
      <c r="B64" s="246"/>
      <c r="C64" s="246"/>
      <c r="D64" s="246"/>
      <c r="E64" s="247" t="s">
        <v>1134</v>
      </c>
      <c r="F64" s="256"/>
      <c r="G64" s="246"/>
      <c r="H64" s="227"/>
      <c r="I64" s="227"/>
      <c r="J64" s="227"/>
    </row>
    <row r="65" ht="20.25" customHeight="1">
      <c r="A65" s="249"/>
      <c r="B65" s="246"/>
      <c r="C65" s="246"/>
      <c r="D65" s="246"/>
      <c r="E65" s="247" t="s">
        <v>1135</v>
      </c>
      <c r="F65" s="256"/>
      <c r="G65" s="246"/>
      <c r="H65" s="227"/>
      <c r="I65" s="227"/>
      <c r="J65" s="227"/>
    </row>
    <row r="66" ht="20.25" customHeight="1">
      <c r="A66" s="249"/>
      <c r="B66" s="246"/>
      <c r="C66" s="246"/>
      <c r="D66" s="246"/>
      <c r="E66" s="247" t="s">
        <v>148</v>
      </c>
      <c r="F66" s="256"/>
      <c r="G66" s="246"/>
      <c r="H66" s="227"/>
      <c r="I66" s="227"/>
      <c r="J66" s="227"/>
    </row>
    <row r="67" ht="20.25" customHeight="1">
      <c r="A67" s="228" t="s">
        <v>4</v>
      </c>
      <c r="B67" s="229" t="s">
        <v>5</v>
      </c>
      <c r="C67" s="229" t="s">
        <v>126</v>
      </c>
      <c r="D67" s="229" t="s">
        <v>6</v>
      </c>
      <c r="E67" s="229" t="s">
        <v>7</v>
      </c>
      <c r="F67" s="229" t="s">
        <v>127</v>
      </c>
      <c r="G67" s="230" t="s">
        <v>128</v>
      </c>
      <c r="H67" s="227"/>
      <c r="I67" s="227"/>
      <c r="J67" s="227"/>
    </row>
    <row r="68" ht="20.25" customHeight="1">
      <c r="A68" s="231">
        <v>1.0</v>
      </c>
      <c r="B68" s="232">
        <v>46085.0</v>
      </c>
      <c r="C68" s="233"/>
      <c r="D68" s="261" t="s">
        <v>65</v>
      </c>
      <c r="E68" s="257" t="s">
        <v>837</v>
      </c>
      <c r="F68" s="259" t="s">
        <v>1136</v>
      </c>
      <c r="G68" s="259" t="s">
        <v>1137</v>
      </c>
      <c r="H68" s="227"/>
      <c r="I68" s="227"/>
      <c r="J68" s="227"/>
    </row>
    <row r="69" ht="20.25" customHeight="1">
      <c r="A69" s="231">
        <v>2.0</v>
      </c>
      <c r="B69" s="238"/>
      <c r="C69" s="260"/>
      <c r="D69" s="261" t="s">
        <v>65</v>
      </c>
      <c r="E69" s="257" t="s">
        <v>1138</v>
      </c>
      <c r="F69" s="259" t="s">
        <v>1139</v>
      </c>
      <c r="G69" s="259" t="s">
        <v>1140</v>
      </c>
      <c r="H69" s="227"/>
      <c r="I69" s="227"/>
      <c r="J69" s="227"/>
    </row>
    <row r="70" ht="20.25" customHeight="1">
      <c r="A70" s="231">
        <v>3.0</v>
      </c>
      <c r="B70" s="238"/>
      <c r="C70" s="238"/>
      <c r="D70" s="243"/>
      <c r="E70" s="257" t="s">
        <v>1141</v>
      </c>
      <c r="F70" s="245"/>
      <c r="G70" s="259" t="s">
        <v>1142</v>
      </c>
      <c r="H70" s="227"/>
      <c r="I70" s="227"/>
      <c r="J70" s="227"/>
    </row>
    <row r="71" ht="20.25" customHeight="1">
      <c r="A71" s="231">
        <v>4.0</v>
      </c>
      <c r="B71" s="238"/>
      <c r="C71" s="238"/>
      <c r="D71" s="243"/>
      <c r="E71" s="257" t="s">
        <v>809</v>
      </c>
      <c r="F71" s="258">
        <v>50.0</v>
      </c>
      <c r="G71" s="245"/>
      <c r="H71" s="227"/>
      <c r="I71" s="227"/>
      <c r="J71" s="227"/>
    </row>
    <row r="72" ht="20.25" customHeight="1">
      <c r="A72" s="231">
        <v>5.0</v>
      </c>
      <c r="B72" s="238"/>
      <c r="C72" s="238"/>
      <c r="D72" s="243"/>
      <c r="E72" s="257" t="s">
        <v>1138</v>
      </c>
      <c r="F72" s="258">
        <v>60.0</v>
      </c>
      <c r="G72" s="245"/>
      <c r="H72" s="227"/>
      <c r="I72" s="227"/>
      <c r="J72" s="227"/>
    </row>
    <row r="73" ht="20.25" customHeight="1">
      <c r="A73" s="231">
        <v>6.0</v>
      </c>
      <c r="B73" s="238"/>
      <c r="C73" s="238"/>
      <c r="D73" s="243"/>
      <c r="E73" s="244"/>
      <c r="F73" s="262"/>
      <c r="G73" s="262"/>
      <c r="H73" s="227"/>
      <c r="I73" s="227"/>
      <c r="J73" s="227"/>
    </row>
    <row r="74" ht="20.25" customHeight="1">
      <c r="A74" s="231">
        <v>7.0</v>
      </c>
      <c r="B74" s="238"/>
      <c r="C74" s="238"/>
      <c r="D74" s="243"/>
      <c r="E74" s="244"/>
      <c r="F74" s="263" t="s">
        <v>1143</v>
      </c>
      <c r="G74" s="264">
        <f>100+30+320+35+50+60</f>
        <v>595</v>
      </c>
      <c r="H74" s="227"/>
      <c r="I74" s="227"/>
      <c r="J74" s="227"/>
    </row>
    <row r="75" ht="20.25" customHeight="1">
      <c r="A75" s="231">
        <v>8.0</v>
      </c>
      <c r="B75" s="238"/>
      <c r="C75" s="238"/>
      <c r="D75" s="243"/>
      <c r="E75" s="244"/>
      <c r="F75" s="263" t="s">
        <v>1144</v>
      </c>
      <c r="G75" s="264">
        <f>30+35+35+35+60+50+60*75/100</f>
        <v>290</v>
      </c>
      <c r="H75" s="227"/>
      <c r="I75" s="227"/>
      <c r="J75" s="227"/>
    </row>
    <row r="76" ht="20.25" customHeight="1">
      <c r="A76" s="231">
        <v>9.0</v>
      </c>
      <c r="B76" s="238"/>
      <c r="C76" s="238"/>
      <c r="D76" s="243"/>
      <c r="E76" s="244"/>
      <c r="F76" s="263" t="s">
        <v>1145</v>
      </c>
      <c r="G76" s="264">
        <f>G74-G75</f>
        <v>305</v>
      </c>
      <c r="H76" s="227"/>
      <c r="I76" s="227"/>
      <c r="J76" s="227"/>
    </row>
    <row r="77" ht="20.25" customHeight="1">
      <c r="A77" s="231">
        <v>10.0</v>
      </c>
      <c r="B77" s="238"/>
      <c r="C77" s="238"/>
      <c r="D77" s="243"/>
      <c r="E77" s="244"/>
      <c r="F77" s="245"/>
      <c r="G77" s="245"/>
      <c r="H77" s="227"/>
      <c r="I77" s="227"/>
      <c r="J77" s="227"/>
    </row>
    <row r="78" ht="20.25" customHeight="1">
      <c r="A78" s="231">
        <v>11.0</v>
      </c>
      <c r="B78" s="238"/>
      <c r="C78" s="238"/>
      <c r="D78" s="243"/>
      <c r="E78" s="244"/>
      <c r="F78" s="245"/>
      <c r="G78" s="245"/>
      <c r="H78" s="227"/>
      <c r="I78" s="227"/>
      <c r="J78" s="227"/>
    </row>
    <row r="79" ht="20.25" customHeight="1">
      <c r="A79" s="231">
        <v>12.0</v>
      </c>
      <c r="B79" s="238"/>
      <c r="C79" s="238"/>
      <c r="D79" s="243"/>
      <c r="E79" s="244"/>
      <c r="F79" s="245"/>
      <c r="G79" s="245"/>
      <c r="H79" s="227"/>
      <c r="I79" s="227"/>
      <c r="J79" s="227"/>
    </row>
    <row r="80" ht="20.25" customHeight="1">
      <c r="A80" s="231">
        <v>13.0</v>
      </c>
      <c r="B80" s="238"/>
      <c r="C80" s="238"/>
      <c r="D80" s="243"/>
      <c r="E80" s="244"/>
      <c r="F80" s="245"/>
      <c r="G80" s="245"/>
      <c r="H80" s="227"/>
      <c r="I80" s="227"/>
      <c r="J80" s="227"/>
    </row>
    <row r="81" ht="20.25" customHeight="1">
      <c r="A81" s="231">
        <v>14.0</v>
      </c>
      <c r="B81" s="238"/>
      <c r="C81" s="238"/>
      <c r="D81" s="243"/>
      <c r="E81" s="244"/>
      <c r="F81" s="245"/>
      <c r="G81" s="245"/>
      <c r="H81" s="227"/>
      <c r="I81" s="227"/>
      <c r="J81" s="227"/>
    </row>
    <row r="82" ht="20.25" customHeight="1">
      <c r="A82" s="241">
        <v>15.0</v>
      </c>
      <c r="B82" s="242"/>
      <c r="C82" s="242"/>
      <c r="D82" s="243"/>
      <c r="E82" s="244"/>
      <c r="F82" s="245"/>
      <c r="G82" s="245"/>
      <c r="H82" s="227"/>
      <c r="I82" s="227"/>
      <c r="J82" s="227"/>
    </row>
    <row r="83" ht="20.25" customHeight="1">
      <c r="A83" s="246"/>
      <c r="B83" s="246"/>
      <c r="C83" s="246"/>
      <c r="D83" s="246"/>
      <c r="E83" s="247" t="s">
        <v>1133</v>
      </c>
      <c r="F83" s="256"/>
      <c r="G83" s="246"/>
      <c r="H83" s="227"/>
      <c r="I83" s="227"/>
      <c r="J83" s="227"/>
    </row>
    <row r="84" ht="20.25" customHeight="1">
      <c r="A84" s="249"/>
      <c r="B84" s="246"/>
      <c r="C84" s="246"/>
      <c r="D84" s="246"/>
      <c r="E84" s="247" t="s">
        <v>145</v>
      </c>
      <c r="F84" s="256"/>
      <c r="G84" s="246"/>
      <c r="H84" s="227"/>
      <c r="I84" s="227"/>
      <c r="J84" s="227"/>
    </row>
    <row r="85" ht="20.25" customHeight="1">
      <c r="A85" s="249"/>
      <c r="B85" s="246"/>
      <c r="C85" s="246"/>
      <c r="D85" s="246"/>
      <c r="E85" s="247" t="s">
        <v>1134</v>
      </c>
      <c r="F85" s="256"/>
      <c r="G85" s="246"/>
      <c r="H85" s="227"/>
      <c r="I85" s="227"/>
      <c r="J85" s="227"/>
    </row>
    <row r="86" ht="20.25" customHeight="1">
      <c r="A86" s="249"/>
      <c r="B86" s="246"/>
      <c r="C86" s="246"/>
      <c r="D86" s="246"/>
      <c r="E86" s="247" t="s">
        <v>1135</v>
      </c>
      <c r="F86" s="256"/>
      <c r="G86" s="246"/>
      <c r="H86" s="227"/>
      <c r="I86" s="227"/>
      <c r="J86" s="227"/>
    </row>
    <row r="87" ht="20.25" customHeight="1">
      <c r="A87" s="249"/>
      <c r="B87" s="246"/>
      <c r="C87" s="246"/>
      <c r="D87" s="246"/>
      <c r="E87" s="247" t="s">
        <v>148</v>
      </c>
      <c r="F87" s="256"/>
      <c r="G87" s="246"/>
      <c r="H87" s="227"/>
      <c r="I87" s="227"/>
      <c r="J87" s="227"/>
    </row>
    <row r="88" ht="20.25" customHeight="1">
      <c r="A88" s="56" t="s">
        <v>4</v>
      </c>
      <c r="B88" s="56" t="s">
        <v>5</v>
      </c>
      <c r="C88" s="56" t="s">
        <v>126</v>
      </c>
      <c r="D88" s="56" t="s">
        <v>6</v>
      </c>
      <c r="E88" s="56" t="s">
        <v>7</v>
      </c>
      <c r="F88" s="56" t="s">
        <v>127</v>
      </c>
      <c r="G88" s="57" t="s">
        <v>128</v>
      </c>
      <c r="H88" s="227"/>
      <c r="I88" s="227"/>
      <c r="J88" s="227"/>
    </row>
    <row r="89" ht="20.25" customHeight="1">
      <c r="A89" s="60">
        <v>1.0</v>
      </c>
      <c r="B89" s="87">
        <v>46086.0</v>
      </c>
      <c r="C89" s="62" t="s">
        <v>192</v>
      </c>
      <c r="D89" s="63" t="s">
        <v>1146</v>
      </c>
      <c r="E89" s="64" t="s">
        <v>1147</v>
      </c>
      <c r="F89" s="65"/>
      <c r="G89" s="69"/>
      <c r="H89" s="227"/>
      <c r="I89" s="227"/>
      <c r="J89" s="227"/>
    </row>
    <row r="90" ht="20.25" customHeight="1">
      <c r="A90" s="60">
        <v>2.0</v>
      </c>
      <c r="B90" s="66"/>
      <c r="C90" s="67"/>
      <c r="D90" s="63"/>
      <c r="E90" s="64" t="s">
        <v>1148</v>
      </c>
      <c r="F90" s="65">
        <v>50.0</v>
      </c>
      <c r="G90" s="69"/>
      <c r="H90" s="227"/>
      <c r="I90" s="227"/>
      <c r="J90" s="227"/>
    </row>
    <row r="91" ht="20.25" customHeight="1">
      <c r="A91" s="60">
        <v>3.0</v>
      </c>
      <c r="B91" s="66"/>
      <c r="C91" s="67"/>
      <c r="D91" s="63"/>
      <c r="E91" s="64" t="s">
        <v>277</v>
      </c>
      <c r="F91" s="65">
        <v>35.0</v>
      </c>
      <c r="G91" s="69"/>
      <c r="H91" s="227"/>
      <c r="I91" s="227"/>
      <c r="J91" s="227"/>
    </row>
    <row r="92" ht="20.25" customHeight="1">
      <c r="A92" s="60">
        <v>4.0</v>
      </c>
      <c r="B92" s="66"/>
      <c r="C92" s="67"/>
      <c r="D92" s="63"/>
      <c r="E92" s="64" t="s">
        <v>36</v>
      </c>
      <c r="F92" s="68" t="s">
        <v>1149</v>
      </c>
      <c r="G92" s="68" t="s">
        <v>1150</v>
      </c>
      <c r="H92" s="227"/>
      <c r="I92" s="227"/>
      <c r="J92" s="227"/>
    </row>
    <row r="93" ht="20.25" customHeight="1">
      <c r="A93" s="60">
        <v>5.0</v>
      </c>
      <c r="B93" s="66"/>
      <c r="C93" s="67"/>
      <c r="D93" s="63"/>
      <c r="E93" s="64" t="s">
        <v>1151</v>
      </c>
      <c r="F93" s="68"/>
      <c r="G93" s="69"/>
      <c r="H93" s="227"/>
      <c r="I93" s="227"/>
      <c r="J93" s="227"/>
    </row>
    <row r="94" ht="20.25" customHeight="1">
      <c r="A94" s="60">
        <v>6.0</v>
      </c>
      <c r="B94" s="66"/>
      <c r="C94" s="67"/>
      <c r="D94" s="63"/>
      <c r="E94" s="64" t="s">
        <v>1152</v>
      </c>
      <c r="F94" s="65" t="s">
        <v>1153</v>
      </c>
      <c r="G94" s="69"/>
      <c r="H94" s="227"/>
      <c r="I94" s="227"/>
      <c r="J94" s="227"/>
    </row>
    <row r="95" ht="20.25" customHeight="1">
      <c r="A95" s="60">
        <v>7.0</v>
      </c>
      <c r="B95" s="66"/>
      <c r="C95" s="67"/>
      <c r="D95" s="63"/>
      <c r="E95" s="70"/>
      <c r="F95" s="69"/>
      <c r="G95" s="69"/>
      <c r="H95" s="227"/>
      <c r="I95" s="227"/>
      <c r="J95" s="227"/>
    </row>
    <row r="96" ht="20.25" customHeight="1">
      <c r="A96" s="60">
        <v>8.0</v>
      </c>
      <c r="B96" s="66"/>
      <c r="C96" s="67"/>
      <c r="D96" s="63"/>
      <c r="E96" s="70"/>
      <c r="F96" s="69"/>
      <c r="G96" s="69"/>
      <c r="H96" s="227"/>
      <c r="I96" s="227"/>
      <c r="J96" s="227"/>
    </row>
    <row r="97" ht="20.25" customHeight="1">
      <c r="A97" s="60">
        <v>9.0</v>
      </c>
      <c r="B97" s="66"/>
      <c r="C97" s="67"/>
      <c r="D97" s="63"/>
      <c r="E97" s="70"/>
      <c r="F97" s="69"/>
      <c r="G97" s="69"/>
      <c r="H97" s="227"/>
      <c r="I97" s="227"/>
      <c r="J97" s="227"/>
    </row>
    <row r="98" ht="20.25" customHeight="1">
      <c r="A98" s="60">
        <v>10.0</v>
      </c>
      <c r="B98" s="66"/>
      <c r="C98" s="67"/>
      <c r="D98" s="63"/>
      <c r="E98" s="70"/>
      <c r="F98" s="69"/>
      <c r="G98" s="69"/>
      <c r="H98" s="227"/>
      <c r="I98" s="227"/>
      <c r="J98" s="227"/>
    </row>
    <row r="99" ht="20.25" customHeight="1">
      <c r="A99" s="60">
        <v>11.0</v>
      </c>
      <c r="B99" s="66"/>
      <c r="C99" s="67"/>
      <c r="D99" s="63"/>
      <c r="E99" s="70"/>
      <c r="F99" s="69"/>
      <c r="G99" s="69"/>
      <c r="H99" s="227"/>
      <c r="I99" s="227"/>
      <c r="J99" s="227"/>
    </row>
    <row r="100" ht="20.25" customHeight="1">
      <c r="A100" s="60">
        <v>12.0</v>
      </c>
      <c r="B100" s="66"/>
      <c r="C100" s="67"/>
      <c r="D100" s="63"/>
      <c r="E100" s="70"/>
      <c r="F100" s="69"/>
      <c r="G100" s="69"/>
      <c r="H100" s="227"/>
      <c r="I100" s="227"/>
      <c r="J100" s="227"/>
    </row>
    <row r="101" ht="20.25" customHeight="1">
      <c r="A101" s="60">
        <v>13.0</v>
      </c>
      <c r="B101" s="66"/>
      <c r="C101" s="67"/>
      <c r="D101" s="63"/>
      <c r="E101" s="70"/>
      <c r="F101" s="69"/>
      <c r="G101" s="69"/>
      <c r="H101" s="227"/>
      <c r="I101" s="227"/>
      <c r="J101" s="227"/>
    </row>
    <row r="102" ht="20.25" customHeight="1">
      <c r="A102" s="60">
        <v>14.0</v>
      </c>
      <c r="B102" s="66"/>
      <c r="C102" s="67"/>
      <c r="D102" s="63"/>
      <c r="E102" s="70"/>
      <c r="F102" s="69"/>
      <c r="G102" s="69"/>
      <c r="H102" s="227"/>
      <c r="I102" s="227"/>
      <c r="J102" s="227"/>
    </row>
    <row r="103" ht="20.25" customHeight="1">
      <c r="A103" s="71">
        <v>15.0</v>
      </c>
      <c r="B103" s="72"/>
      <c r="C103" s="73"/>
      <c r="D103" s="63"/>
      <c r="E103" s="70"/>
      <c r="F103" s="69"/>
      <c r="G103" s="69"/>
      <c r="H103" s="227"/>
      <c r="I103" s="227"/>
      <c r="J103" s="227"/>
    </row>
    <row r="104" ht="20.25" customHeight="1">
      <c r="A104" s="74"/>
      <c r="B104" s="75"/>
      <c r="C104" s="76"/>
      <c r="D104" s="76"/>
      <c r="E104" s="81" t="s">
        <v>1154</v>
      </c>
      <c r="F104" s="78"/>
      <c r="G104" s="76"/>
      <c r="H104" s="227"/>
      <c r="I104" s="227"/>
      <c r="J104" s="227"/>
    </row>
    <row r="105" ht="20.25" customHeight="1">
      <c r="A105" s="79"/>
      <c r="B105" s="75"/>
      <c r="C105" s="76"/>
      <c r="D105" s="76"/>
      <c r="E105" s="81" t="s">
        <v>145</v>
      </c>
      <c r="F105" s="78">
        <f>600+50+35-525+3640+100</f>
        <v>3900</v>
      </c>
      <c r="G105" s="76"/>
      <c r="H105" s="227"/>
      <c r="I105" s="227"/>
      <c r="J105" s="227"/>
    </row>
    <row r="106" ht="20.25" customHeight="1">
      <c r="A106" s="79"/>
      <c r="B106" s="75"/>
      <c r="C106" s="76"/>
      <c r="D106" s="76"/>
      <c r="E106" s="81" t="s">
        <v>146</v>
      </c>
      <c r="F106" s="80">
        <v>465.0</v>
      </c>
      <c r="G106" s="76"/>
      <c r="H106" s="227"/>
      <c r="I106" s="227"/>
      <c r="J106" s="227"/>
    </row>
    <row r="107" ht="20.25" customHeight="1">
      <c r="A107" s="79"/>
      <c r="B107" s="75"/>
      <c r="C107" s="76"/>
      <c r="D107" s="76"/>
      <c r="E107" s="81" t="s">
        <v>147</v>
      </c>
      <c r="F107" s="80">
        <v>350.0</v>
      </c>
      <c r="G107" s="76"/>
      <c r="H107" s="227"/>
      <c r="I107" s="227"/>
      <c r="J107" s="227"/>
    </row>
    <row r="108" ht="20.25" customHeight="1">
      <c r="A108" s="79"/>
      <c r="B108" s="75"/>
      <c r="C108" s="76"/>
      <c r="D108" s="76"/>
      <c r="E108" s="81" t="s">
        <v>148</v>
      </c>
      <c r="F108" s="80">
        <v>3550.0</v>
      </c>
      <c r="G108" s="76"/>
      <c r="H108" s="227"/>
      <c r="I108" s="227"/>
      <c r="J108" s="227"/>
    </row>
    <row r="109" ht="20.25" customHeight="1">
      <c r="A109" s="265"/>
      <c r="B109" s="227"/>
      <c r="C109" s="227"/>
      <c r="D109" s="227"/>
      <c r="E109" s="227"/>
      <c r="F109" s="227"/>
      <c r="G109" s="227"/>
      <c r="H109" s="227"/>
      <c r="I109" s="227"/>
      <c r="J109" s="227"/>
    </row>
    <row r="110" ht="20.25" customHeight="1">
      <c r="A110" s="56" t="s">
        <v>4</v>
      </c>
      <c r="B110" s="56" t="s">
        <v>5</v>
      </c>
      <c r="C110" s="56" t="s">
        <v>126</v>
      </c>
      <c r="D110" s="56" t="s">
        <v>6</v>
      </c>
      <c r="E110" s="56" t="s">
        <v>7</v>
      </c>
      <c r="F110" s="56" t="s">
        <v>127</v>
      </c>
      <c r="G110" s="57" t="s">
        <v>128</v>
      </c>
      <c r="H110" s="266"/>
      <c r="I110" s="227"/>
      <c r="J110" s="227"/>
    </row>
    <row r="111" ht="20.25" customHeight="1">
      <c r="A111" s="60">
        <v>1.0</v>
      </c>
      <c r="B111" s="61">
        <v>46088.0</v>
      </c>
      <c r="C111" s="62" t="s">
        <v>341</v>
      </c>
      <c r="D111" s="63" t="s">
        <v>65</v>
      </c>
      <c r="E111" s="64" t="s">
        <v>1155</v>
      </c>
      <c r="F111" s="64"/>
      <c r="G111" s="64"/>
      <c r="H111" s="267"/>
      <c r="I111" s="227"/>
      <c r="J111" s="227"/>
    </row>
    <row r="112" ht="20.25" customHeight="1">
      <c r="A112" s="60">
        <v>2.0</v>
      </c>
      <c r="B112" s="66"/>
      <c r="C112" s="67"/>
      <c r="D112" s="63"/>
      <c r="E112" s="64" t="s">
        <v>1156</v>
      </c>
      <c r="F112" s="64"/>
      <c r="G112" s="64"/>
      <c r="H112" s="69"/>
      <c r="I112" s="227"/>
      <c r="J112" s="227"/>
    </row>
    <row r="113" ht="20.25" customHeight="1">
      <c r="A113" s="60">
        <v>3.0</v>
      </c>
      <c r="B113" s="66"/>
      <c r="C113" s="67"/>
      <c r="D113" s="63"/>
      <c r="E113" s="64" t="s">
        <v>1108</v>
      </c>
      <c r="F113" s="65" t="s">
        <v>1157</v>
      </c>
      <c r="G113" s="68" t="s">
        <v>1158</v>
      </c>
      <c r="H113" s="268"/>
      <c r="I113" s="227"/>
      <c r="J113" s="227"/>
    </row>
    <row r="114" ht="20.25" customHeight="1">
      <c r="A114" s="60">
        <v>4.0</v>
      </c>
      <c r="B114" s="66"/>
      <c r="C114" s="67"/>
      <c r="D114" s="63"/>
      <c r="E114" s="64" t="s">
        <v>1159</v>
      </c>
      <c r="F114" s="68" t="s">
        <v>1160</v>
      </c>
      <c r="G114" s="68" t="s">
        <v>1161</v>
      </c>
      <c r="H114" s="269"/>
      <c r="I114" s="227"/>
      <c r="J114" s="227"/>
    </row>
    <row r="115" ht="20.25" customHeight="1">
      <c r="A115" s="60">
        <v>5.0</v>
      </c>
      <c r="B115" s="66"/>
      <c r="C115" s="67"/>
      <c r="D115" s="63"/>
      <c r="E115" s="64" t="s">
        <v>1162</v>
      </c>
      <c r="F115" s="65">
        <v>40.0</v>
      </c>
      <c r="G115" s="68"/>
      <c r="H115" s="267"/>
      <c r="I115" s="227"/>
      <c r="J115" s="227"/>
    </row>
    <row r="116" ht="20.25" customHeight="1">
      <c r="A116" s="60">
        <v>6.0</v>
      </c>
      <c r="B116" s="66"/>
      <c r="C116" s="67"/>
      <c r="D116" s="63"/>
      <c r="E116" s="64"/>
      <c r="F116" s="270"/>
      <c r="G116" s="177"/>
      <c r="H116" s="271"/>
      <c r="I116" s="227"/>
      <c r="J116" s="227"/>
    </row>
    <row r="117" ht="20.25" customHeight="1">
      <c r="A117" s="60">
        <v>7.0</v>
      </c>
      <c r="B117" s="66"/>
      <c r="C117" s="67"/>
      <c r="D117" s="63"/>
      <c r="E117" s="64"/>
      <c r="F117" s="68">
        <f>40+735+35-40+775+40-5</f>
        <v>1580</v>
      </c>
      <c r="G117" s="69"/>
      <c r="H117" s="268"/>
      <c r="I117" s="227"/>
      <c r="J117" s="227"/>
    </row>
    <row r="118" ht="20.25" customHeight="1">
      <c r="A118" s="60">
        <v>8.0</v>
      </c>
      <c r="B118" s="66"/>
      <c r="C118" s="67"/>
      <c r="D118" s="63"/>
      <c r="E118" s="64"/>
      <c r="F118" s="68">
        <f>40+35+35+70+40</f>
        <v>220</v>
      </c>
      <c r="G118" s="69"/>
      <c r="H118" s="269"/>
      <c r="I118" s="227"/>
      <c r="J118" s="227"/>
    </row>
    <row r="119" ht="20.25" customHeight="1">
      <c r="A119" s="60">
        <v>9.0</v>
      </c>
      <c r="B119" s="66"/>
      <c r="C119" s="67"/>
      <c r="D119" s="63"/>
      <c r="E119" s="64"/>
      <c r="F119" s="68">
        <f>220*75/100</f>
        <v>165</v>
      </c>
      <c r="G119" s="69"/>
      <c r="H119" s="268"/>
      <c r="I119" s="227"/>
      <c r="J119" s="227"/>
    </row>
    <row r="120" ht="20.25" customHeight="1">
      <c r="A120" s="60">
        <v>10.0</v>
      </c>
      <c r="B120" s="66"/>
      <c r="C120" s="67"/>
      <c r="D120" s="63"/>
      <c r="E120" s="64"/>
      <c r="F120" s="65">
        <f>F117-F119</f>
        <v>1415</v>
      </c>
      <c r="G120" s="69"/>
      <c r="H120" s="269"/>
      <c r="I120" s="227"/>
      <c r="J120" s="227"/>
    </row>
    <row r="121" ht="20.25" customHeight="1">
      <c r="A121" s="60">
        <v>11.0</v>
      </c>
      <c r="B121" s="66"/>
      <c r="C121" s="67"/>
      <c r="D121" s="63"/>
      <c r="E121" s="64"/>
      <c r="F121" s="69"/>
      <c r="G121" s="69"/>
      <c r="H121" s="268"/>
      <c r="I121" s="227"/>
      <c r="J121" s="227"/>
    </row>
    <row r="122" ht="20.25" customHeight="1">
      <c r="A122" s="60">
        <v>12.0</v>
      </c>
      <c r="B122" s="66"/>
      <c r="C122" s="67"/>
      <c r="D122" s="63"/>
      <c r="E122" s="64"/>
      <c r="F122" s="65"/>
      <c r="G122" s="69"/>
      <c r="H122" s="269"/>
      <c r="I122" s="227"/>
      <c r="J122" s="227"/>
    </row>
    <row r="123" ht="20.25" customHeight="1">
      <c r="A123" s="60">
        <v>13.0</v>
      </c>
      <c r="B123" s="66"/>
      <c r="C123" s="67"/>
      <c r="D123" s="63"/>
      <c r="E123" s="64"/>
      <c r="F123" s="65"/>
      <c r="G123" s="69"/>
      <c r="H123" s="268"/>
      <c r="I123" s="227"/>
      <c r="J123" s="227"/>
    </row>
    <row r="124" ht="20.25" customHeight="1">
      <c r="A124" s="60">
        <v>14.0</v>
      </c>
      <c r="B124" s="66"/>
      <c r="C124" s="67"/>
      <c r="D124" s="63"/>
      <c r="E124" s="64"/>
      <c r="F124" s="65"/>
      <c r="G124" s="69"/>
      <c r="H124" s="269"/>
      <c r="I124" s="227"/>
      <c r="J124" s="227"/>
    </row>
    <row r="125" ht="20.25" customHeight="1">
      <c r="A125" s="71">
        <v>15.0</v>
      </c>
      <c r="B125" s="72"/>
      <c r="C125" s="73"/>
      <c r="D125" s="63"/>
      <c r="E125" s="64"/>
      <c r="F125" s="65"/>
      <c r="G125" s="69"/>
      <c r="H125" s="268"/>
      <c r="I125" s="227"/>
      <c r="J125" s="227"/>
    </row>
    <row r="126" ht="20.25" customHeight="1">
      <c r="A126" s="74"/>
      <c r="B126" s="75"/>
      <c r="C126" s="76"/>
      <c r="D126" s="76"/>
      <c r="E126" s="81"/>
      <c r="F126" s="86"/>
      <c r="G126" s="76"/>
      <c r="H126" s="272"/>
      <c r="I126" s="227"/>
      <c r="J126" s="227"/>
    </row>
    <row r="127" ht="20.25" customHeight="1">
      <c r="A127" s="79"/>
      <c r="B127" s="75"/>
      <c r="C127" s="76"/>
      <c r="D127" s="76"/>
      <c r="E127" s="81"/>
      <c r="F127" s="86"/>
      <c r="G127" s="76"/>
      <c r="H127" s="273"/>
      <c r="I127" s="227"/>
      <c r="J127" s="227"/>
    </row>
    <row r="128" ht="20.25" customHeight="1">
      <c r="A128" s="79"/>
      <c r="B128" s="75"/>
      <c r="C128" s="76"/>
      <c r="D128" s="76"/>
      <c r="E128" s="81"/>
      <c r="F128" s="78"/>
      <c r="G128" s="76"/>
      <c r="H128" s="272"/>
      <c r="I128" s="227"/>
      <c r="J128" s="227"/>
    </row>
    <row r="129" ht="20.25" customHeight="1">
      <c r="A129" s="79"/>
      <c r="B129" s="75"/>
      <c r="C129" s="76"/>
      <c r="D129" s="76"/>
      <c r="E129" s="81"/>
      <c r="F129" s="78"/>
      <c r="G129" s="76"/>
      <c r="H129" s="273"/>
      <c r="I129" s="227"/>
      <c r="J129" s="227"/>
    </row>
    <row r="130" ht="20.25" customHeight="1">
      <c r="A130" s="79"/>
      <c r="B130" s="75"/>
      <c r="C130" s="76"/>
      <c r="D130" s="76"/>
      <c r="E130" s="81"/>
      <c r="F130" s="78"/>
      <c r="G130" s="76"/>
      <c r="H130" s="272"/>
      <c r="I130" s="227"/>
      <c r="J130" s="227"/>
    </row>
    <row r="131" ht="20.25" customHeight="1">
      <c r="A131" s="265"/>
      <c r="B131" s="227"/>
      <c r="C131" s="227"/>
      <c r="D131" s="227"/>
      <c r="E131" s="227"/>
      <c r="F131" s="227"/>
      <c r="G131" s="227"/>
      <c r="H131" s="227"/>
      <c r="I131" s="227"/>
      <c r="J131" s="227"/>
    </row>
    <row r="132" ht="20.25" customHeight="1">
      <c r="A132" s="56" t="s">
        <v>4</v>
      </c>
      <c r="B132" s="56" t="s">
        <v>5</v>
      </c>
      <c r="C132" s="56" t="s">
        <v>126</v>
      </c>
      <c r="D132" s="56" t="s">
        <v>6</v>
      </c>
      <c r="E132" s="56" t="s">
        <v>7</v>
      </c>
      <c r="F132" s="56" t="s">
        <v>127</v>
      </c>
      <c r="G132" s="57" t="s">
        <v>128</v>
      </c>
      <c r="H132" s="227"/>
      <c r="I132" s="227"/>
      <c r="J132" s="227"/>
    </row>
    <row r="133" ht="20.25" customHeight="1">
      <c r="A133" s="60">
        <v>1.0</v>
      </c>
      <c r="B133" s="61">
        <v>46089.0</v>
      </c>
      <c r="C133" s="62" t="s">
        <v>129</v>
      </c>
      <c r="D133" s="63" t="s">
        <v>1146</v>
      </c>
      <c r="E133" s="64" t="s">
        <v>1163</v>
      </c>
      <c r="F133" s="68" t="s">
        <v>1164</v>
      </c>
      <c r="G133" s="65">
        <v>30.0</v>
      </c>
      <c r="H133" s="227"/>
      <c r="I133" s="227"/>
      <c r="J133" s="227"/>
    </row>
    <row r="134" ht="20.25" customHeight="1">
      <c r="A134" s="60">
        <v>2.0</v>
      </c>
      <c r="B134" s="66"/>
      <c r="C134" s="67"/>
      <c r="D134" s="63"/>
      <c r="E134" s="64" t="s">
        <v>1165</v>
      </c>
      <c r="F134" s="65">
        <v>30.0</v>
      </c>
      <c r="G134" s="69"/>
      <c r="H134" s="227"/>
      <c r="I134" s="227"/>
      <c r="J134" s="227"/>
    </row>
    <row r="135" ht="20.25" customHeight="1">
      <c r="A135" s="60">
        <v>3.0</v>
      </c>
      <c r="B135" s="66"/>
      <c r="C135" s="67"/>
      <c r="D135" s="63"/>
      <c r="E135" s="64" t="s">
        <v>848</v>
      </c>
      <c r="F135" s="65">
        <v>90.0</v>
      </c>
      <c r="G135" s="69"/>
      <c r="H135" s="227"/>
      <c r="I135" s="227"/>
      <c r="J135" s="227"/>
    </row>
    <row r="136" ht="20.25" customHeight="1">
      <c r="A136" s="60">
        <v>4.0</v>
      </c>
      <c r="B136" s="66"/>
      <c r="C136" s="67"/>
      <c r="D136" s="63"/>
      <c r="E136" s="64" t="s">
        <v>1166</v>
      </c>
      <c r="F136" s="65">
        <v>30.0</v>
      </c>
      <c r="G136" s="68"/>
      <c r="H136" s="227"/>
      <c r="I136" s="227"/>
      <c r="J136" s="227"/>
    </row>
    <row r="137" ht="20.25" customHeight="1">
      <c r="A137" s="60">
        <v>5.0</v>
      </c>
      <c r="B137" s="66"/>
      <c r="C137" s="67"/>
      <c r="D137" s="63"/>
      <c r="E137" s="64" t="s">
        <v>1167</v>
      </c>
      <c r="F137" s="68" t="s">
        <v>154</v>
      </c>
      <c r="G137" s="69"/>
      <c r="H137" s="227"/>
      <c r="I137" s="227"/>
      <c r="J137" s="227"/>
    </row>
    <row r="138" ht="20.25" customHeight="1">
      <c r="A138" s="60">
        <v>6.0</v>
      </c>
      <c r="B138" s="66"/>
      <c r="C138" s="67"/>
      <c r="D138" s="63"/>
      <c r="E138" s="64" t="s">
        <v>1168</v>
      </c>
      <c r="F138" s="68" t="s">
        <v>154</v>
      </c>
      <c r="G138" s="69"/>
      <c r="H138" s="227"/>
      <c r="I138" s="227"/>
      <c r="J138" s="227"/>
    </row>
    <row r="139" ht="20.25" customHeight="1">
      <c r="A139" s="60">
        <v>7.0</v>
      </c>
      <c r="B139" s="66"/>
      <c r="C139" s="67"/>
      <c r="D139" s="63"/>
      <c r="E139" s="64" t="s">
        <v>242</v>
      </c>
      <c r="F139" s="65">
        <v>35.0</v>
      </c>
      <c r="G139" s="69"/>
      <c r="H139" s="227"/>
      <c r="I139" s="227"/>
      <c r="J139" s="227"/>
    </row>
    <row r="140" ht="20.25" customHeight="1">
      <c r="A140" s="60">
        <v>8.0</v>
      </c>
      <c r="B140" s="66"/>
      <c r="C140" s="62"/>
      <c r="D140" s="63"/>
      <c r="E140" s="64" t="s">
        <v>1169</v>
      </c>
      <c r="F140" s="65">
        <v>25.0</v>
      </c>
      <c r="G140" s="69"/>
      <c r="H140" s="227"/>
      <c r="I140" s="227"/>
      <c r="J140" s="227"/>
    </row>
    <row r="141" ht="20.25" customHeight="1">
      <c r="A141" s="60">
        <v>9.0</v>
      </c>
      <c r="B141" s="66"/>
      <c r="C141" s="67"/>
      <c r="D141" s="63"/>
      <c r="E141" s="64" t="s">
        <v>1170</v>
      </c>
      <c r="F141" s="65">
        <v>100.0</v>
      </c>
      <c r="G141" s="68" t="s">
        <v>262</v>
      </c>
      <c r="H141" s="227"/>
      <c r="I141" s="227"/>
      <c r="J141" s="227"/>
    </row>
    <row r="142" ht="20.25" customHeight="1">
      <c r="A142" s="60">
        <v>10.0</v>
      </c>
      <c r="B142" s="66"/>
      <c r="C142" s="67"/>
      <c r="D142" s="63"/>
      <c r="E142" s="64" t="s">
        <v>1171</v>
      </c>
      <c r="F142" s="65"/>
      <c r="G142" s="69"/>
      <c r="H142" s="227"/>
      <c r="I142" s="227"/>
      <c r="J142" s="227"/>
    </row>
    <row r="143" ht="20.25" customHeight="1">
      <c r="A143" s="60">
        <v>11.0</v>
      </c>
      <c r="B143" s="66"/>
      <c r="C143" s="67"/>
      <c r="D143" s="63"/>
      <c r="E143" s="64"/>
      <c r="F143" s="65"/>
      <c r="G143" s="69"/>
      <c r="H143" s="227"/>
      <c r="I143" s="227"/>
      <c r="J143" s="227"/>
    </row>
    <row r="144" ht="20.25" customHeight="1">
      <c r="A144" s="60">
        <v>12.0</v>
      </c>
      <c r="B144" s="66"/>
      <c r="C144" s="67"/>
      <c r="D144" s="63"/>
      <c r="E144" s="64"/>
      <c r="F144" s="69"/>
      <c r="G144" s="68"/>
      <c r="H144" s="227"/>
      <c r="I144" s="227"/>
      <c r="J144" s="227"/>
    </row>
    <row r="145" ht="20.25" customHeight="1">
      <c r="A145" s="60">
        <v>13.0</v>
      </c>
      <c r="B145" s="66"/>
      <c r="C145" s="67"/>
      <c r="D145" s="63"/>
      <c r="E145" s="64"/>
      <c r="G145" s="69"/>
      <c r="H145" s="227"/>
      <c r="I145" s="227"/>
      <c r="J145" s="227"/>
    </row>
    <row r="146" ht="20.25" customHeight="1">
      <c r="A146" s="60">
        <v>14.0</v>
      </c>
      <c r="B146" s="66"/>
      <c r="C146" s="67"/>
      <c r="D146" s="63"/>
      <c r="E146" s="64"/>
      <c r="F146" s="65"/>
      <c r="G146" s="69"/>
      <c r="H146" s="227"/>
      <c r="I146" s="227"/>
      <c r="J146" s="227"/>
    </row>
    <row r="147" ht="20.25" customHeight="1">
      <c r="A147" s="71">
        <v>15.0</v>
      </c>
      <c r="B147" s="72"/>
      <c r="C147" s="73"/>
      <c r="D147" s="63"/>
      <c r="E147" s="70"/>
      <c r="F147" s="69"/>
      <c r="G147" s="69"/>
      <c r="H147" s="227"/>
      <c r="I147" s="227"/>
      <c r="J147" s="227"/>
    </row>
    <row r="148" ht="20.25" customHeight="1">
      <c r="A148" s="74"/>
      <c r="B148" s="75"/>
      <c r="C148" s="76"/>
      <c r="D148" s="76"/>
      <c r="E148" s="81" t="s">
        <v>144</v>
      </c>
      <c r="F148" s="80">
        <v>500.0</v>
      </c>
      <c r="G148" s="76"/>
      <c r="H148" s="227"/>
      <c r="I148" s="227"/>
      <c r="J148" s="227"/>
    </row>
    <row r="149" ht="20.25" customHeight="1">
      <c r="A149" s="79"/>
      <c r="B149" s="75"/>
      <c r="C149" s="76"/>
      <c r="D149" s="76"/>
      <c r="E149" s="81" t="s">
        <v>145</v>
      </c>
      <c r="F149" s="80">
        <v>660.0</v>
      </c>
      <c r="G149" s="76"/>
      <c r="H149" s="227"/>
      <c r="I149" s="227"/>
      <c r="J149" s="227"/>
    </row>
    <row r="150" ht="20.25" customHeight="1">
      <c r="A150" s="79"/>
      <c r="B150" s="75"/>
      <c r="C150" s="76"/>
      <c r="D150" s="76"/>
      <c r="E150" s="81" t="s">
        <v>146</v>
      </c>
      <c r="F150" s="80">
        <v>410.0</v>
      </c>
      <c r="G150" s="76"/>
      <c r="H150" s="227"/>
      <c r="I150" s="227"/>
      <c r="J150" s="227"/>
    </row>
    <row r="151" ht="20.25" customHeight="1">
      <c r="A151" s="79"/>
      <c r="B151" s="75"/>
      <c r="C151" s="76"/>
      <c r="D151" s="76"/>
      <c r="E151" s="81" t="s">
        <v>147</v>
      </c>
      <c r="F151" s="80">
        <v>305.0</v>
      </c>
      <c r="G151" s="76"/>
      <c r="H151" s="227"/>
      <c r="I151" s="227"/>
      <c r="J151" s="227"/>
    </row>
    <row r="152" ht="20.25" customHeight="1">
      <c r="A152" s="79"/>
      <c r="B152" s="75"/>
      <c r="C152" s="76"/>
      <c r="D152" s="76"/>
      <c r="E152" s="81" t="s">
        <v>148</v>
      </c>
      <c r="F152" s="80">
        <v>355.0</v>
      </c>
      <c r="G152" s="76"/>
      <c r="H152" s="227"/>
      <c r="I152" s="227"/>
      <c r="J152" s="227"/>
    </row>
    <row r="153" ht="20.25" customHeight="1">
      <c r="A153" s="265"/>
      <c r="B153" s="227"/>
      <c r="C153" s="227"/>
      <c r="D153" s="227"/>
      <c r="E153" s="227"/>
      <c r="F153" s="227"/>
      <c r="G153" s="227"/>
      <c r="H153" s="227"/>
      <c r="I153" s="227"/>
      <c r="J153" s="227"/>
    </row>
    <row r="154" ht="20.25" customHeight="1">
      <c r="A154" s="89"/>
      <c r="B154" s="90"/>
      <c r="C154" s="90"/>
      <c r="D154" s="90"/>
      <c r="E154" s="90"/>
      <c r="F154" s="90"/>
      <c r="G154" s="90"/>
      <c r="H154" s="227"/>
      <c r="I154" s="227"/>
      <c r="J154" s="227"/>
    </row>
    <row r="155" ht="20.25" customHeight="1">
      <c r="A155" s="56" t="s">
        <v>4</v>
      </c>
      <c r="B155" s="56" t="s">
        <v>5</v>
      </c>
      <c r="C155" s="56" t="s">
        <v>126</v>
      </c>
      <c r="D155" s="56" t="s">
        <v>6</v>
      </c>
      <c r="E155" s="56" t="s">
        <v>7</v>
      </c>
      <c r="F155" s="56" t="s">
        <v>127</v>
      </c>
      <c r="G155" s="57" t="s">
        <v>128</v>
      </c>
      <c r="H155" s="227"/>
      <c r="I155" s="227"/>
      <c r="J155" s="227"/>
    </row>
    <row r="156" ht="20.25" customHeight="1">
      <c r="A156" s="60">
        <v>1.0</v>
      </c>
      <c r="B156" s="61">
        <v>46090.0</v>
      </c>
      <c r="C156" s="62" t="s">
        <v>261</v>
      </c>
      <c r="D156" s="63"/>
      <c r="E156" s="64" t="s">
        <v>1172</v>
      </c>
      <c r="F156" s="65">
        <v>60.0</v>
      </c>
      <c r="G156" s="69"/>
      <c r="H156" s="227"/>
      <c r="I156" s="227"/>
      <c r="J156" s="227"/>
    </row>
    <row r="157" ht="20.25" customHeight="1">
      <c r="A157" s="60">
        <v>2.0</v>
      </c>
      <c r="B157" s="66"/>
      <c r="C157" s="67"/>
      <c r="D157" s="63"/>
      <c r="E157" s="64" t="s">
        <v>1173</v>
      </c>
      <c r="F157" s="65">
        <v>80.0</v>
      </c>
      <c r="G157" s="69"/>
      <c r="H157" s="227"/>
      <c r="I157" s="227"/>
      <c r="J157" s="227"/>
    </row>
    <row r="158" ht="20.25" customHeight="1">
      <c r="A158" s="60">
        <v>3.0</v>
      </c>
      <c r="B158" s="66"/>
      <c r="C158" s="67"/>
      <c r="D158" s="63"/>
      <c r="E158" s="64" t="s">
        <v>1174</v>
      </c>
      <c r="F158" s="65" t="s">
        <v>1175</v>
      </c>
      <c r="G158" s="69"/>
      <c r="H158" s="227"/>
      <c r="I158" s="227"/>
      <c r="J158" s="227"/>
    </row>
    <row r="159" ht="20.25" customHeight="1">
      <c r="A159" s="60">
        <v>4.0</v>
      </c>
      <c r="B159" s="66"/>
      <c r="C159" s="67"/>
      <c r="D159" s="63"/>
      <c r="E159" s="64" t="s">
        <v>277</v>
      </c>
      <c r="F159" s="68" t="s">
        <v>1176</v>
      </c>
      <c r="G159" s="68"/>
      <c r="H159" s="227"/>
      <c r="I159" s="227"/>
      <c r="J159" s="227"/>
    </row>
    <row r="160" ht="20.25" customHeight="1">
      <c r="A160" s="60">
        <v>5.0</v>
      </c>
      <c r="B160" s="66"/>
      <c r="C160" s="67"/>
      <c r="D160" s="63"/>
      <c r="E160" s="64" t="s">
        <v>1177</v>
      </c>
      <c r="F160" s="68" t="s">
        <v>1178</v>
      </c>
      <c r="G160" s="69"/>
      <c r="H160" s="227"/>
      <c r="I160" s="227"/>
      <c r="J160" s="227"/>
    </row>
    <row r="161" ht="20.25" customHeight="1">
      <c r="A161" s="60">
        <v>6.0</v>
      </c>
      <c r="B161" s="66"/>
      <c r="C161" s="67"/>
      <c r="D161" s="63"/>
      <c r="E161" s="64" t="s">
        <v>809</v>
      </c>
      <c r="F161" s="68" t="s">
        <v>1179</v>
      </c>
      <c r="G161" s="69"/>
      <c r="H161" s="227"/>
      <c r="I161" s="227"/>
      <c r="J161" s="227"/>
    </row>
    <row r="162" ht="20.25" customHeight="1">
      <c r="A162" s="60">
        <v>7.0</v>
      </c>
      <c r="B162" s="66"/>
      <c r="C162" s="67"/>
      <c r="D162" s="63"/>
      <c r="E162" s="64" t="s">
        <v>1172</v>
      </c>
      <c r="F162" s="65">
        <v>30.0</v>
      </c>
      <c r="G162" s="69"/>
      <c r="H162" s="227"/>
      <c r="I162" s="227"/>
      <c r="J162" s="227"/>
    </row>
    <row r="163" ht="20.25" customHeight="1">
      <c r="A163" s="60">
        <v>8.0</v>
      </c>
      <c r="B163" s="66"/>
      <c r="C163" s="62"/>
      <c r="D163" s="63"/>
      <c r="E163" s="64" t="s">
        <v>1180</v>
      </c>
      <c r="F163" s="68" t="s">
        <v>1181</v>
      </c>
      <c r="G163" s="69"/>
      <c r="H163" s="227"/>
      <c r="I163" s="227"/>
      <c r="J163" s="227"/>
    </row>
    <row r="164" ht="20.25" customHeight="1">
      <c r="A164" s="60">
        <v>9.0</v>
      </c>
      <c r="B164" s="66"/>
      <c r="C164" s="67"/>
      <c r="D164" s="63"/>
      <c r="E164" s="64" t="s">
        <v>848</v>
      </c>
      <c r="F164" s="65">
        <v>50.0</v>
      </c>
      <c r="G164" s="69"/>
      <c r="H164" s="227"/>
      <c r="I164" s="227"/>
      <c r="J164" s="227"/>
    </row>
    <row r="165" ht="20.25" customHeight="1">
      <c r="A165" s="60">
        <v>10.0</v>
      </c>
      <c r="B165" s="66"/>
      <c r="C165" s="67"/>
      <c r="D165" s="63"/>
      <c r="E165" s="64"/>
      <c r="F165" s="65"/>
      <c r="G165" s="69"/>
      <c r="H165" s="227"/>
      <c r="I165" s="227"/>
      <c r="J165" s="227"/>
    </row>
    <row r="166" ht="20.25" customHeight="1">
      <c r="A166" s="60">
        <v>11.0</v>
      </c>
      <c r="B166" s="66"/>
      <c r="C166" s="67"/>
      <c r="D166" s="63"/>
      <c r="E166" s="64"/>
      <c r="F166" s="65"/>
      <c r="G166" s="69"/>
      <c r="H166" s="227"/>
      <c r="I166" s="227"/>
      <c r="J166" s="227"/>
    </row>
    <row r="167" ht="20.25" customHeight="1">
      <c r="A167" s="60">
        <v>12.0</v>
      </c>
      <c r="B167" s="66"/>
      <c r="C167" s="67"/>
      <c r="D167" s="63"/>
      <c r="E167" s="64"/>
      <c r="F167" s="69"/>
      <c r="G167" s="68"/>
      <c r="H167" s="227"/>
      <c r="I167" s="227"/>
      <c r="J167" s="227"/>
    </row>
    <row r="168" ht="20.25" customHeight="1">
      <c r="A168" s="60">
        <v>13.0</v>
      </c>
      <c r="B168" s="66"/>
      <c r="C168" s="67"/>
      <c r="D168" s="63"/>
      <c r="E168" s="64"/>
      <c r="G168" s="69"/>
      <c r="H168" s="227"/>
      <c r="I168" s="227"/>
      <c r="J168" s="227"/>
    </row>
    <row r="169" ht="20.25" customHeight="1">
      <c r="A169" s="60">
        <v>14.0</v>
      </c>
      <c r="B169" s="66"/>
      <c r="C169" s="67"/>
      <c r="D169" s="63"/>
      <c r="E169" s="64"/>
      <c r="F169" s="65"/>
      <c r="G169" s="69"/>
      <c r="H169" s="227"/>
      <c r="I169" s="227"/>
      <c r="J169" s="227"/>
    </row>
    <row r="170" ht="20.25" customHeight="1">
      <c r="A170" s="71">
        <v>15.0</v>
      </c>
      <c r="B170" s="72"/>
      <c r="C170" s="73"/>
      <c r="D170" s="63"/>
      <c r="E170" s="70"/>
      <c r="F170" s="69"/>
      <c r="G170" s="69"/>
      <c r="H170" s="227"/>
      <c r="I170" s="227"/>
      <c r="J170" s="227"/>
    </row>
    <row r="171" ht="20.25" customHeight="1">
      <c r="A171" s="74"/>
      <c r="B171" s="75"/>
      <c r="C171" s="76"/>
      <c r="D171" s="76"/>
      <c r="E171" s="81" t="s">
        <v>144</v>
      </c>
      <c r="F171" s="78"/>
      <c r="G171" s="76"/>
      <c r="H171" s="227"/>
      <c r="I171" s="227"/>
      <c r="J171" s="227"/>
    </row>
    <row r="172" ht="20.25" customHeight="1">
      <c r="A172" s="79"/>
      <c r="B172" s="75"/>
      <c r="C172" s="76"/>
      <c r="D172" s="76"/>
      <c r="E172" s="81" t="s">
        <v>145</v>
      </c>
      <c r="F172" s="80">
        <v>1405.0</v>
      </c>
      <c r="G172" s="76"/>
      <c r="H172" s="227"/>
      <c r="I172" s="227"/>
      <c r="J172" s="227"/>
    </row>
    <row r="173" ht="20.25" customHeight="1">
      <c r="A173" s="79"/>
      <c r="B173" s="75"/>
      <c r="C173" s="76"/>
      <c r="D173" s="76"/>
      <c r="E173" s="81" t="s">
        <v>146</v>
      </c>
      <c r="F173" s="80">
        <v>455.0</v>
      </c>
      <c r="G173" s="76"/>
      <c r="H173" s="227"/>
      <c r="I173" s="227"/>
      <c r="J173" s="227"/>
    </row>
    <row r="174" ht="20.25" customHeight="1">
      <c r="A174" s="79"/>
      <c r="B174" s="75"/>
      <c r="C174" s="76"/>
      <c r="D174" s="76"/>
      <c r="E174" s="81" t="s">
        <v>147</v>
      </c>
      <c r="F174" s="80">
        <v>340.0</v>
      </c>
      <c r="G174" s="76"/>
      <c r="H174" s="227"/>
      <c r="I174" s="227"/>
      <c r="J174" s="227"/>
    </row>
    <row r="175" ht="20.25" customHeight="1">
      <c r="A175" s="79"/>
      <c r="B175" s="75"/>
      <c r="C175" s="76"/>
      <c r="D175" s="76"/>
      <c r="E175" s="81" t="s">
        <v>148</v>
      </c>
      <c r="F175" s="80">
        <v>1065.0</v>
      </c>
      <c r="G175" s="117" t="s">
        <v>1182</v>
      </c>
      <c r="H175" s="227"/>
      <c r="I175" s="227"/>
      <c r="J175" s="227"/>
    </row>
    <row r="176" ht="20.25" customHeight="1">
      <c r="A176" s="89"/>
      <c r="B176" s="90"/>
      <c r="C176" s="90"/>
      <c r="D176" s="90"/>
      <c r="E176" s="90"/>
      <c r="F176" s="90"/>
      <c r="G176" s="90"/>
      <c r="H176" s="227"/>
      <c r="I176" s="227"/>
      <c r="J176" s="227"/>
    </row>
    <row r="177" ht="20.25" customHeight="1">
      <c r="A177" s="102" t="s">
        <v>4</v>
      </c>
      <c r="B177" s="102" t="s">
        <v>5</v>
      </c>
      <c r="C177" s="102" t="s">
        <v>126</v>
      </c>
      <c r="D177" s="102" t="s">
        <v>6</v>
      </c>
      <c r="E177" s="102" t="s">
        <v>7</v>
      </c>
      <c r="F177" s="102" t="s">
        <v>127</v>
      </c>
      <c r="G177" s="103" t="s">
        <v>128</v>
      </c>
      <c r="H177" s="227"/>
      <c r="I177" s="227"/>
      <c r="J177" s="227"/>
    </row>
    <row r="178" ht="20.25" customHeight="1">
      <c r="A178" s="104">
        <v>1.0</v>
      </c>
      <c r="B178" s="105">
        <v>46091.0</v>
      </c>
      <c r="C178" s="106" t="s">
        <v>169</v>
      </c>
      <c r="D178" s="107"/>
      <c r="E178" s="107" t="s">
        <v>282</v>
      </c>
      <c r="F178" s="108" t="s">
        <v>1183</v>
      </c>
      <c r="G178" s="109"/>
      <c r="H178" s="227"/>
      <c r="I178" s="227"/>
      <c r="J178" s="227"/>
    </row>
    <row r="179" ht="20.25" customHeight="1">
      <c r="A179" s="104">
        <v>2.0</v>
      </c>
      <c r="B179" s="120"/>
      <c r="C179" s="110"/>
      <c r="D179" s="107"/>
      <c r="E179" s="107" t="s">
        <v>1184</v>
      </c>
      <c r="F179" s="108">
        <v>35.0</v>
      </c>
      <c r="G179" s="109"/>
      <c r="H179" s="227"/>
      <c r="I179" s="227"/>
      <c r="J179" s="227"/>
    </row>
    <row r="180" ht="20.25" customHeight="1">
      <c r="A180" s="104">
        <v>3.0</v>
      </c>
      <c r="B180" s="120"/>
      <c r="C180" s="110"/>
      <c r="D180" s="107"/>
      <c r="E180" s="107" t="s">
        <v>79</v>
      </c>
      <c r="F180" s="108">
        <v>30.0</v>
      </c>
      <c r="G180" s="109"/>
      <c r="H180" s="227"/>
      <c r="I180" s="227"/>
      <c r="J180" s="227"/>
    </row>
    <row r="181" ht="20.25" customHeight="1">
      <c r="A181" s="104">
        <v>4.0</v>
      </c>
      <c r="B181" s="120"/>
      <c r="C181" s="110"/>
      <c r="D181" s="107"/>
      <c r="E181" s="107" t="s">
        <v>154</v>
      </c>
      <c r="F181" s="111" t="s">
        <v>1185</v>
      </c>
      <c r="G181" s="111"/>
      <c r="H181" s="227"/>
      <c r="I181" s="227"/>
      <c r="J181" s="227"/>
    </row>
    <row r="182" ht="20.25" customHeight="1">
      <c r="A182" s="104">
        <v>5.0</v>
      </c>
      <c r="B182" s="120"/>
      <c r="C182" s="110"/>
      <c r="D182" s="107"/>
      <c r="E182" s="107" t="s">
        <v>1186</v>
      </c>
      <c r="F182" s="108">
        <v>30.0</v>
      </c>
      <c r="G182" s="109"/>
      <c r="H182" s="227"/>
      <c r="I182" s="227"/>
      <c r="J182" s="227"/>
    </row>
    <row r="183" ht="20.25" customHeight="1">
      <c r="A183" s="104">
        <v>6.0</v>
      </c>
      <c r="B183" s="120"/>
      <c r="C183" s="110"/>
      <c r="D183" s="107"/>
      <c r="E183" s="107" t="s">
        <v>1187</v>
      </c>
      <c r="F183" s="111" t="s">
        <v>1188</v>
      </c>
      <c r="G183" s="109"/>
      <c r="H183" s="227"/>
      <c r="I183" s="227"/>
      <c r="J183" s="227"/>
    </row>
    <row r="184" ht="20.25" customHeight="1">
      <c r="A184" s="104">
        <v>7.0</v>
      </c>
      <c r="B184" s="120"/>
      <c r="C184" s="110"/>
      <c r="D184" s="107"/>
      <c r="E184" s="107" t="s">
        <v>1189</v>
      </c>
      <c r="F184" s="111" t="s">
        <v>1190</v>
      </c>
      <c r="G184" s="109"/>
      <c r="H184" s="227"/>
      <c r="I184" s="227"/>
      <c r="J184" s="227"/>
    </row>
    <row r="185" ht="20.25" customHeight="1">
      <c r="A185" s="104">
        <v>8.0</v>
      </c>
      <c r="B185" s="120"/>
      <c r="C185" s="106"/>
      <c r="D185" s="107"/>
      <c r="E185" s="107" t="s">
        <v>367</v>
      </c>
      <c r="F185" s="108">
        <v>50.0</v>
      </c>
      <c r="G185" s="109"/>
      <c r="H185" s="227"/>
      <c r="I185" s="227"/>
      <c r="J185" s="227"/>
    </row>
    <row r="186" ht="20.25" customHeight="1">
      <c r="A186" s="104">
        <v>9.0</v>
      </c>
      <c r="B186" s="120"/>
      <c r="C186" s="110"/>
      <c r="D186" s="107"/>
      <c r="E186" s="107" t="s">
        <v>417</v>
      </c>
      <c r="F186" s="108">
        <v>70.0</v>
      </c>
      <c r="G186" s="109"/>
      <c r="H186" s="227"/>
      <c r="I186" s="227"/>
      <c r="J186" s="227"/>
    </row>
    <row r="187" ht="20.25" customHeight="1">
      <c r="A187" s="104">
        <v>10.0</v>
      </c>
      <c r="B187" s="120"/>
      <c r="C187" s="110"/>
      <c r="D187" s="107"/>
      <c r="E187" s="107" t="s">
        <v>1191</v>
      </c>
      <c r="F187" s="111" t="s">
        <v>1192</v>
      </c>
      <c r="G187" s="109"/>
      <c r="H187" s="227"/>
      <c r="I187" s="227"/>
      <c r="J187" s="227"/>
    </row>
    <row r="188" ht="20.25" customHeight="1">
      <c r="A188" s="104">
        <v>11.0</v>
      </c>
      <c r="B188" s="120"/>
      <c r="C188" s="110"/>
      <c r="D188" s="107"/>
      <c r="E188" s="107" t="s">
        <v>194</v>
      </c>
      <c r="F188" s="108" t="s">
        <v>1193</v>
      </c>
      <c r="G188" s="109"/>
      <c r="H188" s="227"/>
      <c r="I188" s="227"/>
      <c r="J188" s="227"/>
    </row>
    <row r="189" ht="20.25" customHeight="1">
      <c r="A189" s="104">
        <v>12.0</v>
      </c>
      <c r="B189" s="120"/>
      <c r="C189" s="110"/>
      <c r="D189" s="107"/>
      <c r="E189" s="107"/>
      <c r="F189" s="109"/>
      <c r="G189" s="111"/>
      <c r="H189" s="227"/>
      <c r="I189" s="227"/>
      <c r="J189" s="227"/>
    </row>
    <row r="190" ht="20.25" customHeight="1">
      <c r="A190" s="104">
        <v>13.0</v>
      </c>
      <c r="B190" s="120"/>
      <c r="C190" s="110"/>
      <c r="D190" s="107"/>
      <c r="E190" s="107"/>
      <c r="F190" s="121"/>
      <c r="G190" s="109"/>
      <c r="H190" s="227"/>
      <c r="I190" s="227"/>
      <c r="J190" s="227"/>
    </row>
    <row r="191" ht="20.25" customHeight="1">
      <c r="A191" s="104">
        <v>14.0</v>
      </c>
      <c r="B191" s="120"/>
      <c r="C191" s="110"/>
      <c r="D191" s="107"/>
      <c r="E191" s="107"/>
      <c r="F191" s="108"/>
      <c r="G191" s="109"/>
      <c r="H191" s="227"/>
      <c r="I191" s="227"/>
      <c r="J191" s="227"/>
    </row>
    <row r="192" ht="20.25" customHeight="1">
      <c r="A192" s="122">
        <v>15.0</v>
      </c>
      <c r="B192" s="123"/>
      <c r="C192" s="124"/>
      <c r="D192" s="107"/>
      <c r="E192" s="125"/>
      <c r="F192" s="109"/>
      <c r="G192" s="109"/>
      <c r="H192" s="227"/>
      <c r="I192" s="227"/>
      <c r="J192" s="227"/>
    </row>
    <row r="193" ht="20.25" customHeight="1">
      <c r="A193" s="112"/>
      <c r="B193" s="113"/>
      <c r="C193" s="114"/>
      <c r="D193" s="114"/>
      <c r="E193" s="99" t="s">
        <v>144</v>
      </c>
      <c r="F193" s="131"/>
      <c r="G193" s="114"/>
      <c r="H193" s="227"/>
      <c r="I193" s="227"/>
      <c r="J193" s="227"/>
    </row>
    <row r="194" ht="20.25" customHeight="1">
      <c r="A194" s="115"/>
      <c r="B194" s="113"/>
      <c r="C194" s="114"/>
      <c r="D194" s="114"/>
      <c r="E194" s="99" t="s">
        <v>145</v>
      </c>
      <c r="F194" s="100">
        <v>1740.0</v>
      </c>
      <c r="G194" s="114"/>
      <c r="H194" s="227"/>
      <c r="I194" s="227"/>
      <c r="J194" s="227"/>
    </row>
    <row r="195" ht="20.25" customHeight="1">
      <c r="A195" s="115"/>
      <c r="B195" s="113"/>
      <c r="C195" s="114"/>
      <c r="D195" s="114"/>
      <c r="E195" s="99" t="s">
        <v>146</v>
      </c>
      <c r="F195" s="100">
        <v>825.0</v>
      </c>
      <c r="G195" s="114"/>
      <c r="H195" s="227"/>
      <c r="I195" s="227"/>
      <c r="J195" s="227"/>
    </row>
    <row r="196" ht="20.25" customHeight="1">
      <c r="A196" s="115"/>
      <c r="B196" s="113"/>
      <c r="C196" s="114"/>
      <c r="D196" s="114"/>
      <c r="E196" s="99" t="s">
        <v>147</v>
      </c>
      <c r="F196" s="100">
        <v>620.0</v>
      </c>
      <c r="G196" s="114"/>
      <c r="H196" s="227"/>
      <c r="I196" s="227"/>
      <c r="J196" s="227"/>
    </row>
    <row r="197" ht="20.25" customHeight="1">
      <c r="A197" s="115"/>
      <c r="B197" s="113"/>
      <c r="C197" s="114"/>
      <c r="D197" s="114"/>
      <c r="E197" s="99" t="s">
        <v>148</v>
      </c>
      <c r="F197" s="126" t="s">
        <v>1194</v>
      </c>
      <c r="G197" s="133" t="s">
        <v>579</v>
      </c>
      <c r="H197" s="227"/>
      <c r="I197" s="227"/>
      <c r="J197" s="227"/>
    </row>
    <row r="198" ht="20.25" customHeight="1">
      <c r="A198" s="89"/>
      <c r="B198" s="90"/>
      <c r="C198" s="90"/>
      <c r="D198" s="90"/>
      <c r="E198" s="90"/>
      <c r="F198" s="90"/>
      <c r="G198" s="90"/>
      <c r="H198" s="227"/>
      <c r="I198" s="227"/>
      <c r="J198" s="227"/>
    </row>
    <row r="199" ht="20.25" customHeight="1">
      <c r="A199" s="56" t="s">
        <v>4</v>
      </c>
      <c r="B199" s="56" t="s">
        <v>5</v>
      </c>
      <c r="C199" s="56" t="s">
        <v>126</v>
      </c>
      <c r="D199" s="56" t="s">
        <v>6</v>
      </c>
      <c r="E199" s="56" t="s">
        <v>7</v>
      </c>
      <c r="F199" s="56" t="s">
        <v>127</v>
      </c>
      <c r="G199" s="57" t="s">
        <v>128</v>
      </c>
      <c r="H199" s="227"/>
      <c r="I199" s="227"/>
      <c r="J199" s="227"/>
    </row>
    <row r="200" ht="20.25" customHeight="1">
      <c r="A200" s="60">
        <v>1.0</v>
      </c>
      <c r="B200" s="61">
        <v>46092.0</v>
      </c>
      <c r="C200" s="62" t="s">
        <v>299</v>
      </c>
      <c r="D200" s="63" t="s">
        <v>1195</v>
      </c>
      <c r="E200" s="64" t="s">
        <v>1196</v>
      </c>
      <c r="F200" s="65">
        <v>35.0</v>
      </c>
      <c r="G200" s="69"/>
      <c r="H200" s="227"/>
      <c r="I200" s="227"/>
      <c r="J200" s="227"/>
    </row>
    <row r="201" ht="20.25" customHeight="1">
      <c r="A201" s="60">
        <v>2.0</v>
      </c>
      <c r="B201" s="66"/>
      <c r="C201" s="67"/>
      <c r="D201" s="63"/>
      <c r="E201" s="64" t="s">
        <v>1108</v>
      </c>
      <c r="F201" s="68" t="s">
        <v>244</v>
      </c>
      <c r="G201" s="69"/>
      <c r="H201" s="227"/>
      <c r="I201" s="227"/>
      <c r="J201" s="227"/>
    </row>
    <row r="202" ht="20.25" customHeight="1">
      <c r="A202" s="60">
        <v>3.0</v>
      </c>
      <c r="B202" s="66"/>
      <c r="C202" s="67"/>
      <c r="D202" s="63"/>
      <c r="E202" s="64" t="s">
        <v>36</v>
      </c>
      <c r="F202" s="68" t="s">
        <v>1197</v>
      </c>
      <c r="G202" s="68" t="s">
        <v>4</v>
      </c>
      <c r="H202" s="227"/>
      <c r="I202" s="227"/>
      <c r="J202" s="227"/>
    </row>
    <row r="203" ht="20.25" customHeight="1">
      <c r="A203" s="60">
        <v>4.0</v>
      </c>
      <c r="B203" s="66"/>
      <c r="C203" s="67"/>
      <c r="D203" s="63"/>
      <c r="E203" s="64" t="s">
        <v>36</v>
      </c>
      <c r="F203" s="68" t="s">
        <v>1198</v>
      </c>
      <c r="G203" s="68"/>
      <c r="H203" s="227"/>
      <c r="I203" s="227"/>
      <c r="J203" s="227"/>
    </row>
    <row r="204" ht="20.25" customHeight="1">
      <c r="A204" s="60">
        <v>5.0</v>
      </c>
      <c r="B204" s="66"/>
      <c r="C204" s="67"/>
      <c r="D204" s="63"/>
      <c r="E204" s="64" t="s">
        <v>282</v>
      </c>
      <c r="F204" s="65">
        <v>35.0</v>
      </c>
      <c r="G204" s="69"/>
      <c r="H204" s="227"/>
      <c r="I204" s="227"/>
      <c r="J204" s="227"/>
    </row>
    <row r="205" ht="20.25" customHeight="1">
      <c r="A205" s="60">
        <v>6.0</v>
      </c>
      <c r="B205" s="66"/>
      <c r="C205" s="67"/>
      <c r="D205" s="63"/>
      <c r="E205" s="64" t="s">
        <v>1199</v>
      </c>
      <c r="F205" s="68" t="s">
        <v>1200</v>
      </c>
      <c r="G205" s="69"/>
      <c r="H205" s="227"/>
      <c r="I205" s="227"/>
      <c r="J205" s="227"/>
    </row>
    <row r="206" ht="20.25" customHeight="1">
      <c r="A206" s="60">
        <v>7.0</v>
      </c>
      <c r="B206" s="66"/>
      <c r="C206" s="67"/>
      <c r="D206" s="63"/>
      <c r="E206" s="64" t="s">
        <v>1108</v>
      </c>
      <c r="F206" s="68" t="s">
        <v>1201</v>
      </c>
      <c r="G206" s="69"/>
      <c r="H206" s="227"/>
      <c r="I206" s="227"/>
      <c r="J206" s="227"/>
    </row>
    <row r="207" ht="20.25" customHeight="1">
      <c r="A207" s="60">
        <v>8.0</v>
      </c>
      <c r="B207" s="66"/>
      <c r="C207" s="62"/>
      <c r="D207" s="63"/>
      <c r="E207" s="64" t="s">
        <v>727</v>
      </c>
      <c r="F207" s="68" t="s">
        <v>1202</v>
      </c>
      <c r="G207" s="69"/>
      <c r="H207" s="227"/>
      <c r="I207" s="227"/>
      <c r="J207" s="227"/>
    </row>
    <row r="208" ht="20.25" customHeight="1">
      <c r="A208" s="60">
        <v>9.0</v>
      </c>
      <c r="B208" s="66"/>
      <c r="C208" s="67"/>
      <c r="D208" s="63"/>
      <c r="E208" s="64"/>
      <c r="F208" s="65"/>
      <c r="G208" s="69"/>
      <c r="H208" s="227"/>
      <c r="I208" s="227"/>
      <c r="J208" s="227"/>
    </row>
    <row r="209" ht="20.25" customHeight="1">
      <c r="A209" s="60">
        <v>10.0</v>
      </c>
      <c r="B209" s="66"/>
      <c r="C209" s="67"/>
      <c r="D209" s="63"/>
      <c r="E209" s="64"/>
      <c r="F209" s="65"/>
      <c r="G209" s="69"/>
      <c r="H209" s="227"/>
      <c r="I209" s="227"/>
      <c r="J209" s="227"/>
    </row>
    <row r="210" ht="20.25" customHeight="1">
      <c r="A210" s="60">
        <v>11.0</v>
      </c>
      <c r="B210" s="66"/>
      <c r="C210" s="67"/>
      <c r="D210" s="63"/>
      <c r="E210" s="64"/>
      <c r="F210" s="65"/>
      <c r="G210" s="69"/>
      <c r="H210" s="227"/>
      <c r="I210" s="227"/>
      <c r="J210" s="227"/>
    </row>
    <row r="211" ht="20.25" customHeight="1">
      <c r="A211" s="60">
        <v>12.0</v>
      </c>
      <c r="B211" s="66"/>
      <c r="C211" s="67"/>
      <c r="D211" s="63"/>
      <c r="E211" s="64"/>
      <c r="F211" s="69"/>
      <c r="G211" s="68"/>
      <c r="H211" s="227"/>
      <c r="I211" s="227"/>
      <c r="J211" s="227"/>
    </row>
    <row r="212" ht="20.25" customHeight="1">
      <c r="A212" s="60">
        <v>13.0</v>
      </c>
      <c r="B212" s="66"/>
      <c r="C212" s="67"/>
      <c r="D212" s="63"/>
      <c r="E212" s="64"/>
      <c r="G212" s="69"/>
      <c r="H212" s="227"/>
      <c r="I212" s="227"/>
      <c r="J212" s="227"/>
    </row>
    <row r="213" ht="20.25" customHeight="1">
      <c r="A213" s="60">
        <v>14.0</v>
      </c>
      <c r="B213" s="66"/>
      <c r="C213" s="67"/>
      <c r="D213" s="63"/>
      <c r="E213" s="64"/>
      <c r="F213" s="65"/>
      <c r="G213" s="69"/>
      <c r="H213" s="227"/>
      <c r="I213" s="227"/>
      <c r="J213" s="227"/>
    </row>
    <row r="214" ht="20.25" customHeight="1">
      <c r="A214" s="71">
        <v>15.0</v>
      </c>
      <c r="B214" s="72"/>
      <c r="C214" s="73"/>
      <c r="D214" s="63"/>
      <c r="E214" s="70"/>
      <c r="F214" s="69"/>
      <c r="G214" s="69"/>
      <c r="H214" s="227"/>
      <c r="I214" s="227"/>
      <c r="J214" s="227"/>
    </row>
    <row r="215" ht="20.25" customHeight="1">
      <c r="A215" s="74"/>
      <c r="B215" s="75"/>
      <c r="C215" s="76"/>
      <c r="D215" s="76"/>
      <c r="E215" s="81" t="s">
        <v>144</v>
      </c>
      <c r="F215" s="80">
        <v>800.0</v>
      </c>
      <c r="G215" s="76"/>
      <c r="H215" s="227"/>
      <c r="I215" s="227"/>
      <c r="J215" s="227"/>
    </row>
    <row r="216" ht="20.25" customHeight="1">
      <c r="A216" s="79"/>
      <c r="B216" s="75"/>
      <c r="C216" s="76"/>
      <c r="D216" s="76"/>
      <c r="E216" s="81" t="s">
        <v>145</v>
      </c>
      <c r="F216" s="80">
        <v>1570.0</v>
      </c>
      <c r="G216" s="76"/>
      <c r="H216" s="227"/>
      <c r="I216" s="227"/>
      <c r="J216" s="227"/>
    </row>
    <row r="217" ht="20.25" customHeight="1">
      <c r="A217" s="79"/>
      <c r="B217" s="75"/>
      <c r="C217" s="76"/>
      <c r="D217" s="76"/>
      <c r="E217" s="81" t="s">
        <v>146</v>
      </c>
      <c r="F217" s="80">
        <v>290.0</v>
      </c>
      <c r="G217" s="76"/>
      <c r="H217" s="227"/>
      <c r="I217" s="227"/>
      <c r="J217" s="227"/>
    </row>
    <row r="218" ht="20.25" customHeight="1">
      <c r="A218" s="79"/>
      <c r="B218" s="75"/>
      <c r="C218" s="76"/>
      <c r="D218" s="76"/>
      <c r="E218" s="81" t="s">
        <v>147</v>
      </c>
      <c r="F218" s="80">
        <v>215.0</v>
      </c>
      <c r="G218" s="76"/>
      <c r="H218" s="227"/>
      <c r="I218" s="227"/>
      <c r="J218" s="227"/>
    </row>
    <row r="219" ht="20.25" customHeight="1">
      <c r="A219" s="79"/>
      <c r="B219" s="75"/>
      <c r="C219" s="76"/>
      <c r="D219" s="76"/>
      <c r="E219" s="81" t="s">
        <v>148</v>
      </c>
      <c r="F219" s="80"/>
      <c r="G219" s="76"/>
      <c r="H219" s="227"/>
      <c r="I219" s="227"/>
      <c r="J219" s="227"/>
    </row>
    <row r="220" ht="20.25" customHeight="1">
      <c r="A220" s="89"/>
      <c r="B220" s="90"/>
      <c r="C220" s="90"/>
      <c r="D220" s="90"/>
      <c r="E220" s="90"/>
      <c r="F220" s="90"/>
      <c r="G220" s="90"/>
      <c r="H220" s="227"/>
      <c r="I220" s="227"/>
      <c r="J220" s="227"/>
    </row>
    <row r="221" ht="20.25" customHeight="1">
      <c r="A221" s="56" t="s">
        <v>4</v>
      </c>
      <c r="B221" s="56" t="s">
        <v>5</v>
      </c>
      <c r="C221" s="56" t="s">
        <v>126</v>
      </c>
      <c r="D221" s="56" t="s">
        <v>6</v>
      </c>
      <c r="E221" s="56" t="s">
        <v>7</v>
      </c>
      <c r="F221" s="56" t="s">
        <v>127</v>
      </c>
      <c r="G221" s="57" t="s">
        <v>128</v>
      </c>
      <c r="H221" s="227"/>
      <c r="I221" s="227"/>
      <c r="J221" s="227"/>
    </row>
    <row r="222" ht="20.25" customHeight="1">
      <c r="A222" s="60">
        <v>1.0</v>
      </c>
      <c r="B222" s="61">
        <v>46093.0</v>
      </c>
      <c r="C222" s="62" t="s">
        <v>310</v>
      </c>
      <c r="D222" s="63"/>
      <c r="E222" s="64" t="s">
        <v>235</v>
      </c>
      <c r="F222" s="65">
        <v>40.0</v>
      </c>
      <c r="G222" s="69"/>
      <c r="H222" s="227"/>
      <c r="I222" s="227"/>
      <c r="J222" s="227"/>
    </row>
    <row r="223" ht="20.25" customHeight="1">
      <c r="A223" s="60">
        <v>2.0</v>
      </c>
      <c r="B223" s="66"/>
      <c r="C223" s="67"/>
      <c r="D223" s="63"/>
      <c r="E223" s="64" t="s">
        <v>79</v>
      </c>
      <c r="F223" s="65">
        <v>30.0</v>
      </c>
      <c r="G223" s="69"/>
      <c r="H223" s="227"/>
      <c r="I223" s="227"/>
      <c r="J223" s="227"/>
    </row>
    <row r="224" ht="20.25" customHeight="1">
      <c r="A224" s="60">
        <v>3.0</v>
      </c>
      <c r="B224" s="66"/>
      <c r="C224" s="67"/>
      <c r="D224" s="63"/>
      <c r="E224" s="64" t="s">
        <v>1203</v>
      </c>
      <c r="F224" s="68"/>
      <c r="G224" s="69"/>
      <c r="H224" s="227"/>
      <c r="I224" s="227"/>
      <c r="J224" s="227"/>
    </row>
    <row r="225" ht="20.25" customHeight="1">
      <c r="A225" s="60">
        <v>4.0</v>
      </c>
      <c r="B225" s="66"/>
      <c r="C225" s="67"/>
      <c r="D225" s="63"/>
      <c r="E225" s="64" t="s">
        <v>1204</v>
      </c>
      <c r="F225" s="65">
        <v>50.0</v>
      </c>
      <c r="G225" s="68"/>
      <c r="H225" s="227"/>
      <c r="I225" s="227"/>
      <c r="J225" s="227"/>
    </row>
    <row r="226" ht="20.25" customHeight="1">
      <c r="A226" s="60">
        <v>5.0</v>
      </c>
      <c r="B226" s="66"/>
      <c r="C226" s="67"/>
      <c r="D226" s="63"/>
      <c r="E226" s="64" t="s">
        <v>1205</v>
      </c>
      <c r="F226" s="68" t="s">
        <v>1206</v>
      </c>
      <c r="G226" s="68" t="s">
        <v>1207</v>
      </c>
      <c r="H226" s="227"/>
      <c r="I226" s="227"/>
      <c r="J226" s="227"/>
    </row>
    <row r="227" ht="20.25" customHeight="1">
      <c r="A227" s="74"/>
      <c r="B227" s="75"/>
      <c r="C227" s="76"/>
      <c r="D227" s="76"/>
      <c r="E227" s="81" t="s">
        <v>144</v>
      </c>
      <c r="F227" s="80">
        <v>100.0</v>
      </c>
      <c r="G227" s="76"/>
      <c r="H227" s="227"/>
      <c r="I227" s="227"/>
      <c r="J227" s="227"/>
    </row>
    <row r="228" ht="20.25" customHeight="1">
      <c r="A228" s="79"/>
      <c r="B228" s="75"/>
      <c r="C228" s="76"/>
      <c r="D228" s="76"/>
      <c r="E228" s="81" t="s">
        <v>145</v>
      </c>
      <c r="F228" s="80">
        <f>100+40+30+50</f>
        <v>220</v>
      </c>
      <c r="G228" s="76"/>
      <c r="H228" s="227"/>
      <c r="I228" s="227"/>
      <c r="J228" s="227"/>
    </row>
    <row r="229" ht="20.25" customHeight="1">
      <c r="A229" s="79"/>
      <c r="B229" s="75"/>
      <c r="C229" s="76"/>
      <c r="D229" s="76"/>
      <c r="E229" s="81" t="s">
        <v>146</v>
      </c>
      <c r="F229" s="80">
        <f>40+30+50+50+35+270</f>
        <v>475</v>
      </c>
      <c r="G229" s="76"/>
      <c r="H229" s="227"/>
      <c r="I229" s="227"/>
      <c r="J229" s="227"/>
    </row>
    <row r="230" ht="20.25" customHeight="1">
      <c r="A230" s="79"/>
      <c r="B230" s="75"/>
      <c r="C230" s="76"/>
      <c r="D230" s="76"/>
      <c r="E230" s="81" t="s">
        <v>147</v>
      </c>
      <c r="F230" s="80">
        <v>355.0</v>
      </c>
      <c r="G230" s="76"/>
      <c r="H230" s="227"/>
      <c r="I230" s="227"/>
      <c r="J230" s="227"/>
    </row>
    <row r="231" ht="20.25" customHeight="1">
      <c r="A231" s="79"/>
      <c r="B231" s="75"/>
      <c r="C231" s="76"/>
      <c r="D231" s="76"/>
      <c r="E231" s="81" t="s">
        <v>148</v>
      </c>
      <c r="F231" s="80">
        <f>F228-F230</f>
        <v>-135</v>
      </c>
      <c r="G231" s="76"/>
      <c r="H231" s="227"/>
      <c r="I231" s="227"/>
      <c r="J231" s="227"/>
    </row>
    <row r="232" ht="20.25" customHeight="1">
      <c r="A232" s="118"/>
      <c r="B232" s="119"/>
      <c r="C232" s="119"/>
      <c r="D232" s="119"/>
      <c r="E232" s="119"/>
      <c r="F232" s="119"/>
      <c r="G232" s="119"/>
      <c r="H232" s="227"/>
      <c r="I232" s="227"/>
      <c r="J232" s="227"/>
    </row>
    <row r="233" ht="20.25" customHeight="1">
      <c r="A233" s="102" t="s">
        <v>4</v>
      </c>
      <c r="B233" s="102" t="s">
        <v>5</v>
      </c>
      <c r="C233" s="102" t="s">
        <v>126</v>
      </c>
      <c r="D233" s="102" t="s">
        <v>6</v>
      </c>
      <c r="E233" s="102" t="s">
        <v>7</v>
      </c>
      <c r="F233" s="102" t="s">
        <v>127</v>
      </c>
      <c r="G233" s="103" t="s">
        <v>128</v>
      </c>
      <c r="H233" s="227"/>
      <c r="I233" s="227"/>
      <c r="J233" s="227"/>
    </row>
    <row r="234" ht="20.25" customHeight="1">
      <c r="A234" s="104">
        <v>1.0</v>
      </c>
      <c r="B234" s="105">
        <v>46094.0</v>
      </c>
      <c r="C234" s="106" t="s">
        <v>239</v>
      </c>
      <c r="D234" s="107"/>
      <c r="E234" s="107" t="s">
        <v>1208</v>
      </c>
      <c r="F234" s="108"/>
      <c r="G234" s="109"/>
      <c r="H234" s="227"/>
      <c r="I234" s="227"/>
      <c r="J234" s="227"/>
    </row>
    <row r="235" ht="20.25" customHeight="1">
      <c r="A235" s="104">
        <v>2.0</v>
      </c>
      <c r="B235" s="120"/>
      <c r="C235" s="110"/>
      <c r="D235" s="107"/>
      <c r="E235" s="107" t="s">
        <v>1209</v>
      </c>
      <c r="F235" s="108">
        <v>120.0</v>
      </c>
      <c r="G235" s="109"/>
      <c r="H235" s="227"/>
      <c r="I235" s="227"/>
      <c r="J235" s="227"/>
    </row>
    <row r="236" ht="20.25" customHeight="1">
      <c r="A236" s="104">
        <v>3.0</v>
      </c>
      <c r="B236" s="120"/>
      <c r="C236" s="110"/>
      <c r="D236" s="107"/>
      <c r="E236" s="107"/>
      <c r="F236" s="111"/>
      <c r="G236" s="109"/>
      <c r="H236" s="227"/>
      <c r="I236" s="227"/>
      <c r="J236" s="227"/>
    </row>
    <row r="237" ht="20.25" customHeight="1">
      <c r="A237" s="104">
        <v>4.0</v>
      </c>
      <c r="B237" s="120"/>
      <c r="C237" s="110"/>
      <c r="D237" s="107"/>
      <c r="E237" s="107"/>
      <c r="F237" s="108"/>
      <c r="G237" s="111"/>
      <c r="H237" s="227"/>
      <c r="I237" s="227"/>
      <c r="J237" s="227"/>
    </row>
    <row r="238" ht="20.25" customHeight="1">
      <c r="A238" s="104">
        <v>5.0</v>
      </c>
      <c r="B238" s="120"/>
      <c r="C238" s="110"/>
      <c r="D238" s="107"/>
      <c r="E238" s="107"/>
      <c r="F238" s="108"/>
      <c r="G238" s="109"/>
      <c r="H238" s="227"/>
      <c r="I238" s="227"/>
      <c r="J238" s="227"/>
    </row>
    <row r="239" ht="20.25" customHeight="1">
      <c r="A239" s="104">
        <v>6.0</v>
      </c>
      <c r="B239" s="120"/>
      <c r="C239" s="110"/>
      <c r="D239" s="107"/>
      <c r="E239" s="107"/>
      <c r="F239" s="108"/>
      <c r="G239" s="109"/>
      <c r="H239" s="227"/>
      <c r="I239" s="227"/>
      <c r="J239" s="227"/>
    </row>
    <row r="240" ht="20.25" customHeight="1">
      <c r="A240" s="104">
        <v>7.0</v>
      </c>
      <c r="B240" s="120"/>
      <c r="C240" s="110"/>
      <c r="D240" s="107"/>
      <c r="E240" s="107"/>
      <c r="F240" s="108"/>
      <c r="G240" s="109"/>
      <c r="H240" s="227"/>
      <c r="I240" s="227"/>
      <c r="J240" s="227"/>
    </row>
    <row r="241" ht="20.25" customHeight="1">
      <c r="A241" s="104">
        <v>8.0</v>
      </c>
      <c r="B241" s="120"/>
      <c r="C241" s="106"/>
      <c r="D241" s="107"/>
      <c r="E241" s="107"/>
      <c r="F241" s="108"/>
      <c r="G241" s="109"/>
      <c r="H241" s="227"/>
      <c r="I241" s="227"/>
      <c r="J241" s="227"/>
    </row>
    <row r="242" ht="20.25" customHeight="1">
      <c r="A242" s="104">
        <v>9.0</v>
      </c>
      <c r="B242" s="120"/>
      <c r="C242" s="110"/>
      <c r="D242" s="107"/>
      <c r="E242" s="107"/>
      <c r="F242" s="108"/>
      <c r="G242" s="109"/>
      <c r="H242" s="227"/>
      <c r="I242" s="227"/>
      <c r="J242" s="227"/>
    </row>
    <row r="243" ht="20.25" customHeight="1">
      <c r="A243" s="104">
        <v>10.0</v>
      </c>
      <c r="B243" s="120"/>
      <c r="C243" s="110"/>
      <c r="D243" s="107"/>
      <c r="E243" s="107"/>
      <c r="F243" s="108"/>
      <c r="G243" s="109"/>
      <c r="H243" s="227"/>
      <c r="I243" s="227"/>
      <c r="J243" s="227"/>
    </row>
    <row r="244" ht="20.25" customHeight="1">
      <c r="A244" s="104">
        <v>11.0</v>
      </c>
      <c r="B244" s="120"/>
      <c r="C244" s="110"/>
      <c r="D244" s="107"/>
      <c r="E244" s="107"/>
      <c r="F244" s="108"/>
      <c r="G244" s="109"/>
      <c r="H244" s="227"/>
      <c r="I244" s="227"/>
      <c r="J244" s="227"/>
    </row>
    <row r="245" ht="20.25" customHeight="1">
      <c r="A245" s="104">
        <v>12.0</v>
      </c>
      <c r="B245" s="120"/>
      <c r="C245" s="110"/>
      <c r="D245" s="107"/>
      <c r="E245" s="107"/>
      <c r="F245" s="109"/>
      <c r="G245" s="111"/>
      <c r="H245" s="227"/>
      <c r="I245" s="227"/>
      <c r="J245" s="227"/>
    </row>
    <row r="246" ht="20.25" customHeight="1">
      <c r="A246" s="104">
        <v>13.0</v>
      </c>
      <c r="B246" s="120"/>
      <c r="C246" s="110"/>
      <c r="D246" s="107"/>
      <c r="E246" s="107"/>
      <c r="F246" s="121"/>
      <c r="G246" s="109"/>
      <c r="H246" s="227"/>
      <c r="I246" s="227"/>
      <c r="J246" s="227"/>
    </row>
    <row r="247" ht="20.25" customHeight="1">
      <c r="A247" s="104">
        <v>14.0</v>
      </c>
      <c r="B247" s="120"/>
      <c r="C247" s="110"/>
      <c r="D247" s="107"/>
      <c r="E247" s="107"/>
      <c r="F247" s="108"/>
      <c r="G247" s="109"/>
      <c r="H247" s="227"/>
      <c r="I247" s="227"/>
      <c r="J247" s="227"/>
    </row>
    <row r="248" ht="20.25" customHeight="1">
      <c r="A248" s="122">
        <v>15.0</v>
      </c>
      <c r="B248" s="123"/>
      <c r="C248" s="124"/>
      <c r="D248" s="107"/>
      <c r="E248" s="125"/>
      <c r="F248" s="109"/>
      <c r="G248" s="109"/>
      <c r="H248" s="227"/>
      <c r="I248" s="227"/>
      <c r="J248" s="227"/>
    </row>
    <row r="249" ht="20.25" customHeight="1">
      <c r="A249" s="112"/>
      <c r="B249" s="113"/>
      <c r="C249" s="114"/>
      <c r="D249" s="114"/>
      <c r="E249" s="99" t="s">
        <v>144</v>
      </c>
      <c r="F249" s="131"/>
      <c r="G249" s="114"/>
      <c r="H249" s="227"/>
      <c r="I249" s="227"/>
      <c r="J249" s="227"/>
    </row>
    <row r="250" ht="20.25" customHeight="1">
      <c r="A250" s="115"/>
      <c r="B250" s="113"/>
      <c r="C250" s="114"/>
      <c r="D250" s="114"/>
      <c r="E250" s="99" t="s">
        <v>145</v>
      </c>
      <c r="F250" s="100">
        <v>330.0</v>
      </c>
      <c r="G250" s="114"/>
      <c r="H250" s="227"/>
      <c r="I250" s="227"/>
      <c r="J250" s="227"/>
    </row>
    <row r="251" ht="20.25" customHeight="1">
      <c r="A251" s="115"/>
      <c r="B251" s="113"/>
      <c r="C251" s="114"/>
      <c r="D251" s="114"/>
      <c r="E251" s="99" t="s">
        <v>146</v>
      </c>
      <c r="F251" s="100"/>
      <c r="G251" s="114"/>
      <c r="H251" s="227"/>
      <c r="I251" s="227"/>
      <c r="J251" s="227"/>
    </row>
    <row r="252" ht="20.25" customHeight="1">
      <c r="A252" s="115"/>
      <c r="B252" s="113"/>
      <c r="C252" s="114"/>
      <c r="D252" s="114"/>
      <c r="E252" s="99" t="s">
        <v>147</v>
      </c>
      <c r="F252" s="100">
        <v>250.0</v>
      </c>
      <c r="G252" s="114"/>
      <c r="H252" s="227"/>
      <c r="I252" s="227"/>
      <c r="J252" s="227"/>
    </row>
    <row r="253" ht="20.25" customHeight="1">
      <c r="A253" s="115"/>
      <c r="B253" s="113"/>
      <c r="C253" s="114"/>
      <c r="D253" s="114"/>
      <c r="E253" s="99" t="s">
        <v>148</v>
      </c>
      <c r="F253" s="100"/>
      <c r="G253" s="114"/>
      <c r="H253" s="227"/>
      <c r="I253" s="227"/>
      <c r="J253" s="227"/>
    </row>
    <row r="254" ht="20.25" customHeight="1">
      <c r="A254" s="118"/>
      <c r="B254" s="119"/>
      <c r="C254" s="119"/>
      <c r="D254" s="119"/>
      <c r="E254" s="119"/>
      <c r="F254" s="119"/>
      <c r="G254" s="119"/>
      <c r="H254" s="227"/>
      <c r="I254" s="227"/>
      <c r="J254" s="227"/>
    </row>
    <row r="255" ht="20.25" customHeight="1">
      <c r="A255" s="102" t="s">
        <v>4</v>
      </c>
      <c r="B255" s="102" t="s">
        <v>5</v>
      </c>
      <c r="C255" s="102" t="s">
        <v>126</v>
      </c>
      <c r="D255" s="102" t="s">
        <v>6</v>
      </c>
      <c r="E255" s="102" t="s">
        <v>7</v>
      </c>
      <c r="F255" s="102" t="s">
        <v>127</v>
      </c>
      <c r="G255" s="103" t="s">
        <v>128</v>
      </c>
      <c r="H255" s="227"/>
      <c r="I255" s="227"/>
      <c r="J255" s="227"/>
    </row>
    <row r="256" ht="20.25" customHeight="1">
      <c r="A256" s="104">
        <v>1.0</v>
      </c>
      <c r="B256" s="105">
        <v>46095.0</v>
      </c>
      <c r="C256" s="106" t="s">
        <v>341</v>
      </c>
      <c r="D256" s="107" t="s">
        <v>65</v>
      </c>
      <c r="E256" s="107" t="s">
        <v>282</v>
      </c>
      <c r="F256" s="108">
        <v>35.0</v>
      </c>
      <c r="G256" s="109"/>
      <c r="H256" s="227"/>
      <c r="I256" s="227"/>
      <c r="J256" s="227"/>
    </row>
    <row r="257" ht="20.25" customHeight="1">
      <c r="A257" s="104">
        <v>2.0</v>
      </c>
      <c r="B257" s="120"/>
      <c r="C257" s="110"/>
      <c r="D257" s="107"/>
      <c r="E257" s="107" t="s">
        <v>1210</v>
      </c>
      <c r="F257" s="108">
        <v>35.0</v>
      </c>
      <c r="G257" s="109"/>
      <c r="H257" s="227"/>
      <c r="I257" s="227"/>
      <c r="J257" s="227"/>
    </row>
    <row r="258" ht="20.25" customHeight="1">
      <c r="A258" s="104">
        <v>3.0</v>
      </c>
      <c r="B258" s="120"/>
      <c r="C258" s="110"/>
      <c r="D258" s="107"/>
      <c r="E258" s="107" t="s">
        <v>156</v>
      </c>
      <c r="F258" s="111" t="s">
        <v>1211</v>
      </c>
      <c r="G258" s="109"/>
      <c r="H258" s="227"/>
      <c r="I258" s="227"/>
      <c r="J258" s="227"/>
    </row>
    <row r="259" ht="20.25" customHeight="1">
      <c r="A259" s="104">
        <v>4.0</v>
      </c>
      <c r="B259" s="120"/>
      <c r="C259" s="110"/>
      <c r="D259" s="107"/>
      <c r="E259" s="107" t="s">
        <v>1212</v>
      </c>
      <c r="F259" s="108">
        <v>35.0</v>
      </c>
      <c r="G259" s="111"/>
      <c r="H259" s="227"/>
      <c r="I259" s="227"/>
      <c r="J259" s="227"/>
    </row>
    <row r="260" ht="20.25" customHeight="1">
      <c r="A260" s="104">
        <v>5.0</v>
      </c>
      <c r="B260" s="120"/>
      <c r="C260" s="110"/>
      <c r="D260" s="107"/>
      <c r="E260" s="107" t="s">
        <v>848</v>
      </c>
      <c r="F260" s="108" t="s">
        <v>1213</v>
      </c>
      <c r="G260" s="109"/>
      <c r="H260" s="227"/>
      <c r="I260" s="227"/>
      <c r="J260" s="227"/>
    </row>
    <row r="261" ht="20.25" customHeight="1">
      <c r="A261" s="104">
        <v>6.0</v>
      </c>
      <c r="B261" s="120"/>
      <c r="C261" s="110"/>
      <c r="D261" s="107"/>
      <c r="E261" s="107" t="s">
        <v>381</v>
      </c>
      <c r="F261" s="111" t="s">
        <v>1214</v>
      </c>
      <c r="G261" s="109"/>
      <c r="H261" s="227"/>
      <c r="I261" s="227"/>
      <c r="J261" s="227"/>
    </row>
    <row r="262" ht="20.25" customHeight="1">
      <c r="A262" s="104">
        <v>7.0</v>
      </c>
      <c r="B262" s="120"/>
      <c r="C262" s="110"/>
      <c r="D262" s="107"/>
      <c r="E262" s="107" t="s">
        <v>1215</v>
      </c>
      <c r="F262" s="108" t="s">
        <v>1216</v>
      </c>
      <c r="G262" s="109"/>
      <c r="H262" s="227"/>
      <c r="I262" s="227"/>
      <c r="J262" s="227"/>
    </row>
    <row r="263" ht="20.25" customHeight="1">
      <c r="A263" s="104">
        <v>8.0</v>
      </c>
      <c r="B263" s="120"/>
      <c r="C263" s="106"/>
      <c r="D263" s="107"/>
      <c r="E263" s="107" t="s">
        <v>346</v>
      </c>
      <c r="F263" s="108" t="s">
        <v>1217</v>
      </c>
      <c r="G263" s="109"/>
      <c r="H263" s="227"/>
      <c r="I263" s="227"/>
      <c r="J263" s="227"/>
    </row>
    <row r="264" ht="20.25" customHeight="1">
      <c r="A264" s="104">
        <v>9.0</v>
      </c>
      <c r="B264" s="120"/>
      <c r="C264" s="110"/>
      <c r="D264" s="107"/>
      <c r="E264" s="107"/>
      <c r="F264" s="108"/>
      <c r="G264" s="109"/>
      <c r="H264" s="227"/>
      <c r="I264" s="227"/>
      <c r="J264" s="227"/>
    </row>
    <row r="265" ht="20.25" customHeight="1">
      <c r="A265" s="104">
        <v>10.0</v>
      </c>
      <c r="B265" s="120"/>
      <c r="C265" s="110"/>
      <c r="D265" s="107"/>
      <c r="E265" s="107"/>
      <c r="F265" s="108"/>
      <c r="G265" s="109"/>
      <c r="H265" s="227"/>
      <c r="I265" s="227"/>
      <c r="J265" s="227"/>
    </row>
    <row r="266" ht="20.25" customHeight="1">
      <c r="A266" s="104">
        <v>11.0</v>
      </c>
      <c r="B266" s="120"/>
      <c r="C266" s="110"/>
      <c r="D266" s="107"/>
      <c r="E266" s="107"/>
      <c r="F266" s="108"/>
      <c r="G266" s="109"/>
      <c r="H266" s="227"/>
      <c r="I266" s="227"/>
      <c r="J266" s="227"/>
    </row>
    <row r="267" ht="20.25" customHeight="1">
      <c r="A267" s="104">
        <v>12.0</v>
      </c>
      <c r="B267" s="120"/>
      <c r="C267" s="110"/>
      <c r="D267" s="107"/>
      <c r="E267" s="107"/>
      <c r="F267" s="109"/>
      <c r="G267" s="111"/>
      <c r="H267" s="227"/>
      <c r="I267" s="227"/>
      <c r="J267" s="227"/>
    </row>
    <row r="268" ht="20.25" customHeight="1">
      <c r="A268" s="104">
        <v>13.0</v>
      </c>
      <c r="B268" s="120"/>
      <c r="C268" s="110"/>
      <c r="D268" s="107"/>
      <c r="E268" s="107"/>
      <c r="F268" s="121"/>
      <c r="G268" s="109"/>
      <c r="H268" s="227"/>
      <c r="I268" s="227"/>
      <c r="J268" s="227"/>
    </row>
    <row r="269" ht="20.25" customHeight="1">
      <c r="A269" s="104">
        <v>14.0</v>
      </c>
      <c r="B269" s="120"/>
      <c r="C269" s="110"/>
      <c r="D269" s="107"/>
      <c r="E269" s="107"/>
      <c r="F269" s="108"/>
      <c r="G269" s="109"/>
      <c r="H269" s="227"/>
      <c r="I269" s="227"/>
      <c r="J269" s="227"/>
    </row>
    <row r="270" ht="20.25" customHeight="1">
      <c r="A270" s="122">
        <v>15.0</v>
      </c>
      <c r="B270" s="123"/>
      <c r="C270" s="124"/>
      <c r="D270" s="107"/>
      <c r="E270" s="125"/>
      <c r="F270" s="109"/>
      <c r="G270" s="109"/>
      <c r="H270" s="227"/>
      <c r="I270" s="227"/>
      <c r="J270" s="227"/>
    </row>
    <row r="271" ht="20.25" customHeight="1">
      <c r="A271" s="112"/>
      <c r="B271" s="113"/>
      <c r="C271" s="114"/>
      <c r="D271" s="114"/>
      <c r="E271" s="99" t="s">
        <v>144</v>
      </c>
      <c r="F271" s="131"/>
      <c r="G271" s="114"/>
      <c r="H271" s="227"/>
      <c r="I271" s="227"/>
      <c r="J271" s="227"/>
    </row>
    <row r="272" ht="20.25" customHeight="1">
      <c r="A272" s="115"/>
      <c r="B272" s="113"/>
      <c r="C272" s="114"/>
      <c r="D272" s="114"/>
      <c r="E272" s="99" t="s">
        <v>145</v>
      </c>
      <c r="F272" s="100">
        <v>3935.0</v>
      </c>
      <c r="G272" s="114"/>
      <c r="H272" s="227"/>
      <c r="I272" s="227"/>
      <c r="J272" s="227"/>
    </row>
    <row r="273" ht="20.25" customHeight="1">
      <c r="A273" s="115"/>
      <c r="B273" s="113"/>
      <c r="C273" s="114"/>
      <c r="D273" s="114"/>
      <c r="E273" s="99" t="s">
        <v>146</v>
      </c>
      <c r="F273" s="100">
        <v>385.0</v>
      </c>
      <c r="G273" s="114"/>
      <c r="H273" s="227"/>
      <c r="I273" s="227"/>
      <c r="J273" s="227"/>
    </row>
    <row r="274" ht="20.25" customHeight="1">
      <c r="A274" s="115"/>
      <c r="B274" s="113"/>
      <c r="C274" s="114"/>
      <c r="D274" s="114"/>
      <c r="E274" s="99" t="s">
        <v>147</v>
      </c>
      <c r="F274" s="100">
        <v>290.0</v>
      </c>
      <c r="G274" s="114"/>
      <c r="H274" s="227"/>
      <c r="I274" s="227"/>
      <c r="J274" s="227"/>
    </row>
    <row r="275" ht="20.25" customHeight="1">
      <c r="A275" s="115"/>
      <c r="B275" s="113"/>
      <c r="C275" s="114"/>
      <c r="D275" s="114"/>
      <c r="E275" s="99" t="s">
        <v>148</v>
      </c>
      <c r="F275" s="100">
        <v>3645.0</v>
      </c>
      <c r="G275" s="114"/>
      <c r="H275" s="227"/>
      <c r="I275" s="227"/>
      <c r="J275" s="227"/>
    </row>
    <row r="276" ht="20.25" customHeight="1">
      <c r="A276" s="118"/>
      <c r="B276" s="119"/>
      <c r="C276" s="119"/>
      <c r="D276" s="119"/>
      <c r="E276" s="119"/>
      <c r="F276" s="119"/>
      <c r="G276" s="119"/>
      <c r="H276" s="227"/>
      <c r="I276" s="227"/>
      <c r="J276" s="227"/>
    </row>
    <row r="277" ht="20.25" customHeight="1">
      <c r="A277" s="102" t="s">
        <v>4</v>
      </c>
      <c r="B277" s="102" t="s">
        <v>5</v>
      </c>
      <c r="C277" s="102" t="s">
        <v>126</v>
      </c>
      <c r="D277" s="102" t="s">
        <v>6</v>
      </c>
      <c r="E277" s="102" t="s">
        <v>7</v>
      </c>
      <c r="F277" s="102" t="s">
        <v>127</v>
      </c>
      <c r="G277" s="103" t="s">
        <v>128</v>
      </c>
      <c r="H277" s="227"/>
      <c r="I277" s="227"/>
      <c r="J277" s="227"/>
    </row>
    <row r="278" ht="20.25" customHeight="1">
      <c r="A278" s="104">
        <v>1.0</v>
      </c>
      <c r="B278" s="105">
        <v>46096.0</v>
      </c>
      <c r="C278" s="106" t="s">
        <v>129</v>
      </c>
      <c r="D278" s="107" t="s">
        <v>65</v>
      </c>
      <c r="E278" s="107" t="s">
        <v>1218</v>
      </c>
      <c r="F278" s="108" t="s">
        <v>1219</v>
      </c>
      <c r="G278" s="109"/>
      <c r="H278" s="227"/>
      <c r="I278" s="227"/>
      <c r="J278" s="227"/>
    </row>
    <row r="279" ht="20.25" customHeight="1">
      <c r="A279" s="104">
        <v>2.0</v>
      </c>
      <c r="B279" s="120"/>
      <c r="C279" s="110"/>
      <c r="D279" s="107"/>
      <c r="E279" s="107" t="s">
        <v>1220</v>
      </c>
      <c r="F279" s="108">
        <v>35.0</v>
      </c>
      <c r="G279" s="109"/>
      <c r="H279" s="227"/>
      <c r="I279" s="227"/>
      <c r="J279" s="227"/>
    </row>
    <row r="280" ht="20.25" customHeight="1">
      <c r="A280" s="104">
        <v>3.0</v>
      </c>
      <c r="B280" s="120"/>
      <c r="C280" s="110"/>
      <c r="D280" s="107"/>
      <c r="E280" s="107" t="s">
        <v>1221</v>
      </c>
      <c r="F280" s="108">
        <v>35.0</v>
      </c>
      <c r="G280" s="109"/>
      <c r="H280" s="227"/>
      <c r="I280" s="227"/>
      <c r="J280" s="227"/>
    </row>
    <row r="281" ht="20.25" customHeight="1">
      <c r="A281" s="104">
        <v>4.0</v>
      </c>
      <c r="B281" s="120"/>
      <c r="C281" s="110"/>
      <c r="D281" s="107"/>
      <c r="E281" s="107" t="s">
        <v>1222</v>
      </c>
      <c r="F281" s="108">
        <v>35.0</v>
      </c>
      <c r="G281" s="111"/>
      <c r="H281" s="227"/>
      <c r="I281" s="227"/>
      <c r="J281" s="227"/>
    </row>
    <row r="282" ht="20.25" customHeight="1">
      <c r="A282" s="104">
        <v>5.0</v>
      </c>
      <c r="B282" s="120"/>
      <c r="C282" s="110"/>
      <c r="D282" s="107"/>
      <c r="E282" s="107" t="s">
        <v>1223</v>
      </c>
      <c r="F282" s="108" t="s">
        <v>1224</v>
      </c>
      <c r="G282" s="109"/>
      <c r="H282" s="227"/>
      <c r="I282" s="227"/>
      <c r="J282" s="227"/>
    </row>
    <row r="283" ht="20.25" customHeight="1">
      <c r="A283" s="104">
        <v>6.0</v>
      </c>
      <c r="B283" s="120"/>
      <c r="C283" s="110"/>
      <c r="D283" s="107"/>
      <c r="E283" s="107" t="s">
        <v>1225</v>
      </c>
      <c r="F283" s="108">
        <v>-1500.0</v>
      </c>
      <c r="G283" s="109"/>
      <c r="H283" s="227"/>
      <c r="I283" s="227"/>
      <c r="J283" s="227"/>
    </row>
    <row r="284" ht="20.25" customHeight="1">
      <c r="A284" s="104">
        <v>7.0</v>
      </c>
      <c r="B284" s="120"/>
      <c r="C284" s="110"/>
      <c r="D284" s="107"/>
      <c r="E284" s="107" t="s">
        <v>1226</v>
      </c>
      <c r="F284" s="111" t="s">
        <v>1227</v>
      </c>
      <c r="G284" s="109"/>
      <c r="H284" s="227"/>
      <c r="I284" s="227"/>
      <c r="J284" s="227"/>
    </row>
    <row r="285" ht="20.25" customHeight="1">
      <c r="A285" s="112"/>
      <c r="B285" s="113"/>
      <c r="C285" s="114"/>
      <c r="D285" s="114"/>
      <c r="E285" s="99" t="s">
        <v>144</v>
      </c>
      <c r="F285" s="100">
        <v>0.0</v>
      </c>
      <c r="G285" s="114"/>
      <c r="H285" s="227"/>
      <c r="I285" s="227"/>
      <c r="J285" s="227"/>
    </row>
    <row r="286" ht="20.25" customHeight="1">
      <c r="A286" s="115"/>
      <c r="B286" s="113"/>
      <c r="C286" s="114"/>
      <c r="D286" s="114"/>
      <c r="E286" s="99" t="s">
        <v>145</v>
      </c>
      <c r="F286" s="100">
        <f>120+35+35+35+30+40+1780-1500-400</f>
        <v>175</v>
      </c>
      <c r="G286" s="114"/>
      <c r="H286" s="227"/>
      <c r="I286" s="227"/>
      <c r="J286" s="227"/>
    </row>
    <row r="287" ht="20.25" customHeight="1">
      <c r="A287" s="115"/>
      <c r="B287" s="113"/>
      <c r="C287" s="114"/>
      <c r="D287" s="114"/>
      <c r="E287" s="99" t="s">
        <v>146</v>
      </c>
      <c r="F287" s="100">
        <f>120+35+35+35+30+40+300</f>
        <v>595</v>
      </c>
      <c r="G287" s="114"/>
      <c r="H287" s="227"/>
      <c r="I287" s="227"/>
      <c r="J287" s="227"/>
    </row>
    <row r="288" ht="20.25" customHeight="1">
      <c r="A288" s="115"/>
      <c r="B288" s="113"/>
      <c r="C288" s="114"/>
      <c r="D288" s="114"/>
      <c r="E288" s="99" t="s">
        <v>147</v>
      </c>
      <c r="F288" s="100">
        <v>445.0</v>
      </c>
      <c r="G288" s="114"/>
      <c r="H288" s="227"/>
      <c r="I288" s="227"/>
      <c r="J288" s="227"/>
    </row>
    <row r="289" ht="20.25" customHeight="1">
      <c r="A289" s="115"/>
      <c r="B289" s="113"/>
      <c r="C289" s="114"/>
      <c r="D289" s="114"/>
      <c r="E289" s="99" t="s">
        <v>148</v>
      </c>
      <c r="F289" s="126" t="s">
        <v>1228</v>
      </c>
      <c r="G289" s="114"/>
      <c r="H289" s="227"/>
      <c r="I289" s="227"/>
      <c r="J289" s="227"/>
    </row>
    <row r="290" ht="20.25" customHeight="1">
      <c r="A290" s="118"/>
      <c r="B290" s="119"/>
      <c r="C290" s="119"/>
      <c r="D290" s="119"/>
      <c r="E290" s="119"/>
      <c r="F290" s="119"/>
      <c r="G290" s="119"/>
      <c r="H290" s="227"/>
      <c r="I290" s="227"/>
      <c r="J290" s="227"/>
    </row>
    <row r="291" ht="20.25" customHeight="1">
      <c r="A291" s="102" t="s">
        <v>4</v>
      </c>
      <c r="B291" s="102" t="s">
        <v>5</v>
      </c>
      <c r="C291" s="102" t="s">
        <v>126</v>
      </c>
      <c r="D291" s="102" t="s">
        <v>6</v>
      </c>
      <c r="E291" s="102" t="s">
        <v>7</v>
      </c>
      <c r="F291" s="102" t="s">
        <v>127</v>
      </c>
      <c r="G291" s="103" t="s">
        <v>128</v>
      </c>
      <c r="H291" s="227"/>
      <c r="I291" s="227"/>
      <c r="J291" s="227"/>
    </row>
    <row r="292" ht="20.25" customHeight="1">
      <c r="A292" s="104">
        <v>1.0</v>
      </c>
      <c r="B292" s="105">
        <v>46097.0</v>
      </c>
      <c r="C292" s="106" t="s">
        <v>261</v>
      </c>
      <c r="D292" s="107" t="s">
        <v>65</v>
      </c>
      <c r="E292" s="107" t="s">
        <v>1229</v>
      </c>
      <c r="F292" s="108">
        <v>120.0</v>
      </c>
      <c r="G292" s="108">
        <v>-440.0</v>
      </c>
      <c r="H292" s="227"/>
      <c r="I292" s="227"/>
      <c r="J292" s="227"/>
    </row>
    <row r="293" ht="20.25" customHeight="1">
      <c r="A293" s="104">
        <v>2.0</v>
      </c>
      <c r="B293" s="120"/>
      <c r="C293" s="110"/>
      <c r="D293" s="107"/>
      <c r="E293" s="107" t="s">
        <v>1230</v>
      </c>
      <c r="F293" s="108">
        <v>50.0</v>
      </c>
      <c r="G293" s="109"/>
      <c r="H293" s="227"/>
      <c r="I293" s="227"/>
      <c r="J293" s="227"/>
    </row>
    <row r="294" ht="20.25" customHeight="1">
      <c r="A294" s="104">
        <v>3.0</v>
      </c>
      <c r="B294" s="120"/>
      <c r="C294" s="110"/>
      <c r="D294" s="107"/>
      <c r="E294" s="107" t="s">
        <v>1231</v>
      </c>
      <c r="F294" s="108">
        <v>40.0</v>
      </c>
      <c r="G294" s="109"/>
      <c r="H294" s="227"/>
      <c r="I294" s="227"/>
      <c r="J294" s="227"/>
    </row>
    <row r="295" ht="20.25" customHeight="1">
      <c r="A295" s="104">
        <v>4.0</v>
      </c>
      <c r="B295" s="120"/>
      <c r="C295" s="110"/>
      <c r="D295" s="107"/>
      <c r="E295" s="107" t="s">
        <v>662</v>
      </c>
      <c r="F295" s="108">
        <v>7.0</v>
      </c>
      <c r="G295" s="111" t="s">
        <v>22</v>
      </c>
      <c r="H295" s="227"/>
      <c r="I295" s="227"/>
      <c r="J295" s="227"/>
    </row>
    <row r="296" ht="20.25" customHeight="1">
      <c r="A296" s="104">
        <v>5.0</v>
      </c>
      <c r="B296" s="120"/>
      <c r="C296" s="110"/>
      <c r="D296" s="107"/>
      <c r="E296" s="107" t="s">
        <v>1232</v>
      </c>
      <c r="F296" s="108">
        <v>70.0</v>
      </c>
      <c r="G296" s="111" t="s">
        <v>1233</v>
      </c>
      <c r="H296" s="227"/>
      <c r="I296" s="227"/>
      <c r="J296" s="227"/>
    </row>
    <row r="297" ht="20.25" customHeight="1">
      <c r="A297" s="104">
        <v>6.0</v>
      </c>
      <c r="B297" s="120"/>
      <c r="C297" s="110"/>
      <c r="D297" s="107"/>
      <c r="E297" s="107" t="s">
        <v>1234</v>
      </c>
      <c r="F297" s="108">
        <v>70.0</v>
      </c>
      <c r="G297" s="109"/>
      <c r="H297" s="227"/>
      <c r="I297" s="227"/>
      <c r="J297" s="227"/>
    </row>
    <row r="298" ht="20.25" customHeight="1">
      <c r="A298" s="104">
        <v>7.0</v>
      </c>
      <c r="B298" s="120"/>
      <c r="C298" s="110"/>
      <c r="D298" s="107"/>
      <c r="E298" s="107" t="s">
        <v>1235</v>
      </c>
      <c r="F298" s="108"/>
      <c r="G298" s="109"/>
      <c r="H298" s="227"/>
      <c r="I298" s="227"/>
      <c r="J298" s="227"/>
    </row>
    <row r="299" ht="20.25" customHeight="1">
      <c r="A299" s="104">
        <v>8.0</v>
      </c>
      <c r="B299" s="120"/>
      <c r="C299" s="106"/>
      <c r="D299" s="107"/>
      <c r="E299" s="107" t="s">
        <v>1236</v>
      </c>
      <c r="F299" s="108">
        <v>100.0</v>
      </c>
      <c r="G299" s="109"/>
      <c r="H299" s="227"/>
      <c r="I299" s="227"/>
      <c r="J299" s="227"/>
    </row>
    <row r="300" ht="20.25" customHeight="1">
      <c r="A300" s="104">
        <v>9.0</v>
      </c>
      <c r="B300" s="120"/>
      <c r="C300" s="110"/>
      <c r="D300" s="107"/>
      <c r="E300" s="107"/>
      <c r="F300" s="108"/>
      <c r="G300" s="109"/>
      <c r="H300" s="227"/>
      <c r="I300" s="227"/>
      <c r="J300" s="227"/>
    </row>
    <row r="301" ht="20.25" customHeight="1">
      <c r="A301" s="104">
        <v>10.0</v>
      </c>
      <c r="B301" s="120"/>
      <c r="C301" s="110"/>
      <c r="D301" s="107"/>
      <c r="E301" s="107"/>
      <c r="F301" s="108"/>
      <c r="G301" s="109"/>
      <c r="H301" s="227"/>
      <c r="I301" s="227"/>
      <c r="J301" s="227"/>
    </row>
    <row r="302" ht="20.25" customHeight="1">
      <c r="A302" s="104">
        <v>11.0</v>
      </c>
      <c r="B302" s="120"/>
      <c r="C302" s="110"/>
      <c r="D302" s="107"/>
      <c r="E302" s="107"/>
      <c r="F302" s="108"/>
      <c r="G302" s="109"/>
      <c r="H302" s="227"/>
      <c r="I302" s="227"/>
      <c r="J302" s="227"/>
    </row>
    <row r="303" ht="20.25" customHeight="1">
      <c r="A303" s="104">
        <v>12.0</v>
      </c>
      <c r="B303" s="120"/>
      <c r="C303" s="110"/>
      <c r="D303" s="107"/>
      <c r="E303" s="107"/>
      <c r="F303" s="109"/>
      <c r="G303" s="111"/>
      <c r="H303" s="227"/>
      <c r="I303" s="227"/>
      <c r="J303" s="227"/>
    </row>
    <row r="304" ht="20.25" customHeight="1">
      <c r="A304" s="104">
        <v>13.0</v>
      </c>
      <c r="B304" s="120"/>
      <c r="C304" s="110"/>
      <c r="D304" s="107"/>
      <c r="E304" s="107"/>
      <c r="F304" s="121"/>
      <c r="G304" s="109"/>
      <c r="H304" s="227"/>
      <c r="I304" s="227"/>
      <c r="J304" s="227"/>
    </row>
    <row r="305" ht="20.25" customHeight="1">
      <c r="A305" s="104">
        <v>14.0</v>
      </c>
      <c r="B305" s="120"/>
      <c r="C305" s="110"/>
      <c r="D305" s="107"/>
      <c r="E305" s="107"/>
      <c r="F305" s="108"/>
      <c r="G305" s="109"/>
      <c r="H305" s="227"/>
      <c r="I305" s="227"/>
      <c r="J305" s="227"/>
    </row>
    <row r="306" ht="20.25" customHeight="1">
      <c r="A306" s="122">
        <v>15.0</v>
      </c>
      <c r="B306" s="123"/>
      <c r="C306" s="124"/>
      <c r="D306" s="107"/>
      <c r="E306" s="125"/>
      <c r="F306" s="109"/>
      <c r="G306" s="109"/>
      <c r="H306" s="227"/>
      <c r="I306" s="227"/>
      <c r="J306" s="227"/>
    </row>
    <row r="307" ht="20.25" customHeight="1">
      <c r="A307" s="112"/>
      <c r="B307" s="113"/>
      <c r="C307" s="114"/>
      <c r="D307" s="114"/>
      <c r="E307" s="99" t="s">
        <v>144</v>
      </c>
      <c r="F307" s="100">
        <v>3000.0</v>
      </c>
      <c r="G307" s="114"/>
      <c r="H307" s="227"/>
      <c r="I307" s="227"/>
      <c r="J307" s="227"/>
    </row>
    <row r="308" ht="20.25" customHeight="1">
      <c r="A308" s="115"/>
      <c r="B308" s="113"/>
      <c r="C308" s="114"/>
      <c r="D308" s="114"/>
      <c r="E308" s="99" t="s">
        <v>145</v>
      </c>
      <c r="F308" s="100"/>
      <c r="G308" s="114"/>
      <c r="H308" s="227"/>
      <c r="I308" s="227"/>
      <c r="J308" s="227"/>
    </row>
    <row r="309" ht="20.25" customHeight="1">
      <c r="A309" s="115"/>
      <c r="B309" s="113"/>
      <c r="C309" s="114"/>
      <c r="D309" s="114"/>
      <c r="E309" s="99" t="s">
        <v>146</v>
      </c>
      <c r="F309" s="100">
        <v>690.0</v>
      </c>
      <c r="G309" s="114"/>
      <c r="H309" s="227"/>
      <c r="I309" s="227"/>
      <c r="J309" s="227"/>
    </row>
    <row r="310" ht="20.25" customHeight="1">
      <c r="A310" s="115"/>
      <c r="B310" s="113"/>
      <c r="C310" s="114"/>
      <c r="D310" s="114"/>
      <c r="E310" s="99" t="s">
        <v>147</v>
      </c>
      <c r="F310" s="100">
        <v>515.0</v>
      </c>
      <c r="G310" s="114"/>
      <c r="H310" s="227"/>
      <c r="I310" s="227"/>
      <c r="J310" s="227"/>
    </row>
    <row r="311" ht="20.25" customHeight="1">
      <c r="A311" s="115"/>
      <c r="B311" s="113"/>
      <c r="C311" s="114"/>
      <c r="D311" s="114"/>
      <c r="E311" s="99" t="s">
        <v>148</v>
      </c>
      <c r="F311" s="100"/>
      <c r="G311" s="114"/>
      <c r="H311" s="227"/>
      <c r="I311" s="227"/>
      <c r="J311" s="227"/>
    </row>
    <row r="312" ht="20.25" customHeight="1">
      <c r="A312" s="118"/>
      <c r="B312" s="119"/>
      <c r="C312" s="119"/>
      <c r="D312" s="119"/>
      <c r="E312" s="119"/>
      <c r="F312" s="119"/>
      <c r="G312" s="119"/>
      <c r="H312" s="227"/>
      <c r="I312" s="227"/>
      <c r="J312" s="227"/>
    </row>
    <row r="313" ht="20.25" customHeight="1">
      <c r="A313" s="102" t="s">
        <v>4</v>
      </c>
      <c r="B313" s="102" t="s">
        <v>5</v>
      </c>
      <c r="C313" s="102" t="s">
        <v>126</v>
      </c>
      <c r="D313" s="102" t="s">
        <v>6</v>
      </c>
      <c r="E313" s="102" t="s">
        <v>7</v>
      </c>
      <c r="F313" s="102" t="s">
        <v>127</v>
      </c>
      <c r="G313" s="103" t="s">
        <v>128</v>
      </c>
      <c r="H313" s="227"/>
      <c r="I313" s="227"/>
      <c r="J313" s="227"/>
    </row>
    <row r="314" ht="20.25" customHeight="1">
      <c r="A314" s="104">
        <v>1.0</v>
      </c>
      <c r="B314" s="105">
        <v>46098.0</v>
      </c>
      <c r="C314" s="106" t="s">
        <v>169</v>
      </c>
      <c r="D314" s="107" t="s">
        <v>65</v>
      </c>
      <c r="E314" s="107" t="s">
        <v>1237</v>
      </c>
      <c r="F314" s="108" t="s">
        <v>1238</v>
      </c>
      <c r="G314" s="109"/>
      <c r="H314" s="227"/>
      <c r="I314" s="227"/>
      <c r="J314" s="227"/>
    </row>
    <row r="315" ht="20.25" customHeight="1">
      <c r="A315" s="104">
        <v>2.0</v>
      </c>
      <c r="B315" s="120"/>
      <c r="C315" s="110"/>
      <c r="D315" s="107"/>
      <c r="E315" s="107" t="s">
        <v>1239</v>
      </c>
      <c r="F315" s="108"/>
      <c r="G315" s="109"/>
      <c r="H315" s="227"/>
      <c r="I315" s="227"/>
      <c r="J315" s="227"/>
    </row>
    <row r="316" ht="20.25" customHeight="1">
      <c r="A316" s="104">
        <v>3.0</v>
      </c>
      <c r="B316" s="120"/>
      <c r="C316" s="110"/>
      <c r="D316" s="107"/>
      <c r="E316" s="107" t="s">
        <v>1240</v>
      </c>
      <c r="F316" s="108" t="s">
        <v>1241</v>
      </c>
      <c r="G316" s="109"/>
      <c r="H316" s="227"/>
      <c r="I316" s="227"/>
      <c r="J316" s="227"/>
    </row>
    <row r="317" ht="20.25" customHeight="1">
      <c r="A317" s="104">
        <v>4.0</v>
      </c>
      <c r="B317" s="120"/>
      <c r="C317" s="110"/>
      <c r="D317" s="107"/>
      <c r="E317" s="107" t="s">
        <v>1242</v>
      </c>
      <c r="F317" s="108"/>
      <c r="G317" s="111"/>
      <c r="H317" s="227"/>
      <c r="I317" s="227"/>
      <c r="J317" s="227"/>
    </row>
    <row r="318" ht="20.25" customHeight="1">
      <c r="A318" s="104">
        <v>5.0</v>
      </c>
      <c r="B318" s="120"/>
      <c r="C318" s="110"/>
      <c r="D318" s="107"/>
      <c r="E318" s="107" t="s">
        <v>1243</v>
      </c>
      <c r="F318" s="108">
        <v>40.0</v>
      </c>
      <c r="G318" s="109"/>
      <c r="H318" s="227"/>
      <c r="I318" s="227"/>
      <c r="J318" s="227"/>
    </row>
    <row r="319" ht="20.25" customHeight="1">
      <c r="A319" s="104">
        <v>6.0</v>
      </c>
      <c r="B319" s="120"/>
      <c r="C319" s="110"/>
      <c r="D319" s="107"/>
      <c r="E319" s="107" t="s">
        <v>1244</v>
      </c>
      <c r="F319" s="108">
        <v>40.0</v>
      </c>
      <c r="G319" s="109"/>
      <c r="H319" s="227"/>
      <c r="I319" s="227"/>
      <c r="J319" s="227"/>
    </row>
    <row r="320" ht="20.25" customHeight="1">
      <c r="A320" s="104">
        <v>7.0</v>
      </c>
      <c r="B320" s="120"/>
      <c r="C320" s="110"/>
      <c r="D320" s="107"/>
      <c r="E320" s="107" t="s">
        <v>1245</v>
      </c>
      <c r="F320" s="108"/>
      <c r="G320" s="109"/>
      <c r="H320" s="227"/>
      <c r="I320" s="227"/>
      <c r="J320" s="227"/>
    </row>
    <row r="321" ht="20.25" customHeight="1">
      <c r="A321" s="104">
        <v>8.0</v>
      </c>
      <c r="B321" s="120"/>
      <c r="C321" s="106"/>
      <c r="D321" s="107"/>
      <c r="E321" s="107" t="s">
        <v>848</v>
      </c>
      <c r="F321" s="108">
        <v>175.0</v>
      </c>
      <c r="G321" s="109"/>
      <c r="H321" s="227"/>
      <c r="I321" s="227"/>
      <c r="J321" s="227"/>
    </row>
    <row r="322" ht="20.25" customHeight="1">
      <c r="A322" s="104">
        <v>9.0</v>
      </c>
      <c r="B322" s="120"/>
      <c r="C322" s="110"/>
      <c r="D322" s="107"/>
      <c r="E322" s="107" t="s">
        <v>1246</v>
      </c>
      <c r="F322" s="108">
        <v>35.0</v>
      </c>
      <c r="G322" s="109"/>
      <c r="H322" s="227"/>
      <c r="I322" s="227"/>
      <c r="J322" s="227"/>
    </row>
    <row r="323" ht="20.25" customHeight="1">
      <c r="A323" s="104">
        <v>10.0</v>
      </c>
      <c r="B323" s="120"/>
      <c r="C323" s="110"/>
      <c r="D323" s="107"/>
      <c r="E323" s="107" t="s">
        <v>1247</v>
      </c>
      <c r="F323" s="108">
        <v>50.0</v>
      </c>
      <c r="G323" s="109"/>
      <c r="H323" s="227"/>
      <c r="I323" s="227"/>
      <c r="J323" s="227"/>
    </row>
    <row r="324" ht="20.25" customHeight="1">
      <c r="A324" s="104">
        <v>11.0</v>
      </c>
      <c r="B324" s="120"/>
      <c r="C324" s="110"/>
      <c r="D324" s="107"/>
      <c r="E324" s="107" t="s">
        <v>1248</v>
      </c>
      <c r="F324" s="108"/>
      <c r="G324" s="109"/>
      <c r="H324" s="227"/>
      <c r="I324" s="227"/>
      <c r="J324" s="227"/>
    </row>
    <row r="325" ht="20.25" customHeight="1">
      <c r="A325" s="104">
        <v>12.0</v>
      </c>
      <c r="B325" s="120"/>
      <c r="C325" s="110"/>
      <c r="D325" s="107"/>
      <c r="E325" s="107"/>
      <c r="F325" s="109"/>
      <c r="G325" s="111"/>
      <c r="H325" s="227"/>
      <c r="I325" s="227"/>
      <c r="J325" s="227"/>
    </row>
    <row r="326" ht="20.25" customHeight="1">
      <c r="A326" s="104">
        <v>13.0</v>
      </c>
      <c r="B326" s="120"/>
      <c r="C326" s="110"/>
      <c r="D326" s="107"/>
      <c r="E326" s="107"/>
      <c r="F326" s="121"/>
      <c r="G326" s="109"/>
      <c r="H326" s="227"/>
      <c r="I326" s="227"/>
      <c r="J326" s="227"/>
    </row>
    <row r="327" ht="20.25" customHeight="1">
      <c r="A327" s="104">
        <v>14.0</v>
      </c>
      <c r="B327" s="120"/>
      <c r="C327" s="110"/>
      <c r="D327" s="107"/>
      <c r="E327" s="107"/>
      <c r="F327" s="108"/>
      <c r="G327" s="109"/>
      <c r="H327" s="227"/>
      <c r="I327" s="227"/>
      <c r="J327" s="227"/>
    </row>
    <row r="328" ht="20.25" customHeight="1">
      <c r="A328" s="122">
        <v>15.0</v>
      </c>
      <c r="B328" s="123"/>
      <c r="C328" s="124"/>
      <c r="D328" s="107"/>
      <c r="E328" s="125"/>
      <c r="F328" s="109"/>
      <c r="G328" s="109"/>
      <c r="H328" s="227"/>
      <c r="I328" s="227"/>
      <c r="J328" s="227"/>
    </row>
    <row r="329" ht="20.25" customHeight="1">
      <c r="A329" s="112"/>
      <c r="B329" s="113"/>
      <c r="C329" s="114"/>
      <c r="D329" s="114"/>
      <c r="E329" s="99" t="s">
        <v>144</v>
      </c>
      <c r="F329" s="100">
        <v>1000.0</v>
      </c>
      <c r="G329" s="114"/>
      <c r="H329" s="227"/>
      <c r="I329" s="227"/>
      <c r="J329" s="227"/>
    </row>
    <row r="330" ht="20.25" customHeight="1">
      <c r="A330" s="115"/>
      <c r="B330" s="113"/>
      <c r="C330" s="114"/>
      <c r="D330" s="114"/>
      <c r="E330" s="99" t="s">
        <v>145</v>
      </c>
      <c r="F330" s="100">
        <v>2395.0</v>
      </c>
      <c r="G330" s="114"/>
      <c r="H330" s="227"/>
      <c r="I330" s="227"/>
      <c r="J330" s="227"/>
    </row>
    <row r="331" ht="20.25" customHeight="1">
      <c r="A331" s="115"/>
      <c r="B331" s="113"/>
      <c r="C331" s="114"/>
      <c r="D331" s="114"/>
      <c r="E331" s="99" t="s">
        <v>146</v>
      </c>
      <c r="F331" s="100">
        <v>790.0</v>
      </c>
      <c r="G331" s="114"/>
      <c r="H331" s="227"/>
      <c r="I331" s="227"/>
      <c r="J331" s="227"/>
    </row>
    <row r="332" ht="20.25" customHeight="1">
      <c r="A332" s="115"/>
      <c r="B332" s="113"/>
      <c r="C332" s="114"/>
      <c r="D332" s="114"/>
      <c r="E332" s="99" t="s">
        <v>147</v>
      </c>
      <c r="F332" s="100">
        <v>590.0</v>
      </c>
      <c r="G332" s="114"/>
      <c r="H332" s="227"/>
      <c r="I332" s="227"/>
      <c r="J332" s="227"/>
    </row>
    <row r="333" ht="20.25" customHeight="1">
      <c r="A333" s="115"/>
      <c r="B333" s="113"/>
      <c r="C333" s="114"/>
      <c r="D333" s="114"/>
      <c r="E333" s="99" t="s">
        <v>148</v>
      </c>
      <c r="F333" s="100"/>
      <c r="G333" s="114"/>
      <c r="H333" s="227"/>
      <c r="I333" s="227"/>
      <c r="J333" s="227"/>
    </row>
    <row r="334" ht="20.25" customHeight="1">
      <c r="A334" s="118"/>
      <c r="B334" s="119"/>
      <c r="C334" s="119"/>
      <c r="D334" s="119"/>
      <c r="E334" s="119"/>
      <c r="F334" s="119"/>
      <c r="G334" s="119"/>
      <c r="H334" s="227"/>
      <c r="I334" s="227"/>
      <c r="J334" s="227"/>
    </row>
    <row r="335" ht="20.25" customHeight="1">
      <c r="A335" s="102" t="s">
        <v>4</v>
      </c>
      <c r="B335" s="102" t="s">
        <v>5</v>
      </c>
      <c r="C335" s="102" t="s">
        <v>126</v>
      </c>
      <c r="D335" s="102" t="s">
        <v>6</v>
      </c>
      <c r="E335" s="102" t="s">
        <v>7</v>
      </c>
      <c r="F335" s="102" t="s">
        <v>127</v>
      </c>
      <c r="G335" s="103" t="s">
        <v>128</v>
      </c>
      <c r="H335" s="227"/>
      <c r="I335" s="227"/>
      <c r="J335" s="227"/>
    </row>
    <row r="336" ht="20.25" customHeight="1">
      <c r="A336" s="104">
        <v>1.0</v>
      </c>
      <c r="B336" s="105">
        <v>46099.0</v>
      </c>
      <c r="C336" s="106" t="s">
        <v>299</v>
      </c>
      <c r="D336" s="107"/>
      <c r="E336" s="107" t="s">
        <v>1249</v>
      </c>
      <c r="F336" s="108"/>
      <c r="G336" s="109"/>
      <c r="H336" s="227"/>
      <c r="I336" s="227"/>
      <c r="J336" s="227"/>
    </row>
    <row r="337" ht="20.25" customHeight="1">
      <c r="A337" s="104">
        <v>2.0</v>
      </c>
      <c r="B337" s="120"/>
      <c r="C337" s="110"/>
      <c r="D337" s="107"/>
      <c r="E337" s="107" t="s">
        <v>1250</v>
      </c>
      <c r="F337" s="108"/>
      <c r="G337" s="109"/>
      <c r="H337" s="227"/>
      <c r="I337" s="227"/>
      <c r="J337" s="227"/>
    </row>
    <row r="338" ht="20.25" customHeight="1">
      <c r="A338" s="104">
        <v>3.0</v>
      </c>
      <c r="B338" s="120"/>
      <c r="C338" s="110"/>
      <c r="D338" s="107"/>
      <c r="E338" s="107" t="s">
        <v>1251</v>
      </c>
      <c r="F338" s="111"/>
      <c r="G338" s="109"/>
      <c r="H338" s="227"/>
      <c r="I338" s="227"/>
      <c r="J338" s="227"/>
    </row>
    <row r="339" ht="20.25" customHeight="1">
      <c r="A339" s="104">
        <v>4.0</v>
      </c>
      <c r="B339" s="120"/>
      <c r="C339" s="110"/>
      <c r="D339" s="107"/>
      <c r="E339" s="107" t="s">
        <v>1252</v>
      </c>
      <c r="F339" s="108"/>
      <c r="G339" s="111"/>
      <c r="H339" s="227"/>
      <c r="I339" s="227"/>
      <c r="J339" s="227"/>
    </row>
    <row r="340" ht="20.25" customHeight="1">
      <c r="A340" s="104">
        <v>5.0</v>
      </c>
      <c r="B340" s="120"/>
      <c r="C340" s="110"/>
      <c r="D340" s="107"/>
      <c r="E340" s="107" t="s">
        <v>1253</v>
      </c>
      <c r="F340" s="108"/>
      <c r="G340" s="109"/>
      <c r="H340" s="227"/>
      <c r="I340" s="227"/>
      <c r="J340" s="227"/>
    </row>
    <row r="341" ht="20.25" customHeight="1">
      <c r="A341" s="104">
        <v>6.0</v>
      </c>
      <c r="B341" s="120"/>
      <c r="C341" s="110"/>
      <c r="D341" s="107"/>
      <c r="E341" s="107" t="s">
        <v>1254</v>
      </c>
      <c r="F341" s="108"/>
      <c r="G341" s="109"/>
      <c r="H341" s="227"/>
      <c r="I341" s="227"/>
      <c r="J341" s="227"/>
    </row>
    <row r="342" ht="20.25" customHeight="1">
      <c r="A342" s="104">
        <v>7.0</v>
      </c>
      <c r="B342" s="120"/>
      <c r="C342" s="110"/>
      <c r="D342" s="107"/>
      <c r="E342" s="107" t="s">
        <v>1255</v>
      </c>
      <c r="F342" s="108"/>
      <c r="G342" s="109"/>
      <c r="H342" s="227"/>
      <c r="I342" s="227"/>
      <c r="J342" s="227"/>
    </row>
    <row r="343" ht="20.25" customHeight="1">
      <c r="A343" s="104">
        <v>8.0</v>
      </c>
      <c r="B343" s="120"/>
      <c r="C343" s="106"/>
      <c r="D343" s="107"/>
      <c r="E343" s="107" t="s">
        <v>1256</v>
      </c>
      <c r="F343" s="108"/>
      <c r="G343" s="109"/>
      <c r="H343" s="227"/>
      <c r="I343" s="227"/>
      <c r="J343" s="227"/>
    </row>
    <row r="344" ht="20.25" customHeight="1">
      <c r="A344" s="104">
        <v>9.0</v>
      </c>
      <c r="B344" s="120"/>
      <c r="C344" s="110"/>
      <c r="D344" s="107"/>
      <c r="E344" s="107" t="s">
        <v>1257</v>
      </c>
      <c r="F344" s="108"/>
      <c r="G344" s="109"/>
      <c r="H344" s="227"/>
      <c r="I344" s="227"/>
      <c r="J344" s="227"/>
    </row>
    <row r="345" ht="20.25" customHeight="1">
      <c r="A345" s="104">
        <v>10.0</v>
      </c>
      <c r="B345" s="120"/>
      <c r="C345" s="110"/>
      <c r="D345" s="107"/>
      <c r="E345" s="107" t="s">
        <v>1258</v>
      </c>
      <c r="F345" s="108"/>
      <c r="G345" s="109"/>
      <c r="H345" s="227"/>
      <c r="I345" s="227"/>
      <c r="J345" s="227"/>
    </row>
    <row r="346" ht="20.25" customHeight="1">
      <c r="A346" s="104">
        <v>11.0</v>
      </c>
      <c r="B346" s="120"/>
      <c r="C346" s="110"/>
      <c r="D346" s="107"/>
      <c r="E346" s="107" t="s">
        <v>1259</v>
      </c>
      <c r="F346" s="108"/>
      <c r="G346" s="109"/>
      <c r="H346" s="227"/>
      <c r="I346" s="227"/>
      <c r="J346" s="227"/>
    </row>
    <row r="347" ht="20.25" customHeight="1">
      <c r="A347" s="104">
        <v>12.0</v>
      </c>
      <c r="B347" s="120"/>
      <c r="C347" s="110"/>
      <c r="D347" s="107"/>
      <c r="E347" s="107" t="s">
        <v>1260</v>
      </c>
      <c r="F347" s="109"/>
      <c r="G347" s="111"/>
      <c r="H347" s="227"/>
      <c r="I347" s="227"/>
      <c r="J347" s="227"/>
    </row>
    <row r="348" ht="20.25" customHeight="1">
      <c r="A348" s="104">
        <v>13.0</v>
      </c>
      <c r="B348" s="120"/>
      <c r="C348" s="110"/>
      <c r="D348" s="107"/>
      <c r="E348" s="107" t="s">
        <v>1261</v>
      </c>
      <c r="F348" s="121"/>
      <c r="G348" s="111" t="s">
        <v>1262</v>
      </c>
      <c r="H348" s="227"/>
      <c r="I348" s="227"/>
      <c r="J348" s="227"/>
    </row>
    <row r="349" ht="20.25" customHeight="1">
      <c r="A349" s="104">
        <v>14.0</v>
      </c>
      <c r="B349" s="120"/>
      <c r="C349" s="110"/>
      <c r="D349" s="107"/>
      <c r="E349" s="107" t="s">
        <v>1263</v>
      </c>
      <c r="F349" s="108"/>
      <c r="G349" s="109"/>
      <c r="H349" s="227"/>
      <c r="I349" s="227"/>
      <c r="J349" s="227"/>
    </row>
    <row r="350" ht="20.25" customHeight="1">
      <c r="A350" s="122">
        <v>15.0</v>
      </c>
      <c r="B350" s="123"/>
      <c r="C350" s="124"/>
      <c r="D350" s="107"/>
      <c r="E350" s="125"/>
      <c r="F350" s="109"/>
      <c r="G350" s="109"/>
      <c r="H350" s="227"/>
      <c r="I350" s="227"/>
      <c r="J350" s="227"/>
    </row>
    <row r="351" ht="20.25" customHeight="1">
      <c r="A351" s="112"/>
      <c r="B351" s="113"/>
      <c r="C351" s="114"/>
      <c r="D351" s="114"/>
      <c r="E351" s="99" t="s">
        <v>144</v>
      </c>
      <c r="F351" s="131"/>
      <c r="G351" s="114"/>
      <c r="H351" s="227"/>
      <c r="I351" s="227"/>
      <c r="J351" s="227"/>
    </row>
    <row r="352" ht="20.25" customHeight="1">
      <c r="A352" s="115"/>
      <c r="B352" s="113"/>
      <c r="C352" s="114"/>
      <c r="D352" s="114"/>
      <c r="E352" s="99" t="s">
        <v>145</v>
      </c>
      <c r="F352" s="100">
        <v>16705.0</v>
      </c>
      <c r="G352" s="114"/>
      <c r="H352" s="227"/>
      <c r="I352" s="227"/>
      <c r="J352" s="227"/>
    </row>
    <row r="353" ht="20.25" customHeight="1">
      <c r="A353" s="115"/>
      <c r="B353" s="113"/>
      <c r="C353" s="114"/>
      <c r="D353" s="114"/>
      <c r="E353" s="99" t="s">
        <v>146</v>
      </c>
      <c r="F353" s="100">
        <v>1380.0</v>
      </c>
      <c r="G353" s="114"/>
      <c r="H353" s="227"/>
      <c r="I353" s="227"/>
      <c r="J353" s="227"/>
    </row>
    <row r="354" ht="20.25" customHeight="1">
      <c r="A354" s="115"/>
      <c r="B354" s="113"/>
      <c r="C354" s="114"/>
      <c r="D354" s="114"/>
      <c r="E354" s="99" t="s">
        <v>147</v>
      </c>
      <c r="F354" s="100">
        <v>1035.0</v>
      </c>
      <c r="G354" s="114"/>
      <c r="H354" s="227"/>
      <c r="I354" s="227"/>
      <c r="J354" s="227"/>
    </row>
    <row r="355" ht="20.25" customHeight="1">
      <c r="A355" s="115"/>
      <c r="B355" s="113"/>
      <c r="C355" s="114"/>
      <c r="D355" s="114"/>
      <c r="E355" s="99" t="s">
        <v>148</v>
      </c>
      <c r="F355" s="100">
        <v>15670.0</v>
      </c>
      <c r="G355" s="114"/>
      <c r="H355" s="227"/>
      <c r="I355" s="227"/>
      <c r="J355" s="227"/>
    </row>
    <row r="356" ht="20.25" customHeight="1">
      <c r="A356" s="118"/>
      <c r="B356" s="119"/>
      <c r="C356" s="119"/>
      <c r="D356" s="119"/>
      <c r="E356" s="119"/>
      <c r="F356" s="119"/>
      <c r="G356" s="119"/>
      <c r="H356" s="227"/>
      <c r="I356" s="227"/>
      <c r="J356" s="227"/>
    </row>
    <row r="357" ht="20.25" customHeight="1">
      <c r="A357" s="102" t="s">
        <v>4</v>
      </c>
      <c r="B357" s="102" t="s">
        <v>5</v>
      </c>
      <c r="C357" s="102" t="s">
        <v>126</v>
      </c>
      <c r="D357" s="102" t="s">
        <v>6</v>
      </c>
      <c r="E357" s="102" t="s">
        <v>7</v>
      </c>
      <c r="F357" s="102" t="s">
        <v>127</v>
      </c>
      <c r="G357" s="103" t="s">
        <v>128</v>
      </c>
      <c r="H357" s="227"/>
      <c r="I357" s="227"/>
      <c r="J357" s="227"/>
    </row>
    <row r="358" ht="20.25" customHeight="1">
      <c r="A358" s="104">
        <v>1.0</v>
      </c>
      <c r="B358" s="105">
        <v>46100.0</v>
      </c>
      <c r="C358" s="106" t="s">
        <v>211</v>
      </c>
      <c r="D358" s="107"/>
      <c r="E358" s="107" t="s">
        <v>1264</v>
      </c>
      <c r="F358" s="111" t="s">
        <v>1265</v>
      </c>
      <c r="G358" s="109"/>
      <c r="H358" s="227"/>
      <c r="I358" s="227"/>
      <c r="J358" s="227"/>
    </row>
    <row r="359" ht="20.25" customHeight="1">
      <c r="A359" s="104">
        <v>2.0</v>
      </c>
      <c r="B359" s="120"/>
      <c r="C359" s="110"/>
      <c r="D359" s="107"/>
      <c r="E359" s="107" t="s">
        <v>1266</v>
      </c>
      <c r="F359" s="108"/>
      <c r="G359" s="109"/>
      <c r="H359" s="227"/>
      <c r="I359" s="227"/>
      <c r="J359" s="227"/>
    </row>
    <row r="360" ht="20.25" customHeight="1">
      <c r="A360" s="104">
        <v>3.0</v>
      </c>
      <c r="B360" s="120"/>
      <c r="C360" s="110"/>
      <c r="D360" s="107"/>
      <c r="E360" s="107" t="s">
        <v>1267</v>
      </c>
      <c r="F360" s="111"/>
      <c r="G360" s="109"/>
      <c r="H360" s="227"/>
      <c r="I360" s="227"/>
      <c r="J360" s="227"/>
    </row>
    <row r="361" ht="20.25" customHeight="1">
      <c r="A361" s="104">
        <v>4.0</v>
      </c>
      <c r="B361" s="120"/>
      <c r="C361" s="110"/>
      <c r="D361" s="107"/>
      <c r="E361" s="107" t="s">
        <v>1268</v>
      </c>
      <c r="F361" s="108"/>
      <c r="G361" s="111"/>
      <c r="H361" s="227"/>
      <c r="I361" s="227"/>
      <c r="J361" s="227"/>
    </row>
    <row r="362" ht="20.25" customHeight="1">
      <c r="A362" s="104">
        <v>5.0</v>
      </c>
      <c r="B362" s="120"/>
      <c r="C362" s="110"/>
      <c r="D362" s="107"/>
      <c r="E362" s="107" t="s">
        <v>1269</v>
      </c>
      <c r="F362" s="111" t="s">
        <v>1270</v>
      </c>
      <c r="G362" s="109"/>
      <c r="H362" s="227"/>
      <c r="I362" s="227"/>
      <c r="J362" s="227"/>
    </row>
    <row r="363" ht="20.25" customHeight="1">
      <c r="A363" s="104">
        <v>6.0</v>
      </c>
      <c r="B363" s="120"/>
      <c r="C363" s="110"/>
      <c r="D363" s="107"/>
      <c r="E363" s="107" t="s">
        <v>1271</v>
      </c>
      <c r="F363" s="108"/>
      <c r="G363" s="109"/>
      <c r="H363" s="227"/>
      <c r="I363" s="227"/>
      <c r="J363" s="227"/>
    </row>
    <row r="364" ht="20.25" customHeight="1">
      <c r="A364" s="104">
        <v>7.0</v>
      </c>
      <c r="B364" s="120"/>
      <c r="C364" s="110"/>
      <c r="D364" s="107"/>
      <c r="E364" s="107" t="s">
        <v>1272</v>
      </c>
      <c r="F364" s="108"/>
      <c r="G364" s="109"/>
      <c r="H364" s="227"/>
      <c r="I364" s="227"/>
      <c r="J364" s="227"/>
    </row>
    <row r="365" ht="20.25" customHeight="1">
      <c r="A365" s="104">
        <v>8.0</v>
      </c>
      <c r="B365" s="120"/>
      <c r="C365" s="106"/>
      <c r="D365" s="107"/>
      <c r="E365" s="107" t="s">
        <v>1273</v>
      </c>
      <c r="F365" s="108"/>
      <c r="G365" s="109"/>
      <c r="H365" s="227"/>
      <c r="I365" s="227"/>
      <c r="J365" s="227"/>
    </row>
    <row r="366" ht="20.25" customHeight="1">
      <c r="A366" s="104">
        <v>9.0</v>
      </c>
      <c r="B366" s="120"/>
      <c r="C366" s="110"/>
      <c r="D366" s="107"/>
      <c r="E366" s="107" t="s">
        <v>1274</v>
      </c>
      <c r="F366" s="108"/>
      <c r="G366" s="109"/>
      <c r="H366" s="227"/>
      <c r="I366" s="227"/>
      <c r="J366" s="227"/>
    </row>
    <row r="367" ht="20.25" customHeight="1">
      <c r="A367" s="104">
        <v>10.0</v>
      </c>
      <c r="B367" s="120"/>
      <c r="C367" s="110"/>
      <c r="D367" s="107"/>
      <c r="E367" s="107" t="s">
        <v>1275</v>
      </c>
      <c r="F367" s="108"/>
      <c r="G367" s="109"/>
      <c r="H367" s="227"/>
      <c r="I367" s="227"/>
      <c r="J367" s="227"/>
    </row>
    <row r="368" ht="20.25" customHeight="1">
      <c r="A368" s="104">
        <v>11.0</v>
      </c>
      <c r="B368" s="120"/>
      <c r="C368" s="110"/>
      <c r="D368" s="107"/>
      <c r="E368" s="107"/>
      <c r="F368" s="108"/>
      <c r="G368" s="109"/>
      <c r="H368" s="227"/>
      <c r="I368" s="227"/>
      <c r="J368" s="227"/>
    </row>
    <row r="369" ht="20.25" customHeight="1">
      <c r="A369" s="104">
        <v>12.0</v>
      </c>
      <c r="B369" s="120"/>
      <c r="C369" s="110"/>
      <c r="D369" s="107"/>
      <c r="E369" s="107"/>
      <c r="F369" s="109"/>
      <c r="G369" s="111"/>
      <c r="H369" s="227"/>
      <c r="I369" s="227"/>
      <c r="J369" s="227"/>
    </row>
    <row r="370" ht="20.25" customHeight="1">
      <c r="A370" s="104">
        <v>13.0</v>
      </c>
      <c r="B370" s="120"/>
      <c r="C370" s="110"/>
      <c r="D370" s="107"/>
      <c r="E370" s="107"/>
      <c r="F370" s="121"/>
      <c r="G370" s="109"/>
      <c r="H370" s="227"/>
      <c r="I370" s="227"/>
      <c r="J370" s="227"/>
    </row>
    <row r="371" ht="20.25" customHeight="1">
      <c r="A371" s="104">
        <v>14.0</v>
      </c>
      <c r="B371" s="120"/>
      <c r="C371" s="110"/>
      <c r="D371" s="107"/>
      <c r="E371" s="107"/>
      <c r="F371" s="108"/>
      <c r="G371" s="109"/>
      <c r="H371" s="227"/>
      <c r="I371" s="227"/>
      <c r="J371" s="227"/>
    </row>
    <row r="372" ht="20.25" customHeight="1">
      <c r="A372" s="122">
        <v>15.0</v>
      </c>
      <c r="B372" s="123"/>
      <c r="C372" s="124"/>
      <c r="D372" s="107"/>
      <c r="E372" s="125"/>
      <c r="F372" s="109"/>
      <c r="G372" s="109"/>
      <c r="H372" s="227"/>
      <c r="I372" s="227"/>
      <c r="J372" s="227"/>
    </row>
    <row r="373" ht="20.25" customHeight="1">
      <c r="A373" s="112"/>
      <c r="B373" s="113"/>
      <c r="C373" s="114"/>
      <c r="D373" s="114"/>
      <c r="E373" s="99" t="s">
        <v>144</v>
      </c>
      <c r="F373" s="100">
        <v>600.0</v>
      </c>
      <c r="G373" s="114"/>
      <c r="H373" s="227"/>
      <c r="I373" s="227"/>
      <c r="J373" s="227"/>
    </row>
    <row r="374" ht="20.25" customHeight="1">
      <c r="A374" s="115"/>
      <c r="B374" s="113"/>
      <c r="C374" s="114"/>
      <c r="D374" s="114"/>
      <c r="E374" s="99" t="s">
        <v>145</v>
      </c>
      <c r="F374" s="100">
        <v>2045.0</v>
      </c>
      <c r="G374" s="114"/>
      <c r="H374" s="227"/>
      <c r="I374" s="227"/>
      <c r="J374" s="227"/>
    </row>
    <row r="375" ht="20.25" customHeight="1">
      <c r="A375" s="115"/>
      <c r="B375" s="113"/>
      <c r="C375" s="114"/>
      <c r="D375" s="114"/>
      <c r="E375" s="99" t="s">
        <v>146</v>
      </c>
      <c r="F375" s="100">
        <v>765.0</v>
      </c>
      <c r="G375" s="114"/>
      <c r="H375" s="227"/>
      <c r="I375" s="227"/>
      <c r="J375" s="227"/>
    </row>
    <row r="376" ht="20.25" customHeight="1">
      <c r="A376" s="115"/>
      <c r="B376" s="113"/>
      <c r="C376" s="114"/>
      <c r="D376" s="114"/>
      <c r="E376" s="99" t="s">
        <v>147</v>
      </c>
      <c r="F376" s="100">
        <v>575.0</v>
      </c>
      <c r="G376" s="114"/>
      <c r="H376" s="227"/>
      <c r="I376" s="227"/>
      <c r="J376" s="227"/>
    </row>
    <row r="377" ht="20.25" customHeight="1">
      <c r="A377" s="115"/>
      <c r="B377" s="113"/>
      <c r="C377" s="114"/>
      <c r="D377" s="114"/>
      <c r="E377" s="99" t="s">
        <v>148</v>
      </c>
      <c r="F377" s="100"/>
      <c r="G377" s="114"/>
      <c r="H377" s="227"/>
      <c r="I377" s="227"/>
      <c r="J377" s="227"/>
    </row>
    <row r="378" ht="20.25" customHeight="1">
      <c r="A378" s="118"/>
      <c r="B378" s="119"/>
      <c r="C378" s="119"/>
      <c r="D378" s="119"/>
      <c r="E378" s="119"/>
      <c r="F378" s="119"/>
      <c r="G378" s="119"/>
      <c r="H378" s="227"/>
      <c r="I378" s="227"/>
      <c r="J378" s="227"/>
    </row>
    <row r="379" ht="20.25" customHeight="1">
      <c r="A379" s="102" t="s">
        <v>4</v>
      </c>
      <c r="B379" s="102" t="s">
        <v>5</v>
      </c>
      <c r="C379" s="102" t="s">
        <v>126</v>
      </c>
      <c r="D379" s="102" t="s">
        <v>6</v>
      </c>
      <c r="E379" s="102" t="s">
        <v>7</v>
      </c>
      <c r="F379" s="102" t="s">
        <v>127</v>
      </c>
      <c r="G379" s="103" t="s">
        <v>128</v>
      </c>
      <c r="H379" s="227"/>
      <c r="I379" s="227"/>
      <c r="J379" s="227"/>
    </row>
    <row r="380" ht="20.25" customHeight="1">
      <c r="A380" s="104">
        <v>1.0</v>
      </c>
      <c r="B380" s="105">
        <v>46107.0</v>
      </c>
      <c r="C380" s="106" t="s">
        <v>310</v>
      </c>
      <c r="D380" s="107" t="s">
        <v>1146</v>
      </c>
      <c r="E380" s="107" t="s">
        <v>1276</v>
      </c>
      <c r="F380" s="108">
        <v>35.0</v>
      </c>
      <c r="G380" s="109"/>
      <c r="H380" s="227"/>
      <c r="I380" s="227"/>
      <c r="J380" s="227"/>
    </row>
    <row r="381" ht="20.25" customHeight="1">
      <c r="A381" s="104">
        <v>2.0</v>
      </c>
      <c r="B381" s="120"/>
      <c r="C381" s="110"/>
      <c r="D381" s="107"/>
      <c r="E381" s="107" t="s">
        <v>1277</v>
      </c>
      <c r="F381" s="108"/>
      <c r="G381" s="109"/>
      <c r="H381" s="227"/>
      <c r="I381" s="227"/>
      <c r="J381" s="227"/>
    </row>
    <row r="382" ht="20.25" customHeight="1">
      <c r="A382" s="104">
        <v>3.0</v>
      </c>
      <c r="B382" s="120"/>
      <c r="C382" s="110"/>
      <c r="D382" s="107"/>
      <c r="E382" s="107" t="s">
        <v>1278</v>
      </c>
      <c r="F382" s="108" t="s">
        <v>159</v>
      </c>
      <c r="G382" s="109"/>
      <c r="H382" s="227"/>
      <c r="I382" s="227"/>
      <c r="J382" s="227"/>
    </row>
    <row r="383" ht="20.25" customHeight="1">
      <c r="A383" s="104">
        <v>4.0</v>
      </c>
      <c r="B383" s="120"/>
      <c r="C383" s="110"/>
      <c r="D383" s="107"/>
      <c r="E383" s="107" t="s">
        <v>1279</v>
      </c>
      <c r="F383" s="108">
        <v>70.0</v>
      </c>
      <c r="G383" s="111" t="s">
        <v>1280</v>
      </c>
      <c r="H383" s="227"/>
      <c r="I383" s="227"/>
      <c r="J383" s="227"/>
    </row>
    <row r="384" ht="20.25" customHeight="1">
      <c r="A384" s="104">
        <v>5.0</v>
      </c>
      <c r="B384" s="120"/>
      <c r="C384" s="110"/>
      <c r="D384" s="107"/>
      <c r="E384" s="107" t="s">
        <v>1281</v>
      </c>
      <c r="F384" s="108">
        <v>35.0</v>
      </c>
      <c r="G384" s="109"/>
      <c r="H384" s="227"/>
      <c r="I384" s="227"/>
      <c r="J384" s="227"/>
    </row>
    <row r="385" ht="20.25" customHeight="1">
      <c r="A385" s="104">
        <v>6.0</v>
      </c>
      <c r="B385" s="120"/>
      <c r="C385" s="110"/>
      <c r="D385" s="107"/>
      <c r="E385" s="107" t="s">
        <v>1282</v>
      </c>
      <c r="F385" s="108">
        <v>35.0</v>
      </c>
      <c r="G385" s="109"/>
      <c r="H385" s="227"/>
      <c r="I385" s="227"/>
      <c r="J385" s="227"/>
    </row>
    <row r="386" ht="20.25" customHeight="1">
      <c r="A386" s="104">
        <v>7.0</v>
      </c>
      <c r="B386" s="120"/>
      <c r="C386" s="110"/>
      <c r="D386" s="107"/>
      <c r="E386" s="107" t="s">
        <v>1283</v>
      </c>
      <c r="F386" s="111" t="s">
        <v>1284</v>
      </c>
      <c r="G386" s="109"/>
      <c r="H386" s="227"/>
      <c r="I386" s="227"/>
      <c r="J386" s="227"/>
    </row>
    <row r="387" ht="20.25" customHeight="1">
      <c r="A387" s="104">
        <v>8.0</v>
      </c>
      <c r="B387" s="120"/>
      <c r="C387" s="106"/>
      <c r="D387" s="107"/>
      <c r="E387" s="107" t="s">
        <v>1285</v>
      </c>
      <c r="F387" s="108">
        <v>35.0</v>
      </c>
      <c r="G387" s="109"/>
      <c r="H387" s="227"/>
      <c r="I387" s="227"/>
      <c r="J387" s="227"/>
    </row>
    <row r="388" ht="20.25" customHeight="1">
      <c r="A388" s="104">
        <v>9.0</v>
      </c>
      <c r="B388" s="120"/>
      <c r="C388" s="110"/>
      <c r="D388" s="107"/>
      <c r="E388" s="107" t="s">
        <v>1286</v>
      </c>
      <c r="F388" s="108"/>
      <c r="G388" s="109"/>
      <c r="H388" s="227"/>
      <c r="I388" s="227"/>
      <c r="J388" s="227"/>
    </row>
    <row r="389" ht="20.25" customHeight="1">
      <c r="A389" s="104">
        <v>10.0</v>
      </c>
      <c r="B389" s="120"/>
      <c r="C389" s="110"/>
      <c r="D389" s="107"/>
      <c r="E389" s="107" t="s">
        <v>1287</v>
      </c>
      <c r="F389" s="108"/>
      <c r="G389" s="109"/>
      <c r="H389" s="227"/>
      <c r="I389" s="227"/>
      <c r="J389" s="227"/>
    </row>
    <row r="390" ht="20.25" customHeight="1">
      <c r="A390" s="104">
        <v>11.0</v>
      </c>
      <c r="B390" s="120"/>
      <c r="C390" s="110"/>
      <c r="D390" s="107"/>
      <c r="E390" s="107"/>
      <c r="F390" s="108"/>
      <c r="G390" s="109"/>
      <c r="H390" s="227"/>
      <c r="I390" s="227"/>
      <c r="J390" s="227"/>
    </row>
    <row r="391" ht="20.25" customHeight="1">
      <c r="A391" s="104">
        <v>12.0</v>
      </c>
      <c r="B391" s="120"/>
      <c r="C391" s="110"/>
      <c r="D391" s="107"/>
      <c r="E391" s="107"/>
      <c r="F391" s="109"/>
      <c r="G391" s="111"/>
      <c r="H391" s="227"/>
      <c r="I391" s="227"/>
      <c r="J391" s="227"/>
    </row>
    <row r="392" ht="20.25" customHeight="1">
      <c r="A392" s="104">
        <v>13.0</v>
      </c>
      <c r="B392" s="120"/>
      <c r="C392" s="110"/>
      <c r="D392" s="107"/>
      <c r="E392" s="107"/>
      <c r="F392" s="121"/>
      <c r="G392" s="109"/>
      <c r="H392" s="227"/>
      <c r="I392" s="227"/>
      <c r="J392" s="227"/>
    </row>
    <row r="393" ht="20.25" customHeight="1">
      <c r="A393" s="104">
        <v>14.0</v>
      </c>
      <c r="B393" s="120"/>
      <c r="C393" s="110"/>
      <c r="D393" s="107"/>
      <c r="E393" s="107"/>
      <c r="F393" s="108"/>
      <c r="G393" s="109"/>
      <c r="H393" s="227"/>
      <c r="I393" s="227"/>
      <c r="J393" s="227"/>
    </row>
    <row r="394" ht="20.25" customHeight="1">
      <c r="A394" s="122">
        <v>15.0</v>
      </c>
      <c r="B394" s="123"/>
      <c r="C394" s="124"/>
      <c r="D394" s="107"/>
      <c r="E394" s="125"/>
      <c r="F394" s="109"/>
      <c r="G394" s="109"/>
      <c r="H394" s="227"/>
      <c r="I394" s="227"/>
      <c r="J394" s="227"/>
    </row>
    <row r="395" ht="20.25" customHeight="1">
      <c r="A395" s="112"/>
      <c r="B395" s="113"/>
      <c r="C395" s="114"/>
      <c r="D395" s="114"/>
      <c r="E395" s="99" t="s">
        <v>144</v>
      </c>
      <c r="F395" s="131"/>
      <c r="G395" s="114"/>
      <c r="H395" s="227"/>
      <c r="I395" s="227"/>
      <c r="J395" s="227"/>
    </row>
    <row r="396" ht="20.25" customHeight="1">
      <c r="A396" s="115"/>
      <c r="B396" s="113"/>
      <c r="C396" s="114"/>
      <c r="D396" s="114"/>
      <c r="E396" s="99" t="s">
        <v>145</v>
      </c>
      <c r="F396" s="100">
        <v>440.0</v>
      </c>
      <c r="G396" s="114"/>
      <c r="H396" s="227"/>
      <c r="I396" s="227"/>
      <c r="J396" s="227"/>
    </row>
    <row r="397" ht="20.25" customHeight="1">
      <c r="A397" s="115"/>
      <c r="B397" s="113"/>
      <c r="C397" s="114"/>
      <c r="D397" s="114"/>
      <c r="E397" s="99" t="s">
        <v>146</v>
      </c>
      <c r="F397" s="100">
        <v>470.0</v>
      </c>
      <c r="G397" s="114"/>
      <c r="H397" s="227"/>
      <c r="I397" s="227"/>
      <c r="J397" s="227"/>
    </row>
    <row r="398" ht="20.25" customHeight="1">
      <c r="A398" s="115"/>
      <c r="B398" s="113"/>
      <c r="C398" s="114"/>
      <c r="D398" s="114"/>
      <c r="E398" s="99" t="s">
        <v>147</v>
      </c>
      <c r="F398" s="100">
        <v>350.0</v>
      </c>
      <c r="G398" s="114"/>
      <c r="H398" s="227"/>
      <c r="I398" s="227"/>
      <c r="J398" s="227"/>
    </row>
    <row r="399" ht="20.25" customHeight="1">
      <c r="A399" s="115"/>
      <c r="B399" s="113"/>
      <c r="C399" s="114"/>
      <c r="D399" s="114"/>
      <c r="E399" s="99" t="s">
        <v>148</v>
      </c>
      <c r="F399" s="100"/>
      <c r="G399" s="220" t="s">
        <v>1288</v>
      </c>
      <c r="H399" s="227"/>
      <c r="I399" s="227"/>
      <c r="J399" s="227"/>
    </row>
    <row r="400" ht="20.25" customHeight="1">
      <c r="A400" s="265"/>
      <c r="B400" s="227"/>
      <c r="C400" s="227"/>
      <c r="D400" s="227"/>
      <c r="E400" s="227"/>
      <c r="F400" s="227"/>
      <c r="G400" s="227"/>
      <c r="H400" s="227"/>
      <c r="I400" s="227"/>
      <c r="J400" s="227"/>
    </row>
    <row r="401" ht="20.25" customHeight="1">
      <c r="A401" s="102" t="s">
        <v>4</v>
      </c>
      <c r="B401" s="102" t="s">
        <v>5</v>
      </c>
      <c r="C401" s="102" t="s">
        <v>126</v>
      </c>
      <c r="D401" s="102" t="s">
        <v>6</v>
      </c>
      <c r="E401" s="102" t="s">
        <v>7</v>
      </c>
      <c r="F401" s="102" t="s">
        <v>127</v>
      </c>
      <c r="G401" s="102" t="s">
        <v>128</v>
      </c>
      <c r="H401" s="227"/>
      <c r="I401" s="227"/>
      <c r="J401" s="227"/>
    </row>
    <row r="402" ht="20.25" customHeight="1">
      <c r="A402" s="102">
        <v>1.0</v>
      </c>
      <c r="B402" s="147">
        <v>46109.0</v>
      </c>
      <c r="C402" s="148" t="s">
        <v>1041</v>
      </c>
      <c r="D402" s="107" t="s">
        <v>1146</v>
      </c>
      <c r="E402" s="107" t="s">
        <v>1289</v>
      </c>
      <c r="F402" s="108">
        <v>40.0</v>
      </c>
      <c r="G402" s="108"/>
      <c r="H402" s="227"/>
      <c r="I402" s="227"/>
      <c r="J402" s="227"/>
    </row>
    <row r="403" ht="20.25" customHeight="1">
      <c r="A403" s="102">
        <v>2.0</v>
      </c>
      <c r="B403" s="123"/>
      <c r="C403" s="123"/>
      <c r="D403" s="107"/>
      <c r="E403" s="107" t="s">
        <v>1290</v>
      </c>
      <c r="F403" s="111" t="s">
        <v>1291</v>
      </c>
      <c r="G403" s="108"/>
      <c r="H403" s="227"/>
      <c r="I403" s="227"/>
      <c r="J403" s="227"/>
    </row>
    <row r="404" ht="20.25" customHeight="1">
      <c r="A404" s="102">
        <v>3.0</v>
      </c>
      <c r="B404" s="123"/>
      <c r="C404" s="123"/>
      <c r="D404" s="107"/>
      <c r="E404" s="107" t="s">
        <v>1292</v>
      </c>
      <c r="F404" s="108" t="s">
        <v>1293</v>
      </c>
      <c r="G404" s="108"/>
      <c r="H404" s="227"/>
      <c r="I404" s="227"/>
      <c r="J404" s="227"/>
    </row>
    <row r="405" ht="20.25" customHeight="1">
      <c r="A405" s="102">
        <v>4.0</v>
      </c>
      <c r="B405" s="123"/>
      <c r="C405" s="123"/>
      <c r="D405" s="107"/>
      <c r="E405" s="107" t="s">
        <v>1294</v>
      </c>
      <c r="F405" s="111" t="s">
        <v>1295</v>
      </c>
      <c r="G405" s="108"/>
      <c r="H405" s="227"/>
      <c r="I405" s="227"/>
      <c r="J405" s="227"/>
    </row>
    <row r="406" ht="20.25" customHeight="1">
      <c r="A406" s="102">
        <v>5.0</v>
      </c>
      <c r="B406" s="123"/>
      <c r="C406" s="123"/>
      <c r="D406" s="107"/>
      <c r="E406" s="107" t="s">
        <v>1296</v>
      </c>
      <c r="F406" s="111" t="s">
        <v>1297</v>
      </c>
      <c r="G406" s="111" t="s">
        <v>1298</v>
      </c>
      <c r="H406" s="227"/>
      <c r="I406" s="227"/>
      <c r="J406" s="227"/>
    </row>
    <row r="407" ht="20.25" customHeight="1">
      <c r="A407" s="102">
        <v>6.0</v>
      </c>
      <c r="B407" s="123"/>
      <c r="C407" s="123"/>
      <c r="D407" s="107"/>
      <c r="E407" s="107" t="s">
        <v>1299</v>
      </c>
      <c r="F407" s="108">
        <v>-100.0</v>
      </c>
      <c r="G407" s="108"/>
      <c r="H407" s="227"/>
      <c r="I407" s="227"/>
      <c r="J407" s="227"/>
    </row>
    <row r="408" ht="20.25" customHeight="1">
      <c r="A408" s="58"/>
      <c r="B408" s="149"/>
      <c r="C408" s="58"/>
      <c r="D408" s="58"/>
      <c r="E408" s="102" t="s">
        <v>144</v>
      </c>
      <c r="F408" s="150">
        <v>250.0</v>
      </c>
      <c r="G408" s="58"/>
      <c r="H408" s="227"/>
      <c r="I408" s="227"/>
      <c r="J408" s="227"/>
    </row>
    <row r="409" ht="20.25" customHeight="1">
      <c r="A409" s="58"/>
      <c r="B409" s="149"/>
      <c r="C409" s="58"/>
      <c r="D409" s="58"/>
      <c r="E409" s="102" t="s">
        <v>145</v>
      </c>
      <c r="F409" s="102">
        <f>250+40+60+630+35+1140+35+635+2900-150-100-2940</f>
        <v>2535</v>
      </c>
      <c r="G409" s="58"/>
      <c r="H409" s="227"/>
      <c r="I409" s="227"/>
      <c r="J409" s="227"/>
    </row>
    <row r="410" ht="20.25" customHeight="1">
      <c r="A410" s="58"/>
      <c r="B410" s="149"/>
      <c r="C410" s="58"/>
      <c r="D410" s="58"/>
      <c r="E410" s="102" t="s">
        <v>146</v>
      </c>
      <c r="F410" s="150">
        <v>395.0</v>
      </c>
      <c r="G410" s="58"/>
      <c r="H410" s="227"/>
      <c r="I410" s="227"/>
      <c r="J410" s="227"/>
    </row>
    <row r="411" ht="20.25" customHeight="1">
      <c r="A411" s="58"/>
      <c r="B411" s="149"/>
      <c r="C411" s="58"/>
      <c r="D411" s="58"/>
      <c r="E411" s="102" t="s">
        <v>147</v>
      </c>
      <c r="F411" s="150">
        <v>295.0</v>
      </c>
      <c r="G411" s="58"/>
      <c r="H411" s="227"/>
      <c r="I411" s="227"/>
      <c r="J411" s="227"/>
    </row>
    <row r="412" ht="20.25" customHeight="1">
      <c r="A412" s="58"/>
      <c r="B412" s="149"/>
      <c r="C412" s="58"/>
      <c r="D412" s="58"/>
      <c r="E412" s="102" t="s">
        <v>148</v>
      </c>
      <c r="F412" s="102">
        <f>F409-F411</f>
        <v>2240</v>
      </c>
      <c r="G412" s="58"/>
      <c r="H412" s="227"/>
      <c r="I412" s="227"/>
      <c r="J412" s="227"/>
    </row>
    <row r="413" ht="20.25" customHeight="1">
      <c r="A413" s="115"/>
      <c r="B413" s="113"/>
      <c r="C413" s="114"/>
      <c r="D413" s="114"/>
      <c r="E413" s="146"/>
      <c r="F413" s="146"/>
      <c r="G413" s="114"/>
      <c r="H413" s="227"/>
      <c r="I413" s="227"/>
      <c r="J413" s="227"/>
    </row>
    <row r="414" ht="20.25" customHeight="1">
      <c r="A414" s="102" t="s">
        <v>4</v>
      </c>
      <c r="B414" s="102" t="s">
        <v>5</v>
      </c>
      <c r="C414" s="102" t="s">
        <v>126</v>
      </c>
      <c r="D414" s="102" t="s">
        <v>6</v>
      </c>
      <c r="E414" s="102" t="s">
        <v>7</v>
      </c>
      <c r="F414" s="102" t="s">
        <v>127</v>
      </c>
      <c r="G414" s="102" t="s">
        <v>128</v>
      </c>
      <c r="H414" s="227"/>
      <c r="I414" s="227"/>
      <c r="J414" s="227"/>
    </row>
    <row r="415" ht="20.25" customHeight="1">
      <c r="A415" s="102">
        <v>1.0</v>
      </c>
      <c r="B415" s="147">
        <v>46110.0</v>
      </c>
      <c r="C415" s="148" t="s">
        <v>561</v>
      </c>
      <c r="D415" s="107" t="s">
        <v>65</v>
      </c>
      <c r="E415" s="107" t="s">
        <v>1300</v>
      </c>
      <c r="F415" s="108"/>
      <c r="G415" s="108"/>
      <c r="H415" s="227"/>
      <c r="I415" s="227"/>
      <c r="J415" s="227"/>
    </row>
    <row r="416" ht="20.25" customHeight="1">
      <c r="A416" s="102">
        <v>2.0</v>
      </c>
      <c r="B416" s="123"/>
      <c r="C416" s="123"/>
      <c r="D416" s="107"/>
      <c r="E416" s="107" t="s">
        <v>1301</v>
      </c>
      <c r="F416" s="108"/>
      <c r="G416" s="108"/>
      <c r="H416" s="227"/>
      <c r="I416" s="227"/>
      <c r="J416" s="227"/>
    </row>
    <row r="417" ht="20.25" customHeight="1">
      <c r="A417" s="102">
        <v>3.0</v>
      </c>
      <c r="B417" s="123"/>
      <c r="C417" s="123"/>
      <c r="D417" s="107"/>
      <c r="E417" s="107" t="s">
        <v>1302</v>
      </c>
      <c r="F417" s="108"/>
      <c r="G417" s="108"/>
      <c r="H417" s="227"/>
      <c r="I417" s="227"/>
      <c r="J417" s="227"/>
    </row>
    <row r="418" ht="20.25" customHeight="1">
      <c r="A418" s="102">
        <v>4.0</v>
      </c>
      <c r="B418" s="123"/>
      <c r="C418" s="123"/>
      <c r="D418" s="107"/>
      <c r="E418" s="107" t="s">
        <v>1303</v>
      </c>
      <c r="F418" s="108"/>
      <c r="G418" s="108"/>
      <c r="H418" s="227"/>
      <c r="I418" s="227"/>
      <c r="J418" s="227"/>
    </row>
    <row r="419" ht="20.25" customHeight="1">
      <c r="A419" s="102">
        <v>5.0</v>
      </c>
      <c r="B419" s="123"/>
      <c r="C419" s="123"/>
      <c r="D419" s="107"/>
      <c r="E419" s="107" t="s">
        <v>1304</v>
      </c>
      <c r="F419" s="108"/>
      <c r="G419" s="108"/>
      <c r="H419" s="227"/>
      <c r="I419" s="227"/>
      <c r="J419" s="227"/>
    </row>
    <row r="420" ht="20.25" customHeight="1">
      <c r="A420" s="102">
        <v>6.0</v>
      </c>
      <c r="B420" s="123"/>
      <c r="C420" s="123"/>
      <c r="D420" s="107"/>
      <c r="E420" s="107"/>
      <c r="F420" s="108"/>
      <c r="G420" s="108"/>
      <c r="H420" s="227"/>
      <c r="I420" s="227"/>
      <c r="J420" s="227"/>
    </row>
    <row r="421" ht="20.25" customHeight="1">
      <c r="A421" s="102">
        <v>7.0</v>
      </c>
      <c r="B421" s="123"/>
      <c r="C421" s="123"/>
      <c r="D421" s="107"/>
      <c r="E421" s="107" t="s">
        <v>1305</v>
      </c>
      <c r="F421" s="108"/>
      <c r="G421" s="108"/>
      <c r="H421" s="227"/>
      <c r="I421" s="227"/>
      <c r="J421" s="227"/>
    </row>
    <row r="422" ht="20.25" customHeight="1">
      <c r="A422" s="102">
        <v>8.0</v>
      </c>
      <c r="B422" s="123"/>
      <c r="C422" s="123"/>
      <c r="D422" s="107"/>
      <c r="E422" s="107" t="s">
        <v>1306</v>
      </c>
      <c r="F422" s="108"/>
      <c r="G422" s="108"/>
      <c r="H422" s="227"/>
      <c r="I422" s="227"/>
      <c r="J422" s="227"/>
    </row>
    <row r="423" ht="20.25" customHeight="1">
      <c r="A423" s="102">
        <v>9.0</v>
      </c>
      <c r="B423" s="123"/>
      <c r="C423" s="123"/>
      <c r="D423" s="107"/>
      <c r="E423" s="107"/>
      <c r="F423" s="108"/>
      <c r="G423" s="108"/>
      <c r="H423" s="227"/>
      <c r="I423" s="227"/>
      <c r="J423" s="227"/>
    </row>
    <row r="424" ht="20.25" customHeight="1">
      <c r="A424" s="102">
        <v>10.0</v>
      </c>
      <c r="B424" s="123"/>
      <c r="C424" s="123"/>
      <c r="D424" s="107"/>
      <c r="E424" s="107"/>
      <c r="F424" s="108"/>
      <c r="G424" s="108"/>
      <c r="H424" s="227"/>
      <c r="I424" s="227"/>
      <c r="J424" s="227"/>
    </row>
    <row r="425" ht="20.25" customHeight="1">
      <c r="A425" s="102">
        <v>11.0</v>
      </c>
      <c r="B425" s="123"/>
      <c r="C425" s="123"/>
      <c r="D425" s="107"/>
      <c r="E425" s="107"/>
      <c r="F425" s="108"/>
      <c r="G425" s="108"/>
      <c r="H425" s="227"/>
      <c r="I425" s="227"/>
      <c r="J425" s="227"/>
    </row>
    <row r="426" ht="20.25" customHeight="1">
      <c r="A426" s="102">
        <v>12.0</v>
      </c>
      <c r="B426" s="123"/>
      <c r="C426" s="123"/>
      <c r="D426" s="107"/>
      <c r="E426" s="107"/>
      <c r="F426" s="108"/>
      <c r="G426" s="108"/>
      <c r="H426" s="227"/>
      <c r="I426" s="227"/>
      <c r="J426" s="227"/>
    </row>
    <row r="427" ht="20.25" customHeight="1">
      <c r="A427" s="102">
        <v>13.0</v>
      </c>
      <c r="B427" s="123"/>
      <c r="C427" s="123"/>
      <c r="D427" s="107"/>
      <c r="E427" s="107"/>
      <c r="F427" s="108"/>
      <c r="G427" s="108"/>
      <c r="H427" s="227"/>
      <c r="I427" s="227"/>
      <c r="J427" s="227"/>
    </row>
    <row r="428" ht="20.25" customHeight="1">
      <c r="A428" s="102">
        <v>14.0</v>
      </c>
      <c r="B428" s="123"/>
      <c r="C428" s="123"/>
      <c r="D428" s="107"/>
      <c r="E428" s="107"/>
      <c r="F428" s="108"/>
      <c r="G428" s="108"/>
      <c r="H428" s="227"/>
      <c r="I428" s="227"/>
      <c r="J428" s="227"/>
    </row>
    <row r="429" ht="20.25" customHeight="1">
      <c r="A429" s="102">
        <v>15.0</v>
      </c>
      <c r="B429" s="123"/>
      <c r="C429" s="123"/>
      <c r="D429" s="107"/>
      <c r="E429" s="107"/>
      <c r="F429" s="108"/>
      <c r="G429" s="108"/>
      <c r="H429" s="227"/>
      <c r="I429" s="227"/>
      <c r="J429" s="227"/>
    </row>
    <row r="430" ht="20.25" customHeight="1">
      <c r="A430" s="58"/>
      <c r="B430" s="149"/>
      <c r="C430" s="58"/>
      <c r="D430" s="58"/>
      <c r="E430" s="102" t="s">
        <v>144</v>
      </c>
      <c r="F430" s="150">
        <v>500.0</v>
      </c>
      <c r="G430" s="58"/>
      <c r="H430" s="227"/>
      <c r="I430" s="227"/>
      <c r="J430" s="227"/>
    </row>
    <row r="431" ht="20.25" customHeight="1">
      <c r="A431" s="58"/>
      <c r="B431" s="149"/>
      <c r="C431" s="58"/>
      <c r="D431" s="58"/>
      <c r="E431" s="102" t="s">
        <v>145</v>
      </c>
      <c r="F431" s="150">
        <v>720.0</v>
      </c>
      <c r="G431" s="58"/>
      <c r="H431" s="227"/>
      <c r="I431" s="227"/>
      <c r="J431" s="227"/>
    </row>
    <row r="432" ht="20.25" customHeight="1">
      <c r="A432" s="58"/>
      <c r="B432" s="149"/>
      <c r="C432" s="58"/>
      <c r="D432" s="58"/>
      <c r="E432" s="102" t="s">
        <v>146</v>
      </c>
      <c r="F432" s="150">
        <v>345.0</v>
      </c>
      <c r="G432" s="58"/>
      <c r="H432" s="227"/>
      <c r="I432" s="227"/>
      <c r="J432" s="227"/>
    </row>
    <row r="433" ht="20.25" customHeight="1">
      <c r="A433" s="58"/>
      <c r="B433" s="149"/>
      <c r="C433" s="58"/>
      <c r="D433" s="58"/>
      <c r="E433" s="102" t="s">
        <v>147</v>
      </c>
      <c r="F433" s="150">
        <v>260.0</v>
      </c>
      <c r="G433" s="58"/>
      <c r="H433" s="227"/>
      <c r="I433" s="227"/>
      <c r="J433" s="227"/>
    </row>
    <row r="434" ht="20.25" customHeight="1">
      <c r="A434" s="58"/>
      <c r="B434" s="149"/>
      <c r="C434" s="58"/>
      <c r="D434" s="58"/>
      <c r="E434" s="102" t="s">
        <v>148</v>
      </c>
      <c r="F434" s="150">
        <v>460.0</v>
      </c>
      <c r="G434" s="58"/>
      <c r="H434" s="227"/>
      <c r="I434" s="227"/>
      <c r="J434" s="227"/>
    </row>
    <row r="435" ht="20.25" customHeight="1">
      <c r="A435" s="274"/>
      <c r="B435" s="275"/>
      <c r="C435" s="275"/>
      <c r="D435" s="275"/>
      <c r="E435" s="217"/>
      <c r="F435" s="216" t="s">
        <v>1288</v>
      </c>
      <c r="G435" s="275"/>
      <c r="H435" s="227"/>
      <c r="I435" s="227"/>
      <c r="J435" s="227"/>
    </row>
    <row r="436" ht="20.25" customHeight="1">
      <c r="A436" s="102" t="s">
        <v>4</v>
      </c>
      <c r="B436" s="102" t="s">
        <v>5</v>
      </c>
      <c r="C436" s="102" t="s">
        <v>126</v>
      </c>
      <c r="D436" s="102" t="s">
        <v>6</v>
      </c>
      <c r="E436" s="102" t="s">
        <v>7</v>
      </c>
      <c r="F436" s="102" t="s">
        <v>127</v>
      </c>
      <c r="G436" s="102" t="s">
        <v>128</v>
      </c>
      <c r="H436" s="227"/>
      <c r="I436" s="227"/>
      <c r="J436" s="227"/>
    </row>
    <row r="437" ht="20.25" customHeight="1">
      <c r="A437" s="102">
        <v>1.0</v>
      </c>
      <c r="B437" s="147">
        <v>46111.0</v>
      </c>
      <c r="C437" s="148" t="s">
        <v>149</v>
      </c>
      <c r="D437" s="107" t="s">
        <v>65</v>
      </c>
      <c r="E437" s="107" t="s">
        <v>187</v>
      </c>
      <c r="F437" s="108" t="s">
        <v>1307</v>
      </c>
      <c r="G437" s="108"/>
      <c r="H437" s="227"/>
      <c r="I437" s="227"/>
      <c r="J437" s="227"/>
    </row>
    <row r="438" ht="20.25" customHeight="1">
      <c r="A438" s="102">
        <v>2.0</v>
      </c>
      <c r="B438" s="123"/>
      <c r="C438" s="123"/>
      <c r="D438" s="107"/>
      <c r="E438" s="107" t="s">
        <v>1308</v>
      </c>
      <c r="F438" s="108">
        <v>35.0</v>
      </c>
      <c r="G438" s="108"/>
      <c r="H438" s="227"/>
      <c r="I438" s="227"/>
      <c r="J438" s="227"/>
    </row>
    <row r="439" ht="20.25" customHeight="1">
      <c r="A439" s="102">
        <v>3.0</v>
      </c>
      <c r="B439" s="123"/>
      <c r="C439" s="123"/>
      <c r="D439" s="107"/>
      <c r="E439" s="107" t="s">
        <v>156</v>
      </c>
      <c r="F439" s="111" t="s">
        <v>1309</v>
      </c>
      <c r="G439" s="108"/>
      <c r="H439" s="227"/>
      <c r="I439" s="227"/>
      <c r="J439" s="227"/>
    </row>
    <row r="440" ht="20.25" customHeight="1">
      <c r="A440" s="102">
        <v>4.0</v>
      </c>
      <c r="B440" s="123"/>
      <c r="C440" s="123"/>
      <c r="D440" s="107"/>
      <c r="E440" s="107" t="s">
        <v>1108</v>
      </c>
      <c r="F440" s="108">
        <v>35.0</v>
      </c>
      <c r="G440" s="108"/>
      <c r="H440" s="227"/>
      <c r="I440" s="227"/>
      <c r="J440" s="227"/>
    </row>
    <row r="441" ht="20.25" customHeight="1">
      <c r="A441" s="102">
        <v>5.0</v>
      </c>
      <c r="B441" s="123"/>
      <c r="C441" s="123"/>
      <c r="D441" s="107"/>
      <c r="E441" s="107" t="s">
        <v>1310</v>
      </c>
      <c r="F441" s="108">
        <v>35.0</v>
      </c>
      <c r="G441" s="108"/>
      <c r="H441" s="227"/>
      <c r="I441" s="227"/>
      <c r="J441" s="227"/>
    </row>
    <row r="442" ht="20.25" customHeight="1">
      <c r="A442" s="102">
        <v>6.0</v>
      </c>
      <c r="B442" s="123"/>
      <c r="C442" s="123"/>
      <c r="D442" s="107"/>
      <c r="E442" s="107" t="s">
        <v>1311</v>
      </c>
      <c r="F442" s="111" t="s">
        <v>1312</v>
      </c>
      <c r="G442" s="108"/>
      <c r="H442" s="227"/>
      <c r="I442" s="227"/>
      <c r="J442" s="227"/>
    </row>
    <row r="443" ht="20.25" customHeight="1">
      <c r="A443" s="102">
        <v>7.0</v>
      </c>
      <c r="B443" s="123"/>
      <c r="C443" s="123"/>
      <c r="D443" s="107"/>
      <c r="E443" s="107" t="s">
        <v>1313</v>
      </c>
      <c r="F443" s="108">
        <v>70.0</v>
      </c>
      <c r="G443" s="108"/>
      <c r="H443" s="227"/>
      <c r="I443" s="227"/>
      <c r="J443" s="227"/>
    </row>
    <row r="444" ht="20.25" customHeight="1">
      <c r="A444" s="58"/>
      <c r="B444" s="149"/>
      <c r="C444" s="58"/>
      <c r="D444" s="58"/>
      <c r="E444" s="102" t="s">
        <v>144</v>
      </c>
      <c r="F444" s="150">
        <v>1000.0</v>
      </c>
      <c r="G444" s="212" t="s">
        <v>1314</v>
      </c>
      <c r="H444" s="227"/>
      <c r="I444" s="227"/>
      <c r="J444" s="227"/>
    </row>
    <row r="445" ht="20.25" customHeight="1">
      <c r="A445" s="58"/>
      <c r="B445" s="149"/>
      <c r="C445" s="58"/>
      <c r="D445" s="58"/>
      <c r="E445" s="102" t="s">
        <v>145</v>
      </c>
      <c r="F445" s="150">
        <f>1000+35-200+35-290+35+35+70-150-310</f>
        <v>260</v>
      </c>
      <c r="G445" s="58"/>
      <c r="H445" s="227"/>
      <c r="I445" s="227"/>
      <c r="J445" s="227"/>
    </row>
    <row r="446" ht="20.25" customHeight="1">
      <c r="A446" s="58"/>
      <c r="B446" s="149"/>
      <c r="C446" s="58"/>
      <c r="D446" s="58"/>
      <c r="E446" s="102" t="s">
        <v>146</v>
      </c>
      <c r="F446" s="150">
        <f>35+35+35+35+35+35+35+35</f>
        <v>280</v>
      </c>
      <c r="G446" s="58"/>
      <c r="H446" s="227"/>
      <c r="I446" s="227"/>
      <c r="J446" s="227"/>
    </row>
    <row r="447" ht="20.25" customHeight="1">
      <c r="A447" s="58"/>
      <c r="B447" s="149"/>
      <c r="C447" s="58"/>
      <c r="D447" s="58"/>
      <c r="E447" s="102" t="s">
        <v>147</v>
      </c>
      <c r="F447" s="150">
        <f>F446*75/100</f>
        <v>210</v>
      </c>
      <c r="G447" s="58"/>
      <c r="H447" s="227"/>
      <c r="I447" s="227"/>
      <c r="J447" s="227"/>
    </row>
    <row r="448" ht="20.25" customHeight="1">
      <c r="A448" s="58"/>
      <c r="B448" s="149"/>
      <c r="C448" s="58"/>
      <c r="D448" s="58"/>
      <c r="E448" s="102" t="s">
        <v>148</v>
      </c>
      <c r="F448" s="150">
        <f>F445-F447</f>
        <v>50</v>
      </c>
      <c r="G448" s="58"/>
      <c r="H448" s="227"/>
      <c r="I448" s="227"/>
      <c r="J448" s="227"/>
    </row>
    <row r="449" ht="20.25" customHeight="1">
      <c r="A449" s="102">
        <v>1.0</v>
      </c>
      <c r="B449" s="147">
        <v>46112.0</v>
      </c>
      <c r="C449" s="148" t="s">
        <v>169</v>
      </c>
      <c r="D449" s="107" t="s">
        <v>65</v>
      </c>
      <c r="E449" s="107" t="s">
        <v>1315</v>
      </c>
      <c r="F449" s="108"/>
      <c r="G449" s="108"/>
      <c r="H449" s="227"/>
      <c r="I449" s="227"/>
      <c r="J449" s="227"/>
    </row>
    <row r="450" ht="20.25" customHeight="1">
      <c r="A450" s="102">
        <v>2.0</v>
      </c>
      <c r="B450" s="123"/>
      <c r="C450" s="123"/>
      <c r="D450" s="107"/>
      <c r="E450" s="107" t="s">
        <v>1316</v>
      </c>
      <c r="F450" s="108"/>
      <c r="G450" s="108"/>
      <c r="H450" s="227"/>
      <c r="I450" s="227"/>
      <c r="J450" s="227"/>
    </row>
    <row r="451" ht="20.25" customHeight="1">
      <c r="A451" s="102">
        <v>3.0</v>
      </c>
      <c r="B451" s="123"/>
      <c r="C451" s="123"/>
      <c r="D451" s="107"/>
      <c r="E451" s="107" t="s">
        <v>1317</v>
      </c>
      <c r="F451" s="111"/>
      <c r="G451" s="108"/>
      <c r="H451" s="227"/>
      <c r="I451" s="227"/>
      <c r="J451" s="227"/>
    </row>
    <row r="452" ht="20.25" customHeight="1">
      <c r="A452" s="102">
        <v>4.0</v>
      </c>
      <c r="B452" s="123"/>
      <c r="C452" s="123"/>
      <c r="D452" s="107"/>
      <c r="E452" s="107" t="s">
        <v>1318</v>
      </c>
      <c r="F452" s="108"/>
      <c r="G452" s="108"/>
      <c r="H452" s="227"/>
      <c r="I452" s="227"/>
      <c r="J452" s="227"/>
    </row>
    <row r="453" ht="20.25" customHeight="1">
      <c r="A453" s="102">
        <v>5.0</v>
      </c>
      <c r="B453" s="123"/>
      <c r="C453" s="123"/>
      <c r="D453" s="107"/>
      <c r="E453" s="107" t="s">
        <v>1319</v>
      </c>
      <c r="F453" s="108"/>
      <c r="G453" s="108"/>
      <c r="H453" s="227"/>
      <c r="I453" s="227"/>
      <c r="J453" s="227"/>
    </row>
    <row r="454" ht="20.25" customHeight="1">
      <c r="A454" s="102">
        <v>6.0</v>
      </c>
      <c r="B454" s="123"/>
      <c r="C454" s="123"/>
      <c r="D454" s="107"/>
      <c r="E454" s="107" t="s">
        <v>1320</v>
      </c>
      <c r="F454" s="111"/>
      <c r="G454" s="108"/>
      <c r="H454" s="227"/>
      <c r="I454" s="227"/>
      <c r="J454" s="227"/>
    </row>
    <row r="455" ht="20.25" customHeight="1">
      <c r="A455" s="102">
        <v>7.0</v>
      </c>
      <c r="B455" s="123"/>
      <c r="C455" s="123"/>
      <c r="D455" s="107"/>
      <c r="E455" s="107"/>
      <c r="F455" s="108"/>
      <c r="G455" s="108"/>
      <c r="H455" s="227"/>
      <c r="I455" s="227"/>
      <c r="J455" s="227"/>
    </row>
    <row r="456" ht="20.25" customHeight="1">
      <c r="A456" s="58"/>
      <c r="B456" s="149"/>
      <c r="C456" s="58"/>
      <c r="D456" s="58"/>
      <c r="E456" s="102" t="s">
        <v>144</v>
      </c>
      <c r="F456" s="150">
        <v>1000.0</v>
      </c>
      <c r="G456" s="212"/>
      <c r="H456" s="227"/>
      <c r="I456" s="227"/>
      <c r="J456" s="227"/>
    </row>
    <row r="457" ht="20.25" customHeight="1">
      <c r="A457" s="58"/>
      <c r="B457" s="149"/>
      <c r="C457" s="58"/>
      <c r="D457" s="58"/>
      <c r="E457" s="102" t="s">
        <v>145</v>
      </c>
      <c r="F457" s="150">
        <v>1390.0</v>
      </c>
      <c r="G457" s="58"/>
      <c r="H457" s="227"/>
      <c r="I457" s="227"/>
      <c r="J457" s="227"/>
    </row>
    <row r="458" ht="20.25" customHeight="1">
      <c r="A458" s="58"/>
      <c r="B458" s="149"/>
      <c r="C458" s="58"/>
      <c r="D458" s="58"/>
      <c r="E458" s="102" t="s">
        <v>146</v>
      </c>
      <c r="F458" s="150">
        <v>285.0</v>
      </c>
      <c r="G458" s="58"/>
      <c r="H458" s="227"/>
      <c r="I458" s="227"/>
      <c r="J458" s="227"/>
    </row>
    <row r="459" ht="20.25" customHeight="1">
      <c r="A459" s="58"/>
      <c r="B459" s="149"/>
      <c r="C459" s="58"/>
      <c r="D459" s="58"/>
      <c r="E459" s="102" t="s">
        <v>147</v>
      </c>
      <c r="F459" s="150">
        <v>215.0</v>
      </c>
      <c r="G459" s="58"/>
      <c r="H459" s="227"/>
      <c r="I459" s="227"/>
      <c r="J459" s="227"/>
    </row>
    <row r="460" ht="20.25" customHeight="1">
      <c r="A460" s="58"/>
      <c r="B460" s="149"/>
      <c r="C460" s="58"/>
      <c r="D460" s="58"/>
      <c r="E460" s="102" t="s">
        <v>148</v>
      </c>
      <c r="F460" s="150">
        <v>1175.0</v>
      </c>
      <c r="G460" s="58"/>
      <c r="H460" s="227"/>
      <c r="I460" s="227"/>
      <c r="J460" s="227"/>
    </row>
    <row r="461" ht="20.25" customHeight="1">
      <c r="A461" s="102">
        <v>1.0</v>
      </c>
      <c r="B461" s="147">
        <v>46113.0</v>
      </c>
      <c r="C461" s="148" t="s">
        <v>588</v>
      </c>
      <c r="D461" s="107" t="s">
        <v>65</v>
      </c>
      <c r="E461" s="107" t="s">
        <v>1321</v>
      </c>
      <c r="F461" s="108"/>
      <c r="G461" s="108"/>
      <c r="H461" s="227"/>
      <c r="I461" s="227"/>
      <c r="J461" s="227"/>
    </row>
    <row r="462" ht="20.25" customHeight="1">
      <c r="A462" s="102">
        <v>2.0</v>
      </c>
      <c r="B462" s="123"/>
      <c r="C462" s="123"/>
      <c r="D462" s="107"/>
      <c r="E462" s="107" t="s">
        <v>1322</v>
      </c>
      <c r="F462" s="111" t="s">
        <v>1323</v>
      </c>
      <c r="G462" s="108"/>
      <c r="H462" s="227"/>
      <c r="I462" s="227"/>
      <c r="J462" s="227"/>
    </row>
    <row r="463" ht="20.25" customHeight="1">
      <c r="A463" s="102">
        <v>3.0</v>
      </c>
      <c r="B463" s="123"/>
      <c r="C463" s="123"/>
      <c r="D463" s="107"/>
      <c r="E463" s="107" t="s">
        <v>1324</v>
      </c>
      <c r="F463" s="111"/>
      <c r="G463" s="108"/>
      <c r="H463" s="227"/>
      <c r="I463" s="227"/>
      <c r="J463" s="227"/>
    </row>
    <row r="464" ht="20.25" customHeight="1">
      <c r="A464" s="102">
        <v>4.0</v>
      </c>
      <c r="B464" s="123"/>
      <c r="C464" s="123"/>
      <c r="D464" s="107"/>
      <c r="E464" s="107"/>
      <c r="F464" s="108"/>
      <c r="G464" s="108"/>
      <c r="H464" s="227"/>
      <c r="I464" s="227"/>
      <c r="J464" s="227"/>
    </row>
    <row r="465" ht="20.25" customHeight="1">
      <c r="A465" s="102">
        <v>5.0</v>
      </c>
      <c r="B465" s="123"/>
      <c r="C465" s="123"/>
      <c r="D465" s="107"/>
      <c r="E465" s="107"/>
      <c r="F465" s="108"/>
      <c r="G465" s="108"/>
      <c r="H465" s="227"/>
      <c r="I465" s="227"/>
      <c r="J465" s="227"/>
    </row>
    <row r="466" ht="20.25" customHeight="1">
      <c r="A466" s="102">
        <v>6.0</v>
      </c>
      <c r="B466" s="123"/>
      <c r="C466" s="123"/>
      <c r="D466" s="107"/>
      <c r="E466" s="107"/>
      <c r="F466" s="111"/>
      <c r="G466" s="108"/>
      <c r="H466" s="227"/>
      <c r="I466" s="227"/>
      <c r="J466" s="227"/>
    </row>
    <row r="467" ht="20.25" customHeight="1">
      <c r="A467" s="102">
        <v>7.0</v>
      </c>
      <c r="B467" s="123"/>
      <c r="C467" s="123"/>
      <c r="D467" s="107"/>
      <c r="E467" s="107"/>
      <c r="F467" s="108"/>
      <c r="G467" s="108"/>
      <c r="H467" s="227"/>
      <c r="I467" s="227"/>
      <c r="J467" s="227"/>
    </row>
    <row r="468" ht="20.25" customHeight="1">
      <c r="A468" s="58"/>
      <c r="B468" s="149"/>
      <c r="C468" s="58"/>
      <c r="D468" s="58"/>
      <c r="E468" s="102" t="s">
        <v>144</v>
      </c>
      <c r="F468" s="150">
        <v>1175.0</v>
      </c>
      <c r="G468" s="212"/>
      <c r="H468" s="227"/>
      <c r="I468" s="227"/>
      <c r="J468" s="227"/>
    </row>
    <row r="469" ht="20.25" customHeight="1">
      <c r="A469" s="58"/>
      <c r="B469" s="149"/>
      <c r="C469" s="58"/>
      <c r="D469" s="58"/>
      <c r="E469" s="102" t="s">
        <v>145</v>
      </c>
      <c r="F469" s="150">
        <v>1175.0</v>
      </c>
      <c r="G469" s="58"/>
      <c r="H469" s="227"/>
      <c r="I469" s="227"/>
      <c r="J469" s="227"/>
    </row>
    <row r="470" ht="20.25" customHeight="1">
      <c r="A470" s="58"/>
      <c r="B470" s="149"/>
      <c r="C470" s="58"/>
      <c r="D470" s="58"/>
      <c r="E470" s="102" t="s">
        <v>146</v>
      </c>
      <c r="F470" s="150"/>
      <c r="G470" s="58"/>
      <c r="H470" s="227"/>
      <c r="I470" s="227"/>
      <c r="J470" s="227"/>
    </row>
    <row r="471" ht="20.25" customHeight="1">
      <c r="A471" s="58"/>
      <c r="B471" s="149"/>
      <c r="C471" s="58"/>
      <c r="D471" s="58"/>
      <c r="E471" s="102" t="s">
        <v>147</v>
      </c>
      <c r="F471" s="150">
        <v>80.0</v>
      </c>
      <c r="G471" s="58"/>
      <c r="H471" s="227"/>
      <c r="I471" s="227"/>
      <c r="J471" s="227"/>
    </row>
    <row r="472" ht="20.25" customHeight="1">
      <c r="A472" s="58"/>
      <c r="B472" s="149"/>
      <c r="C472" s="58"/>
      <c r="D472" s="58"/>
      <c r="E472" s="102" t="s">
        <v>148</v>
      </c>
      <c r="F472" s="150">
        <v>1095.0</v>
      </c>
      <c r="G472" s="58"/>
      <c r="H472" s="227"/>
      <c r="I472" s="227"/>
      <c r="J472" s="227"/>
    </row>
    <row r="473" ht="20.25" customHeight="1">
      <c r="A473" s="102">
        <v>1.0</v>
      </c>
      <c r="B473" s="147">
        <v>46114.0</v>
      </c>
      <c r="C473" s="148" t="s">
        <v>211</v>
      </c>
      <c r="D473" s="107" t="s">
        <v>65</v>
      </c>
      <c r="E473" s="107" t="s">
        <v>1325</v>
      </c>
      <c r="F473" s="108">
        <v>8.0</v>
      </c>
      <c r="G473" s="108"/>
      <c r="H473" s="227"/>
      <c r="I473" s="227"/>
      <c r="J473" s="227"/>
    </row>
    <row r="474" ht="20.25" customHeight="1">
      <c r="A474" s="102">
        <v>2.0</v>
      </c>
      <c r="B474" s="123"/>
      <c r="C474" s="123"/>
      <c r="D474" s="107"/>
      <c r="E474" s="107" t="s">
        <v>1326</v>
      </c>
      <c r="F474" s="111" t="s">
        <v>1327</v>
      </c>
      <c r="G474" s="111" t="s">
        <v>1328</v>
      </c>
      <c r="H474" s="227"/>
      <c r="I474" s="227"/>
      <c r="J474" s="227"/>
    </row>
    <row r="475" ht="20.25" customHeight="1">
      <c r="A475" s="102">
        <v>3.0</v>
      </c>
      <c r="B475" s="123"/>
      <c r="C475" s="123"/>
      <c r="D475" s="107"/>
      <c r="E475" s="107" t="s">
        <v>1329</v>
      </c>
      <c r="F475" s="111"/>
      <c r="G475" s="108"/>
      <c r="H475" s="227"/>
      <c r="I475" s="227"/>
      <c r="J475" s="227"/>
    </row>
    <row r="476" ht="20.25" customHeight="1">
      <c r="A476" s="102">
        <v>4.0</v>
      </c>
      <c r="B476" s="123"/>
      <c r="C476" s="123"/>
      <c r="D476" s="107"/>
      <c r="E476" s="107" t="s">
        <v>1330</v>
      </c>
      <c r="F476" s="108">
        <v>40.0</v>
      </c>
      <c r="G476" s="108"/>
      <c r="H476" s="227"/>
      <c r="I476" s="227"/>
      <c r="J476" s="227"/>
    </row>
    <row r="477" ht="20.25" customHeight="1">
      <c r="A477" s="102">
        <v>5.0</v>
      </c>
      <c r="B477" s="123"/>
      <c r="C477" s="123"/>
      <c r="D477" s="107"/>
      <c r="E477" s="107" t="s">
        <v>933</v>
      </c>
      <c r="F477" s="108">
        <v>35.0</v>
      </c>
      <c r="G477" s="108"/>
      <c r="H477" s="227"/>
      <c r="I477" s="227"/>
      <c r="J477" s="227"/>
    </row>
    <row r="478" ht="20.25" customHeight="1">
      <c r="A478" s="102">
        <v>6.0</v>
      </c>
      <c r="B478" s="123"/>
      <c r="C478" s="123"/>
      <c r="D478" s="107"/>
      <c r="E478" s="107" t="s">
        <v>1331</v>
      </c>
      <c r="F478" s="108">
        <v>70.0</v>
      </c>
      <c r="G478" s="108"/>
      <c r="H478" s="227"/>
      <c r="I478" s="227"/>
      <c r="J478" s="227"/>
    </row>
    <row r="479" ht="20.25" customHeight="1">
      <c r="A479" s="102">
        <v>7.0</v>
      </c>
      <c r="B479" s="123"/>
      <c r="C479" s="123"/>
      <c r="D479" s="107"/>
      <c r="E479" s="107" t="s">
        <v>1332</v>
      </c>
      <c r="F479" s="108">
        <v>40.0</v>
      </c>
      <c r="G479" s="108"/>
      <c r="H479" s="227"/>
      <c r="I479" s="227"/>
      <c r="J479" s="227"/>
    </row>
    <row r="480" ht="20.25" customHeight="1">
      <c r="A480" s="150">
        <v>8.0</v>
      </c>
      <c r="B480" s="123"/>
      <c r="C480" s="123"/>
      <c r="D480" s="107"/>
      <c r="E480" s="276" t="s">
        <v>1333</v>
      </c>
      <c r="F480" s="277">
        <v>50.0</v>
      </c>
      <c r="H480" s="227"/>
      <c r="I480" s="227"/>
      <c r="J480" s="227"/>
    </row>
    <row r="481" ht="20.25" customHeight="1">
      <c r="A481" s="150">
        <v>9.0</v>
      </c>
      <c r="B481" s="123"/>
      <c r="C481" s="123"/>
      <c r="D481" s="107"/>
      <c r="E481" s="107"/>
      <c r="F481" s="108"/>
      <c r="G481" s="108"/>
      <c r="H481" s="227"/>
      <c r="I481" s="227"/>
      <c r="J481" s="227"/>
    </row>
    <row r="482" ht="20.25" customHeight="1">
      <c r="A482" s="150">
        <v>10.0</v>
      </c>
      <c r="B482" s="123"/>
      <c r="C482" s="123"/>
      <c r="D482" s="107"/>
      <c r="E482" s="107"/>
      <c r="H482" s="227"/>
      <c r="I482" s="227"/>
      <c r="J482" s="227"/>
    </row>
    <row r="483" ht="20.25" customHeight="1">
      <c r="A483" s="58"/>
      <c r="B483" s="149"/>
      <c r="C483" s="58"/>
      <c r="D483" s="58"/>
      <c r="E483" s="102" t="s">
        <v>144</v>
      </c>
      <c r="F483" s="150">
        <v>700.0</v>
      </c>
      <c r="G483" s="212"/>
      <c r="H483" s="227"/>
      <c r="I483" s="227"/>
      <c r="J483" s="227"/>
    </row>
    <row r="484" ht="20.25" customHeight="1">
      <c r="A484" s="58"/>
      <c r="B484" s="149"/>
      <c r="C484" s="58"/>
      <c r="D484" s="58"/>
      <c r="E484" s="102" t="s">
        <v>145</v>
      </c>
      <c r="F484" s="150">
        <v>1615.0</v>
      </c>
      <c r="G484" s="276" t="s">
        <v>1334</v>
      </c>
      <c r="H484" s="227"/>
      <c r="I484" s="227"/>
      <c r="J484" s="227"/>
    </row>
    <row r="485" ht="20.25" customHeight="1">
      <c r="A485" s="274"/>
      <c r="B485" s="275"/>
      <c r="C485" s="275"/>
      <c r="D485" s="275"/>
      <c r="E485" s="102" t="s">
        <v>146</v>
      </c>
      <c r="F485" s="150">
        <v>630.0</v>
      </c>
      <c r="G485" s="108"/>
      <c r="H485" s="227"/>
      <c r="I485" s="227"/>
      <c r="J485" s="227"/>
    </row>
    <row r="486" ht="20.25" customHeight="1">
      <c r="A486" s="274"/>
      <c r="B486" s="275"/>
      <c r="C486" s="275"/>
      <c r="D486" s="275"/>
      <c r="E486" s="102" t="s">
        <v>147</v>
      </c>
      <c r="F486" s="150">
        <v>470.0</v>
      </c>
      <c r="G486" s="58"/>
      <c r="H486" s="227"/>
      <c r="I486" s="227"/>
      <c r="J486" s="227"/>
    </row>
    <row r="487" ht="20.25" customHeight="1">
      <c r="A487" s="274"/>
      <c r="B487" s="275"/>
      <c r="C487" s="275"/>
      <c r="D487" s="275"/>
      <c r="E487" s="102" t="s">
        <v>148</v>
      </c>
      <c r="F487" s="151" t="s">
        <v>1335</v>
      </c>
      <c r="G487" s="58"/>
      <c r="H487" s="227"/>
      <c r="I487" s="227"/>
      <c r="J487" s="227"/>
    </row>
    <row r="488" ht="20.25" customHeight="1">
      <c r="A488" s="274"/>
      <c r="B488" s="275"/>
      <c r="C488" s="275"/>
      <c r="D488" s="275"/>
      <c r="E488" s="217"/>
      <c r="F488" s="216" t="s">
        <v>629</v>
      </c>
      <c r="G488" s="275"/>
      <c r="H488" s="227"/>
      <c r="I488" s="227"/>
      <c r="J488" s="227"/>
    </row>
    <row r="489" ht="20.25" customHeight="1">
      <c r="A489" s="265"/>
      <c r="B489" s="227"/>
      <c r="C489" s="227"/>
      <c r="D489" s="227"/>
      <c r="E489" s="227"/>
      <c r="F489" s="227"/>
      <c r="G489" s="227"/>
      <c r="H489" s="227"/>
      <c r="I489" s="227"/>
      <c r="J489" s="227"/>
    </row>
    <row r="490" ht="20.25" customHeight="1">
      <c r="A490" s="102">
        <v>1.0</v>
      </c>
      <c r="B490" s="147">
        <v>46116.0</v>
      </c>
      <c r="C490" s="148" t="s">
        <v>341</v>
      </c>
      <c r="D490" s="107" t="s">
        <v>65</v>
      </c>
      <c r="E490" s="107" t="s">
        <v>766</v>
      </c>
      <c r="F490" s="108">
        <v>50.0</v>
      </c>
      <c r="G490" s="108"/>
      <c r="H490" s="227"/>
      <c r="I490" s="227"/>
      <c r="J490" s="227"/>
    </row>
    <row r="491" ht="20.25" customHeight="1">
      <c r="A491" s="102">
        <v>2.0</v>
      </c>
      <c r="B491" s="123"/>
      <c r="C491" s="123"/>
      <c r="D491" s="107"/>
      <c r="E491" s="107" t="s">
        <v>1336</v>
      </c>
      <c r="F491" s="111" t="s">
        <v>1337</v>
      </c>
      <c r="G491" s="111" t="s">
        <v>1338</v>
      </c>
      <c r="H491" s="227"/>
      <c r="I491" s="227"/>
      <c r="J491" s="227"/>
    </row>
    <row r="492" ht="20.25" customHeight="1">
      <c r="A492" s="102">
        <v>3.0</v>
      </c>
      <c r="B492" s="123"/>
      <c r="C492" s="123"/>
      <c r="D492" s="107"/>
      <c r="E492" s="107" t="s">
        <v>271</v>
      </c>
      <c r="F492" s="108">
        <v>35.0</v>
      </c>
      <c r="G492" s="108"/>
      <c r="H492" s="227"/>
      <c r="I492" s="227"/>
      <c r="J492" s="227"/>
    </row>
    <row r="493" ht="20.25" customHeight="1">
      <c r="A493" s="102">
        <v>4.0</v>
      </c>
      <c r="B493" s="123"/>
      <c r="C493" s="123"/>
      <c r="D493" s="107"/>
      <c r="E493" s="107" t="s">
        <v>27</v>
      </c>
      <c r="F493" s="111" t="s">
        <v>269</v>
      </c>
      <c r="G493" s="108"/>
      <c r="H493" s="227"/>
      <c r="I493" s="227"/>
      <c r="J493" s="227"/>
    </row>
    <row r="494" ht="20.25" customHeight="1">
      <c r="A494" s="102">
        <v>5.0</v>
      </c>
      <c r="B494" s="123"/>
      <c r="C494" s="123"/>
      <c r="D494" s="107"/>
      <c r="E494" s="107" t="s">
        <v>766</v>
      </c>
      <c r="F494" s="108">
        <v>50.0</v>
      </c>
      <c r="G494" s="108"/>
      <c r="H494" s="227"/>
      <c r="I494" s="227"/>
      <c r="J494" s="227"/>
    </row>
    <row r="495" ht="20.25" customHeight="1">
      <c r="A495" s="102">
        <v>6.0</v>
      </c>
      <c r="B495" s="123"/>
      <c r="C495" s="123"/>
      <c r="D495" s="107"/>
      <c r="E495" s="107"/>
      <c r="F495" s="108"/>
      <c r="G495" s="108"/>
      <c r="H495" s="227"/>
      <c r="I495" s="227"/>
      <c r="J495" s="227"/>
    </row>
    <row r="496" ht="20.25" customHeight="1">
      <c r="A496" s="102">
        <v>7.0</v>
      </c>
      <c r="B496" s="123"/>
      <c r="C496" s="123"/>
      <c r="D496" s="107"/>
      <c r="E496" s="107"/>
      <c r="F496" s="108"/>
      <c r="G496" s="108"/>
      <c r="H496" s="227"/>
      <c r="I496" s="227"/>
      <c r="J496" s="227"/>
    </row>
    <row r="497" ht="20.25" customHeight="1">
      <c r="A497" s="150">
        <v>8.0</v>
      </c>
      <c r="B497" s="123"/>
      <c r="C497" s="123"/>
      <c r="D497" s="107"/>
      <c r="E497" s="276"/>
      <c r="F497" s="276"/>
      <c r="H497" s="227"/>
      <c r="I497" s="227"/>
      <c r="J497" s="227"/>
    </row>
    <row r="498" ht="20.25" customHeight="1">
      <c r="A498" s="150">
        <v>9.0</v>
      </c>
      <c r="B498" s="123"/>
      <c r="C498" s="123"/>
      <c r="D498" s="107"/>
      <c r="E498" s="107"/>
      <c r="F498" s="108"/>
      <c r="G498" s="108"/>
      <c r="H498" s="227"/>
      <c r="I498" s="227"/>
      <c r="J498" s="227"/>
    </row>
    <row r="499" ht="20.25" customHeight="1">
      <c r="A499" s="150">
        <v>10.0</v>
      </c>
      <c r="B499" s="123"/>
      <c r="C499" s="123"/>
      <c r="D499" s="107"/>
      <c r="E499" s="107"/>
      <c r="H499" s="227"/>
      <c r="I499" s="227"/>
      <c r="J499" s="227"/>
    </row>
    <row r="500" ht="20.25" customHeight="1">
      <c r="A500" s="58"/>
      <c r="B500" s="149"/>
      <c r="C500" s="58"/>
      <c r="D500" s="58"/>
      <c r="E500" s="102" t="s">
        <v>144</v>
      </c>
      <c r="F500" s="150">
        <v>500.0</v>
      </c>
      <c r="G500" s="212"/>
      <c r="H500" s="227"/>
      <c r="I500" s="227"/>
      <c r="J500" s="227"/>
    </row>
    <row r="501" ht="20.25" customHeight="1">
      <c r="A501" s="58"/>
      <c r="B501" s="149"/>
      <c r="C501" s="58"/>
      <c r="D501" s="58"/>
      <c r="E501" s="102" t="s">
        <v>145</v>
      </c>
      <c r="F501" s="150">
        <v>635.0</v>
      </c>
      <c r="G501" s="58"/>
      <c r="H501" s="227"/>
      <c r="I501" s="227"/>
      <c r="J501" s="227"/>
    </row>
    <row r="502" ht="20.25" customHeight="1">
      <c r="A502" s="274"/>
      <c r="B502" s="275"/>
      <c r="C502" s="275"/>
      <c r="D502" s="275"/>
      <c r="E502" s="102" t="s">
        <v>146</v>
      </c>
      <c r="F502" s="150">
        <v>230.0</v>
      </c>
      <c r="G502" s="58"/>
      <c r="H502" s="227"/>
      <c r="I502" s="227"/>
      <c r="J502" s="227"/>
    </row>
    <row r="503" ht="20.25" customHeight="1">
      <c r="A503" s="274"/>
      <c r="B503" s="275"/>
      <c r="C503" s="275"/>
      <c r="D503" s="275"/>
      <c r="E503" s="102" t="s">
        <v>147</v>
      </c>
      <c r="F503" s="150">
        <v>170.0</v>
      </c>
      <c r="G503" s="58"/>
      <c r="H503" s="227"/>
      <c r="I503" s="227"/>
      <c r="J503" s="227"/>
    </row>
    <row r="504" ht="20.25" customHeight="1">
      <c r="A504" s="274"/>
      <c r="B504" s="275"/>
      <c r="C504" s="275"/>
      <c r="D504" s="275"/>
      <c r="E504" s="102" t="s">
        <v>148</v>
      </c>
      <c r="F504" s="150">
        <v>465.0</v>
      </c>
      <c r="G504" s="58"/>
      <c r="H504" s="227"/>
      <c r="I504" s="227"/>
      <c r="J504" s="227"/>
    </row>
    <row r="505" ht="20.25" customHeight="1">
      <c r="A505" s="265"/>
      <c r="B505" s="227"/>
      <c r="C505" s="227"/>
      <c r="D505" s="227"/>
      <c r="E505" s="227"/>
      <c r="F505" s="227"/>
      <c r="G505" s="227"/>
      <c r="H505" s="227"/>
      <c r="I505" s="227"/>
      <c r="J505" s="227"/>
    </row>
    <row r="506" ht="20.25" customHeight="1">
      <c r="A506" s="265"/>
      <c r="B506" s="227"/>
      <c r="C506" s="227"/>
      <c r="D506" s="227"/>
      <c r="E506" s="227"/>
      <c r="F506" s="227"/>
      <c r="G506" s="227"/>
      <c r="H506" s="227"/>
      <c r="I506" s="227"/>
      <c r="J506" s="227"/>
    </row>
    <row r="507" ht="20.25" customHeight="1">
      <c r="A507" s="102">
        <v>1.0</v>
      </c>
      <c r="B507" s="147">
        <v>46117.0</v>
      </c>
      <c r="C507" s="148" t="s">
        <v>561</v>
      </c>
      <c r="D507" s="107" t="s">
        <v>65</v>
      </c>
      <c r="E507" s="107" t="s">
        <v>200</v>
      </c>
      <c r="F507" s="108" t="s">
        <v>1339</v>
      </c>
      <c r="G507" s="108"/>
      <c r="H507" s="227"/>
      <c r="I507" s="227"/>
      <c r="J507" s="227"/>
    </row>
    <row r="508" ht="20.25" customHeight="1">
      <c r="A508" s="102">
        <v>2.0</v>
      </c>
      <c r="B508" s="123"/>
      <c r="C508" s="123"/>
      <c r="D508" s="107"/>
      <c r="E508" s="107"/>
      <c r="F508" s="108" t="s">
        <v>1340</v>
      </c>
      <c r="G508" s="111"/>
      <c r="H508" s="227"/>
      <c r="I508" s="227"/>
      <c r="J508" s="227"/>
    </row>
    <row r="509" ht="20.25" customHeight="1">
      <c r="A509" s="102">
        <v>3.0</v>
      </c>
      <c r="B509" s="123"/>
      <c r="C509" s="123"/>
      <c r="D509" s="107"/>
      <c r="E509" s="107" t="s">
        <v>42</v>
      </c>
      <c r="F509" s="108">
        <v>50.0</v>
      </c>
      <c r="G509" s="108"/>
      <c r="H509" s="227"/>
      <c r="I509" s="227"/>
      <c r="J509" s="227"/>
    </row>
    <row r="510" ht="20.25" customHeight="1">
      <c r="A510" s="102">
        <v>4.0</v>
      </c>
      <c r="B510" s="123"/>
      <c r="C510" s="123"/>
      <c r="D510" s="107"/>
      <c r="E510" s="107" t="s">
        <v>1341</v>
      </c>
      <c r="F510" s="111"/>
      <c r="G510" s="108"/>
      <c r="H510" s="227"/>
      <c r="I510" s="227"/>
      <c r="J510" s="227"/>
    </row>
    <row r="511" ht="20.25" customHeight="1">
      <c r="A511" s="102">
        <v>5.0</v>
      </c>
      <c r="B511" s="123"/>
      <c r="C511" s="123"/>
      <c r="D511" s="107"/>
      <c r="E511" s="107"/>
      <c r="F511" s="108"/>
      <c r="G511" s="108"/>
      <c r="H511" s="227"/>
      <c r="I511" s="227"/>
      <c r="J511" s="227"/>
    </row>
    <row r="512" ht="20.25" customHeight="1">
      <c r="A512" s="102">
        <v>6.0</v>
      </c>
      <c r="B512" s="123"/>
      <c r="C512" s="123"/>
      <c r="D512" s="107"/>
      <c r="E512" s="107"/>
      <c r="F512" s="108"/>
      <c r="G512" s="108"/>
      <c r="H512" s="227"/>
      <c r="I512" s="227"/>
      <c r="J512" s="227"/>
    </row>
    <row r="513" ht="20.25" customHeight="1">
      <c r="A513" s="102">
        <v>7.0</v>
      </c>
      <c r="B513" s="123"/>
      <c r="C513" s="123"/>
      <c r="D513" s="107"/>
      <c r="E513" s="107"/>
      <c r="F513" s="108"/>
      <c r="G513" s="108"/>
      <c r="H513" s="227"/>
      <c r="I513" s="227"/>
      <c r="J513" s="227"/>
    </row>
    <row r="514" ht="20.25" customHeight="1">
      <c r="A514" s="150">
        <v>8.0</v>
      </c>
      <c r="B514" s="123"/>
      <c r="C514" s="123"/>
      <c r="D514" s="107"/>
      <c r="E514" s="276"/>
      <c r="F514" s="276"/>
      <c r="H514" s="227"/>
      <c r="I514" s="227"/>
      <c r="J514" s="227"/>
    </row>
    <row r="515" ht="20.25" customHeight="1">
      <c r="A515" s="150">
        <v>9.0</v>
      </c>
      <c r="B515" s="123"/>
      <c r="C515" s="123"/>
      <c r="D515" s="107"/>
      <c r="E515" s="107"/>
      <c r="F515" s="108"/>
      <c r="G515" s="108"/>
      <c r="H515" s="227"/>
      <c r="I515" s="227"/>
      <c r="J515" s="227"/>
    </row>
    <row r="516" ht="20.25" customHeight="1">
      <c r="A516" s="150">
        <v>10.0</v>
      </c>
      <c r="B516" s="123"/>
      <c r="C516" s="123"/>
      <c r="D516" s="107"/>
      <c r="E516" s="107"/>
      <c r="H516" s="227"/>
      <c r="I516" s="227"/>
      <c r="J516" s="227"/>
    </row>
    <row r="517" ht="20.25" customHeight="1">
      <c r="A517" s="58"/>
      <c r="B517" s="149"/>
      <c r="C517" s="58"/>
      <c r="D517" s="58"/>
      <c r="E517" s="102" t="s">
        <v>144</v>
      </c>
      <c r="F517" s="150">
        <v>465.0</v>
      </c>
      <c r="G517" s="212"/>
      <c r="H517" s="227"/>
      <c r="I517" s="227"/>
      <c r="J517" s="227"/>
    </row>
    <row r="518" ht="20.25" customHeight="1">
      <c r="A518" s="58"/>
      <c r="B518" s="149"/>
      <c r="C518" s="58"/>
      <c r="D518" s="58"/>
      <c r="E518" s="102" t="s">
        <v>145</v>
      </c>
      <c r="F518" s="150">
        <v>765.0</v>
      </c>
      <c r="G518" s="58"/>
      <c r="H518" s="227"/>
      <c r="I518" s="227"/>
      <c r="J518" s="227"/>
    </row>
    <row r="519" ht="20.25" customHeight="1">
      <c r="A519" s="274"/>
      <c r="B519" s="275"/>
      <c r="C519" s="275"/>
      <c r="D519" s="275"/>
      <c r="E519" s="102" t="s">
        <v>146</v>
      </c>
      <c r="F519" s="150">
        <v>225.0</v>
      </c>
      <c r="G519" s="58"/>
      <c r="H519" s="227"/>
      <c r="I519" s="227"/>
      <c r="J519" s="227"/>
    </row>
    <row r="520" ht="20.25" customHeight="1">
      <c r="A520" s="227"/>
      <c r="B520" s="227"/>
      <c r="C520" s="227"/>
      <c r="D520" s="227"/>
      <c r="E520" s="102" t="s">
        <v>147</v>
      </c>
      <c r="F520" s="150">
        <v>170.0</v>
      </c>
      <c r="G520" s="58"/>
      <c r="H520" s="227"/>
      <c r="I520" s="227"/>
      <c r="J520" s="227"/>
    </row>
    <row r="521" ht="20.25" customHeight="1">
      <c r="A521" s="227"/>
      <c r="B521" s="227"/>
      <c r="C521" s="227"/>
      <c r="D521" s="227"/>
      <c r="E521" s="102" t="s">
        <v>148</v>
      </c>
      <c r="F521" s="150">
        <v>595.0</v>
      </c>
      <c r="G521" s="58"/>
      <c r="H521" s="227"/>
      <c r="I521" s="227"/>
      <c r="J521" s="227"/>
    </row>
    <row r="522" ht="20.25" customHeight="1">
      <c r="A522" s="265"/>
      <c r="B522" s="227"/>
      <c r="C522" s="227"/>
      <c r="D522" s="227"/>
      <c r="E522" s="227"/>
      <c r="F522" s="227"/>
      <c r="G522" s="227"/>
      <c r="H522" s="227"/>
      <c r="I522" s="227"/>
      <c r="J522" s="227"/>
    </row>
    <row r="523" ht="20.25" customHeight="1">
      <c r="A523" s="102">
        <v>1.0</v>
      </c>
      <c r="B523" s="147">
        <v>46118.0</v>
      </c>
      <c r="C523" s="148" t="s">
        <v>149</v>
      </c>
      <c r="D523" s="107" t="s">
        <v>65</v>
      </c>
      <c r="E523" s="107" t="s">
        <v>1342</v>
      </c>
      <c r="F523" s="108" t="s">
        <v>1343</v>
      </c>
      <c r="G523" s="108"/>
      <c r="H523" s="227"/>
      <c r="I523" s="227"/>
      <c r="J523" s="227"/>
    </row>
    <row r="524" ht="20.25" customHeight="1">
      <c r="A524" s="102">
        <v>2.0</v>
      </c>
      <c r="B524" s="123"/>
      <c r="C524" s="123"/>
      <c r="D524" s="107"/>
      <c r="E524" s="107" t="s">
        <v>1344</v>
      </c>
      <c r="F524" s="108">
        <v>35.0</v>
      </c>
      <c r="G524" s="111"/>
      <c r="H524" s="227"/>
      <c r="I524" s="227"/>
      <c r="J524" s="227"/>
    </row>
    <row r="525" ht="20.25" customHeight="1">
      <c r="A525" s="102">
        <v>3.0</v>
      </c>
      <c r="B525" s="123"/>
      <c r="C525" s="123"/>
      <c r="D525" s="107"/>
      <c r="E525" s="107" t="s">
        <v>199</v>
      </c>
      <c r="F525" s="108">
        <v>30.0</v>
      </c>
      <c r="G525" s="108"/>
      <c r="H525" s="227"/>
      <c r="I525" s="227"/>
      <c r="J525" s="227"/>
    </row>
    <row r="526" ht="20.25" customHeight="1">
      <c r="A526" s="102">
        <v>4.0</v>
      </c>
      <c r="B526" s="123"/>
      <c r="C526" s="123"/>
      <c r="D526" s="107"/>
      <c r="E526" s="107" t="s">
        <v>495</v>
      </c>
      <c r="F526" s="108">
        <v>35.0</v>
      </c>
      <c r="G526" s="108"/>
      <c r="H526" s="227"/>
      <c r="I526" s="227"/>
      <c r="J526" s="227"/>
    </row>
    <row r="527" ht="20.25" customHeight="1">
      <c r="A527" s="102">
        <v>5.0</v>
      </c>
      <c r="B527" s="123"/>
      <c r="C527" s="123"/>
      <c r="D527" s="107"/>
      <c r="E527" s="107"/>
      <c r="F527" s="108"/>
      <c r="G527" s="108"/>
      <c r="H527" s="227"/>
      <c r="I527" s="227"/>
      <c r="J527" s="227"/>
    </row>
    <row r="528" ht="20.25" customHeight="1">
      <c r="A528" s="102">
        <v>6.0</v>
      </c>
      <c r="B528" s="123"/>
      <c r="C528" s="123"/>
      <c r="D528" s="107"/>
      <c r="E528" s="107"/>
      <c r="F528" s="108"/>
      <c r="G528" s="108"/>
      <c r="H528" s="227"/>
      <c r="I528" s="227"/>
      <c r="J528" s="227"/>
    </row>
    <row r="529" ht="20.25" customHeight="1">
      <c r="A529" s="102">
        <v>7.0</v>
      </c>
      <c r="B529" s="123"/>
      <c r="C529" s="123"/>
      <c r="D529" s="107"/>
      <c r="E529" s="107"/>
      <c r="F529" s="108"/>
      <c r="G529" s="108"/>
      <c r="H529" s="227"/>
      <c r="I529" s="227"/>
      <c r="J529" s="227"/>
    </row>
    <row r="530" ht="20.25" customHeight="1">
      <c r="A530" s="150">
        <v>8.0</v>
      </c>
      <c r="B530" s="123"/>
      <c r="C530" s="123"/>
      <c r="D530" s="107"/>
      <c r="E530" s="107"/>
      <c r="F530" s="108"/>
      <c r="G530" s="108"/>
      <c r="H530" s="227"/>
      <c r="I530" s="227"/>
      <c r="J530" s="227"/>
    </row>
    <row r="531" ht="20.25" customHeight="1">
      <c r="A531" s="150">
        <v>9.0</v>
      </c>
      <c r="B531" s="123"/>
      <c r="C531" s="123"/>
      <c r="D531" s="107"/>
      <c r="E531" s="107"/>
      <c r="F531" s="108"/>
      <c r="G531" s="108"/>
      <c r="H531" s="227"/>
      <c r="I531" s="227"/>
      <c r="J531" s="227"/>
    </row>
    <row r="532" ht="20.25" customHeight="1">
      <c r="A532" s="150">
        <v>10.0</v>
      </c>
      <c r="B532" s="123"/>
      <c r="C532" s="123"/>
      <c r="D532" s="107"/>
      <c r="E532" s="107"/>
      <c r="F532" s="108"/>
      <c r="G532" s="108"/>
      <c r="H532" s="227"/>
      <c r="I532" s="227"/>
      <c r="J532" s="227"/>
    </row>
    <row r="533" ht="20.25" customHeight="1">
      <c r="A533" s="58"/>
      <c r="B533" s="149"/>
      <c r="C533" s="58"/>
      <c r="D533" s="58"/>
      <c r="E533" s="102" t="s">
        <v>144</v>
      </c>
      <c r="F533" s="150">
        <v>595.0</v>
      </c>
      <c r="G533" s="212"/>
      <c r="H533" s="227"/>
      <c r="I533" s="227"/>
      <c r="J533" s="227"/>
    </row>
    <row r="534" ht="20.25" customHeight="1">
      <c r="A534" s="58"/>
      <c r="B534" s="149"/>
      <c r="C534" s="58"/>
      <c r="D534" s="58"/>
      <c r="E534" s="102" t="s">
        <v>145</v>
      </c>
      <c r="F534" s="150">
        <v>1280.0</v>
      </c>
      <c r="G534" s="58"/>
      <c r="H534" s="227"/>
      <c r="I534" s="227"/>
      <c r="J534" s="227"/>
    </row>
    <row r="535" ht="20.25" customHeight="1">
      <c r="A535" s="227"/>
      <c r="B535" s="227"/>
      <c r="C535" s="227"/>
      <c r="D535" s="227"/>
      <c r="E535" s="102" t="s">
        <v>146</v>
      </c>
      <c r="F535" s="150">
        <v>135.0</v>
      </c>
      <c r="G535" s="58"/>
      <c r="H535" s="227"/>
      <c r="I535" s="227"/>
      <c r="J535" s="227"/>
    </row>
    <row r="536" ht="20.25" customHeight="1">
      <c r="A536" s="227"/>
      <c r="B536" s="227"/>
      <c r="C536" s="227"/>
      <c r="D536" s="227"/>
      <c r="E536" s="102" t="s">
        <v>147</v>
      </c>
      <c r="F536" s="150">
        <v>100.0</v>
      </c>
      <c r="G536" s="58"/>
      <c r="H536" s="227"/>
      <c r="I536" s="227"/>
      <c r="J536" s="227"/>
    </row>
    <row r="537" ht="20.25" customHeight="1">
      <c r="A537" s="227"/>
      <c r="B537" s="227"/>
      <c r="C537" s="227"/>
      <c r="D537" s="227"/>
      <c r="E537" s="102" t="s">
        <v>148</v>
      </c>
      <c r="F537" s="150">
        <v>1180.0</v>
      </c>
      <c r="G537" s="58"/>
      <c r="H537" s="227"/>
      <c r="I537" s="227"/>
      <c r="J537" s="227"/>
    </row>
    <row r="538" ht="20.25" customHeight="1">
      <c r="A538" s="265"/>
      <c r="B538" s="227"/>
      <c r="C538" s="227"/>
      <c r="D538" s="227"/>
      <c r="E538" s="227"/>
      <c r="F538" s="227"/>
      <c r="G538" s="227"/>
      <c r="H538" s="227"/>
      <c r="I538" s="227"/>
      <c r="J538" s="227"/>
    </row>
    <row r="539" ht="20.25" customHeight="1">
      <c r="A539" s="102">
        <v>1.0</v>
      </c>
      <c r="B539" s="147">
        <v>46119.0</v>
      </c>
      <c r="C539" s="148" t="s">
        <v>169</v>
      </c>
      <c r="D539" s="107" t="s">
        <v>65</v>
      </c>
      <c r="E539" s="107" t="s">
        <v>1345</v>
      </c>
      <c r="F539" s="108">
        <v>35.0</v>
      </c>
      <c r="G539" s="108"/>
      <c r="H539" s="227"/>
      <c r="I539" s="227"/>
      <c r="J539" s="227"/>
    </row>
    <row r="540" ht="20.25" customHeight="1">
      <c r="A540" s="102">
        <v>2.0</v>
      </c>
      <c r="B540" s="123"/>
      <c r="C540" s="123"/>
      <c r="D540" s="107"/>
      <c r="E540" s="107" t="s">
        <v>199</v>
      </c>
      <c r="F540" s="108" t="s">
        <v>1346</v>
      </c>
      <c r="G540" s="111"/>
      <c r="H540" s="227"/>
      <c r="I540" s="227"/>
      <c r="J540" s="227"/>
    </row>
    <row r="541" ht="20.25" customHeight="1">
      <c r="A541" s="102">
        <v>3.0</v>
      </c>
      <c r="B541" s="123"/>
      <c r="C541" s="123"/>
      <c r="D541" s="107"/>
      <c r="E541" s="107"/>
      <c r="F541" s="108"/>
      <c r="G541" s="108"/>
      <c r="H541" s="227"/>
      <c r="I541" s="227"/>
      <c r="J541" s="227"/>
    </row>
    <row r="542" ht="20.25" customHeight="1">
      <c r="A542" s="102">
        <v>4.0</v>
      </c>
      <c r="B542" s="123"/>
      <c r="C542" s="123"/>
      <c r="D542" s="107"/>
      <c r="E542" s="107"/>
      <c r="F542" s="108"/>
      <c r="G542" s="108"/>
      <c r="H542" s="227"/>
      <c r="I542" s="227"/>
      <c r="J542" s="227"/>
    </row>
    <row r="543" ht="20.25" customHeight="1">
      <c r="A543" s="102">
        <v>5.0</v>
      </c>
      <c r="B543" s="123"/>
      <c r="C543" s="123"/>
      <c r="D543" s="107"/>
      <c r="E543" s="107"/>
      <c r="F543" s="108"/>
      <c r="G543" s="108"/>
      <c r="H543" s="227"/>
      <c r="I543" s="227"/>
      <c r="J543" s="227"/>
    </row>
    <row r="544" ht="20.25" customHeight="1">
      <c r="A544" s="102">
        <v>6.0</v>
      </c>
      <c r="B544" s="123"/>
      <c r="C544" s="123"/>
      <c r="D544" s="107"/>
      <c r="E544" s="107"/>
      <c r="F544" s="108"/>
      <c r="G544" s="108"/>
      <c r="H544" s="227"/>
      <c r="I544" s="227"/>
      <c r="J544" s="227"/>
    </row>
    <row r="545" ht="20.25" customHeight="1">
      <c r="A545" s="102">
        <v>7.0</v>
      </c>
      <c r="B545" s="123"/>
      <c r="C545" s="123"/>
      <c r="D545" s="107"/>
      <c r="E545" s="107"/>
      <c r="F545" s="108"/>
      <c r="G545" s="108"/>
      <c r="H545" s="227"/>
      <c r="I545" s="227"/>
      <c r="J545" s="227"/>
    </row>
    <row r="546" ht="20.25" customHeight="1">
      <c r="A546" s="150">
        <v>8.0</v>
      </c>
      <c r="B546" s="123"/>
      <c r="C546" s="123"/>
      <c r="D546" s="107"/>
      <c r="E546" s="107"/>
      <c r="F546" s="108"/>
      <c r="G546" s="108"/>
      <c r="H546" s="227"/>
      <c r="I546" s="227"/>
      <c r="J546" s="227"/>
    </row>
    <row r="547" ht="20.25" customHeight="1">
      <c r="A547" s="150">
        <v>9.0</v>
      </c>
      <c r="B547" s="123"/>
      <c r="C547" s="123"/>
      <c r="D547" s="107"/>
      <c r="E547" s="107"/>
      <c r="F547" s="108"/>
      <c r="G547" s="108"/>
      <c r="H547" s="227"/>
      <c r="I547" s="227"/>
      <c r="J547" s="227"/>
    </row>
    <row r="548" ht="20.25" customHeight="1">
      <c r="A548" s="150">
        <v>10.0</v>
      </c>
      <c r="B548" s="123"/>
      <c r="C548" s="123"/>
      <c r="D548" s="107"/>
      <c r="E548" s="107"/>
      <c r="F548" s="108"/>
      <c r="G548" s="108"/>
      <c r="H548" s="227"/>
      <c r="I548" s="227"/>
      <c r="J548" s="227"/>
    </row>
    <row r="549" ht="20.25" customHeight="1">
      <c r="A549" s="58"/>
      <c r="B549" s="149"/>
      <c r="C549" s="58"/>
      <c r="D549" s="58"/>
      <c r="E549" s="102" t="s">
        <v>144</v>
      </c>
      <c r="F549" s="150">
        <v>1180.0</v>
      </c>
      <c r="G549" s="212"/>
      <c r="H549" s="227"/>
      <c r="I549" s="227"/>
      <c r="J549" s="227"/>
    </row>
    <row r="550" ht="20.25" customHeight="1">
      <c r="A550" s="58"/>
      <c r="B550" s="149"/>
      <c r="C550" s="58"/>
      <c r="D550" s="58"/>
      <c r="E550" s="102" t="s">
        <v>145</v>
      </c>
      <c r="F550" s="150">
        <v>1495.0</v>
      </c>
      <c r="G550" s="58"/>
      <c r="H550" s="227"/>
      <c r="I550" s="227"/>
      <c r="J550" s="227"/>
    </row>
    <row r="551" ht="20.25" customHeight="1">
      <c r="A551" s="227"/>
      <c r="B551" s="227"/>
      <c r="C551" s="227"/>
      <c r="D551" s="227"/>
      <c r="E551" s="102" t="s">
        <v>146</v>
      </c>
      <c r="F551" s="150">
        <v>315.0</v>
      </c>
      <c r="G551" s="58"/>
      <c r="H551" s="227"/>
      <c r="I551" s="227"/>
      <c r="J551" s="227"/>
    </row>
    <row r="552" ht="20.25" customHeight="1">
      <c r="A552" s="227"/>
      <c r="B552" s="227"/>
      <c r="C552" s="227"/>
      <c r="D552" s="227"/>
      <c r="E552" s="102" t="s">
        <v>147</v>
      </c>
      <c r="F552" s="150">
        <v>235.0</v>
      </c>
      <c r="G552" s="58"/>
      <c r="H552" s="227"/>
      <c r="I552" s="227"/>
      <c r="J552" s="227"/>
    </row>
    <row r="553" ht="20.25" customHeight="1">
      <c r="A553" s="227"/>
      <c r="B553" s="227"/>
      <c r="C553" s="227"/>
      <c r="D553" s="227"/>
      <c r="E553" s="102" t="s">
        <v>148</v>
      </c>
      <c r="F553" s="150">
        <v>1260.0</v>
      </c>
      <c r="G553" s="58"/>
      <c r="H553" s="227"/>
      <c r="I553" s="227"/>
      <c r="J553" s="227"/>
    </row>
    <row r="554" ht="20.25" customHeight="1">
      <c r="A554" s="278"/>
      <c r="B554" s="92"/>
      <c r="C554" s="92"/>
      <c r="D554" s="92"/>
      <c r="E554" s="217"/>
      <c r="F554" s="216" t="s">
        <v>1347</v>
      </c>
      <c r="G554" s="275"/>
      <c r="H554" s="227"/>
      <c r="I554" s="227"/>
      <c r="J554" s="227"/>
    </row>
    <row r="555" ht="20.25" customHeight="1">
      <c r="A555" s="278"/>
      <c r="B555" s="92"/>
      <c r="C555" s="92"/>
      <c r="D555" s="92"/>
      <c r="E555" s="217"/>
      <c r="F555" s="216" t="s">
        <v>1348</v>
      </c>
      <c r="G555" s="275"/>
      <c r="H555" s="227"/>
      <c r="I555" s="227"/>
      <c r="J555" s="227"/>
    </row>
    <row r="556" ht="20.25" customHeight="1">
      <c r="A556" s="265"/>
      <c r="B556" s="227"/>
      <c r="C556" s="227"/>
      <c r="D556" s="227"/>
      <c r="E556" s="227"/>
      <c r="F556" s="227"/>
      <c r="G556" s="227"/>
      <c r="H556" s="227"/>
      <c r="I556" s="227"/>
      <c r="J556" s="227"/>
    </row>
    <row r="557" ht="20.25" customHeight="1">
      <c r="A557" s="102" t="s">
        <v>4</v>
      </c>
      <c r="B557" s="102" t="s">
        <v>5</v>
      </c>
      <c r="C557" s="102" t="s">
        <v>126</v>
      </c>
      <c r="D557" s="102" t="s">
        <v>6</v>
      </c>
      <c r="E557" s="102" t="s">
        <v>7</v>
      </c>
      <c r="F557" s="102" t="s">
        <v>127</v>
      </c>
      <c r="G557" s="102" t="s">
        <v>128</v>
      </c>
      <c r="H557" s="227"/>
      <c r="I557" s="227"/>
      <c r="J557" s="227"/>
    </row>
    <row r="558" ht="20.25" customHeight="1">
      <c r="A558" s="102">
        <v>1.0</v>
      </c>
      <c r="B558" s="147">
        <v>46121.0</v>
      </c>
      <c r="C558" s="148" t="s">
        <v>211</v>
      </c>
      <c r="D558" s="107" t="s">
        <v>65</v>
      </c>
      <c r="E558" s="107" t="s">
        <v>1349</v>
      </c>
      <c r="F558" s="108">
        <v>35.0</v>
      </c>
      <c r="G558" s="108"/>
      <c r="H558" s="227"/>
      <c r="I558" s="227"/>
      <c r="J558" s="227"/>
    </row>
    <row r="559" ht="20.25" customHeight="1">
      <c r="A559" s="102">
        <v>2.0</v>
      </c>
      <c r="B559" s="123"/>
      <c r="C559" s="123"/>
      <c r="D559" s="107"/>
      <c r="E559" s="107" t="s">
        <v>1350</v>
      </c>
      <c r="F559" s="108" t="s">
        <v>1351</v>
      </c>
      <c r="G559" s="108"/>
      <c r="H559" s="227"/>
      <c r="I559" s="227"/>
      <c r="J559" s="227"/>
    </row>
    <row r="560" ht="20.25" customHeight="1">
      <c r="A560" s="102">
        <v>3.0</v>
      </c>
      <c r="B560" s="123"/>
      <c r="C560" s="123"/>
      <c r="D560" s="107"/>
      <c r="E560" s="107" t="s">
        <v>1352</v>
      </c>
      <c r="F560" s="111" t="s">
        <v>1353</v>
      </c>
      <c r="G560" s="108"/>
      <c r="H560" s="227"/>
      <c r="I560" s="227"/>
      <c r="J560" s="227"/>
    </row>
    <row r="561" ht="20.25" customHeight="1">
      <c r="A561" s="102">
        <v>4.0</v>
      </c>
      <c r="B561" s="123"/>
      <c r="C561" s="123"/>
      <c r="D561" s="107"/>
      <c r="E561" s="107" t="s">
        <v>1354</v>
      </c>
      <c r="F561" s="111" t="s">
        <v>82</v>
      </c>
      <c r="G561" s="108"/>
      <c r="H561" s="227"/>
      <c r="I561" s="227"/>
      <c r="J561" s="227"/>
    </row>
    <row r="562" ht="20.25" customHeight="1">
      <c r="A562" s="102">
        <v>5.0</v>
      </c>
      <c r="B562" s="123"/>
      <c r="C562" s="123"/>
      <c r="D562" s="107"/>
      <c r="E562" s="107" t="s">
        <v>1355</v>
      </c>
      <c r="F562" s="108" t="s">
        <v>1356</v>
      </c>
      <c r="G562" s="111" t="s">
        <v>1357</v>
      </c>
      <c r="H562" s="227"/>
      <c r="I562" s="227"/>
      <c r="J562" s="227"/>
    </row>
    <row r="563" ht="20.25" customHeight="1">
      <c r="A563" s="102">
        <v>6.0</v>
      </c>
      <c r="B563" s="123"/>
      <c r="C563" s="123"/>
      <c r="D563" s="107"/>
      <c r="E563" s="107" t="s">
        <v>1358</v>
      </c>
      <c r="F563" s="108">
        <v>35.0</v>
      </c>
      <c r="G563" s="108"/>
      <c r="H563" s="227"/>
      <c r="I563" s="227"/>
      <c r="J563" s="227"/>
    </row>
    <row r="564" ht="20.25" customHeight="1">
      <c r="A564" s="102">
        <v>7.0</v>
      </c>
      <c r="B564" s="123"/>
      <c r="C564" s="123"/>
      <c r="D564" s="107"/>
      <c r="E564" s="107" t="s">
        <v>97</v>
      </c>
      <c r="F564" s="108">
        <v>40.0</v>
      </c>
      <c r="G564" s="108"/>
      <c r="H564" s="227"/>
      <c r="I564" s="227"/>
      <c r="J564" s="227"/>
    </row>
    <row r="565" ht="20.25" customHeight="1">
      <c r="A565" s="58"/>
      <c r="B565" s="149"/>
      <c r="C565" s="58"/>
      <c r="D565" s="58"/>
      <c r="E565" s="102" t="s">
        <v>144</v>
      </c>
      <c r="F565" s="150">
        <v>1000.0</v>
      </c>
      <c r="G565" s="212"/>
      <c r="H565" s="227"/>
      <c r="I565" s="227"/>
      <c r="J565" s="227"/>
    </row>
    <row r="566" ht="20.25" customHeight="1">
      <c r="A566" s="58"/>
      <c r="B566" s="149"/>
      <c r="C566" s="58"/>
      <c r="D566" s="58"/>
      <c r="E566" s="102" t="s">
        <v>145</v>
      </c>
      <c r="F566" s="150">
        <f>35+115+50-375-20+35+40+1000</f>
        <v>880</v>
      </c>
      <c r="G566" s="58"/>
      <c r="H566" s="227"/>
      <c r="I566" s="227"/>
      <c r="J566" s="227"/>
    </row>
    <row r="567" ht="20.25" customHeight="1">
      <c r="A567" s="58"/>
      <c r="B567" s="149"/>
      <c r="C567" s="58"/>
      <c r="D567" s="58"/>
      <c r="E567" s="102" t="s">
        <v>146</v>
      </c>
      <c r="F567" s="150">
        <f>35+50+50+270+35+35+40</f>
        <v>515</v>
      </c>
      <c r="G567" s="58"/>
      <c r="H567" s="227"/>
      <c r="I567" s="227"/>
      <c r="J567" s="227"/>
    </row>
    <row r="568" ht="20.25" customHeight="1">
      <c r="A568" s="58"/>
      <c r="B568" s="149"/>
      <c r="C568" s="58"/>
      <c r="D568" s="58"/>
      <c r="E568" s="102" t="s">
        <v>147</v>
      </c>
      <c r="F568" s="150">
        <v>385.0</v>
      </c>
      <c r="G568" s="58"/>
      <c r="H568" s="227"/>
      <c r="I568" s="227"/>
      <c r="J568" s="227"/>
    </row>
    <row r="569" ht="20.25" customHeight="1">
      <c r="A569" s="58"/>
      <c r="B569" s="149"/>
      <c r="C569" s="58"/>
      <c r="D569" s="58"/>
      <c r="E569" s="102" t="s">
        <v>148</v>
      </c>
      <c r="F569" s="150">
        <f>F566-F568</f>
        <v>495</v>
      </c>
      <c r="G569" s="58"/>
      <c r="H569" s="227"/>
      <c r="I569" s="227"/>
      <c r="J569" s="227"/>
    </row>
    <row r="570" ht="20.25" customHeight="1">
      <c r="A570" s="274"/>
      <c r="B570" s="275"/>
      <c r="C570" s="275"/>
      <c r="D570" s="275"/>
      <c r="E570" s="217"/>
      <c r="F570" s="216" t="s">
        <v>1359</v>
      </c>
      <c r="G570" s="275"/>
      <c r="H570" s="227"/>
      <c r="I570" s="227"/>
      <c r="J570" s="227"/>
    </row>
    <row r="571" ht="20.25" customHeight="1">
      <c r="A571" s="102" t="s">
        <v>4</v>
      </c>
      <c r="B571" s="102" t="s">
        <v>5</v>
      </c>
      <c r="C571" s="102" t="s">
        <v>126</v>
      </c>
      <c r="D571" s="102" t="s">
        <v>6</v>
      </c>
      <c r="E571" s="102" t="s">
        <v>7</v>
      </c>
      <c r="F571" s="102" t="s">
        <v>127</v>
      </c>
      <c r="G571" s="102" t="s">
        <v>128</v>
      </c>
      <c r="H571" s="227"/>
      <c r="I571" s="227"/>
      <c r="J571" s="227"/>
    </row>
    <row r="572" ht="20.25" customHeight="1">
      <c r="A572" s="102">
        <v>1.0</v>
      </c>
      <c r="B572" s="147">
        <v>46123.0</v>
      </c>
      <c r="C572" s="148" t="s">
        <v>1041</v>
      </c>
      <c r="D572" s="107" t="s">
        <v>65</v>
      </c>
      <c r="E572" s="107" t="s">
        <v>1360</v>
      </c>
      <c r="F572" s="108"/>
      <c r="G572" s="108"/>
      <c r="H572" s="227"/>
      <c r="I572" s="227"/>
      <c r="J572" s="227"/>
    </row>
    <row r="573" ht="20.25" customHeight="1">
      <c r="A573" s="102">
        <v>2.0</v>
      </c>
      <c r="B573" s="123"/>
      <c r="C573" s="123"/>
      <c r="D573" s="107"/>
      <c r="E573" s="107" t="s">
        <v>1361</v>
      </c>
      <c r="F573" s="108"/>
      <c r="G573" s="108"/>
      <c r="H573" s="227"/>
      <c r="I573" s="227"/>
      <c r="J573" s="227"/>
    </row>
    <row r="574" ht="20.25" customHeight="1">
      <c r="A574" s="102">
        <v>3.0</v>
      </c>
      <c r="B574" s="123"/>
      <c r="C574" s="123"/>
      <c r="D574" s="107"/>
      <c r="E574" s="107" t="s">
        <v>1362</v>
      </c>
      <c r="F574" s="108"/>
      <c r="G574" s="108"/>
      <c r="H574" s="227"/>
      <c r="I574" s="227"/>
      <c r="J574" s="227"/>
    </row>
    <row r="575" ht="20.25" customHeight="1">
      <c r="A575" s="102">
        <v>4.0</v>
      </c>
      <c r="B575" s="123"/>
      <c r="C575" s="123"/>
      <c r="D575" s="107"/>
      <c r="E575" s="107" t="s">
        <v>1363</v>
      </c>
      <c r="F575" s="108"/>
      <c r="G575" s="108"/>
      <c r="H575" s="227"/>
      <c r="I575" s="227"/>
      <c r="J575" s="227"/>
    </row>
    <row r="576" ht="20.25" customHeight="1">
      <c r="A576" s="102">
        <v>5.0</v>
      </c>
      <c r="B576" s="123"/>
      <c r="C576" s="123"/>
      <c r="D576" s="107"/>
      <c r="E576" s="107" t="s">
        <v>1364</v>
      </c>
      <c r="F576" s="108"/>
      <c r="G576" s="108"/>
      <c r="H576" s="227"/>
      <c r="I576" s="227"/>
      <c r="J576" s="227"/>
    </row>
    <row r="577" ht="20.25" customHeight="1">
      <c r="A577" s="102">
        <v>6.0</v>
      </c>
      <c r="B577" s="123"/>
      <c r="C577" s="123"/>
      <c r="D577" s="107"/>
      <c r="E577" s="107" t="s">
        <v>1365</v>
      </c>
      <c r="F577" s="108"/>
      <c r="G577" s="108"/>
      <c r="H577" s="279"/>
      <c r="I577" s="279"/>
      <c r="J577" s="279"/>
    </row>
    <row r="578" ht="20.25" customHeight="1">
      <c r="A578" s="102">
        <v>7.0</v>
      </c>
      <c r="B578" s="123"/>
      <c r="C578" s="123"/>
      <c r="D578" s="107"/>
      <c r="E578" s="107" t="s">
        <v>517</v>
      </c>
      <c r="F578" s="108"/>
      <c r="G578" s="108"/>
      <c r="H578" s="227"/>
      <c r="I578" s="227"/>
      <c r="J578" s="227"/>
    </row>
    <row r="579" ht="20.25" customHeight="1">
      <c r="A579" s="102">
        <v>8.0</v>
      </c>
      <c r="B579" s="123"/>
      <c r="C579" s="123"/>
      <c r="D579" s="107"/>
      <c r="E579" s="107" t="s">
        <v>1366</v>
      </c>
      <c r="F579" s="108"/>
      <c r="G579" s="108"/>
      <c r="H579" s="227"/>
      <c r="I579" s="227"/>
      <c r="J579" s="227"/>
    </row>
    <row r="580" ht="20.25" customHeight="1">
      <c r="A580" s="102">
        <v>9.0</v>
      </c>
      <c r="B580" s="123"/>
      <c r="C580" s="123"/>
      <c r="D580" s="107"/>
      <c r="E580" s="107" t="s">
        <v>1367</v>
      </c>
      <c r="F580" s="108"/>
      <c r="G580" s="108"/>
      <c r="H580" s="227"/>
      <c r="I580" s="227"/>
      <c r="J580" s="227"/>
    </row>
    <row r="581" ht="20.25" customHeight="1">
      <c r="A581" s="102">
        <v>10.0</v>
      </c>
      <c r="B581" s="123"/>
      <c r="C581" s="123"/>
      <c r="D581" s="107"/>
      <c r="E581" s="107" t="s">
        <v>1368</v>
      </c>
      <c r="F581" s="108"/>
      <c r="G581" s="108"/>
      <c r="H581" s="227"/>
      <c r="I581" s="227"/>
      <c r="J581" s="227"/>
    </row>
    <row r="582" ht="20.25" customHeight="1">
      <c r="A582" s="102">
        <v>11.0</v>
      </c>
      <c r="B582" s="123"/>
      <c r="C582" s="123"/>
      <c r="D582" s="107"/>
      <c r="E582" s="107"/>
      <c r="F582" s="108"/>
      <c r="G582" s="108"/>
      <c r="H582" s="227"/>
      <c r="I582" s="227"/>
      <c r="J582" s="227"/>
    </row>
    <row r="583" ht="20.25" customHeight="1">
      <c r="A583" s="102">
        <v>12.0</v>
      </c>
      <c r="B583" s="123"/>
      <c r="C583" s="123"/>
      <c r="D583" s="107"/>
      <c r="E583" s="107"/>
      <c r="F583" s="108"/>
      <c r="G583" s="108"/>
      <c r="H583" s="227"/>
      <c r="I583" s="227"/>
      <c r="J583" s="227"/>
    </row>
    <row r="584" ht="20.25" customHeight="1">
      <c r="A584" s="102">
        <v>13.0</v>
      </c>
      <c r="B584" s="123"/>
      <c r="C584" s="123"/>
      <c r="D584" s="107"/>
      <c r="E584" s="107"/>
      <c r="F584" s="108"/>
      <c r="G584" s="108"/>
      <c r="H584" s="227"/>
      <c r="I584" s="227"/>
      <c r="J584" s="227"/>
    </row>
    <row r="585" ht="20.25" customHeight="1">
      <c r="A585" s="102">
        <v>14.0</v>
      </c>
      <c r="B585" s="123"/>
      <c r="C585" s="123"/>
      <c r="D585" s="107"/>
      <c r="E585" s="107"/>
      <c r="F585" s="108"/>
      <c r="G585" s="108"/>
      <c r="H585" s="227"/>
      <c r="I585" s="227"/>
      <c r="J585" s="227"/>
    </row>
    <row r="586" ht="20.25" customHeight="1">
      <c r="A586" s="102">
        <v>15.0</v>
      </c>
      <c r="B586" s="123"/>
      <c r="C586" s="123"/>
      <c r="D586" s="107"/>
      <c r="E586" s="107"/>
      <c r="F586" s="108"/>
      <c r="G586" s="108"/>
      <c r="H586" s="227"/>
      <c r="I586" s="227"/>
      <c r="J586" s="227"/>
    </row>
    <row r="587" ht="20.25" customHeight="1">
      <c r="A587" s="58"/>
      <c r="B587" s="149"/>
      <c r="C587" s="58"/>
      <c r="D587" s="58"/>
      <c r="E587" s="102" t="s">
        <v>144</v>
      </c>
      <c r="F587" s="150"/>
      <c r="G587" s="58"/>
      <c r="H587" s="227"/>
      <c r="I587" s="227"/>
      <c r="J587" s="227"/>
    </row>
    <row r="588" ht="20.25" customHeight="1">
      <c r="A588" s="58"/>
      <c r="B588" s="149"/>
      <c r="C588" s="58"/>
      <c r="D588" s="58"/>
      <c r="E588" s="102" t="s">
        <v>145</v>
      </c>
      <c r="F588" s="150">
        <v>1545.0</v>
      </c>
      <c r="G588" s="58"/>
      <c r="H588" s="227"/>
      <c r="I588" s="227"/>
      <c r="J588" s="227"/>
    </row>
    <row r="589" ht="20.25" customHeight="1">
      <c r="A589" s="58"/>
      <c r="B589" s="149"/>
      <c r="C589" s="58"/>
      <c r="D589" s="58"/>
      <c r="E589" s="102" t="s">
        <v>146</v>
      </c>
      <c r="F589" s="150">
        <v>480.0</v>
      </c>
      <c r="G589" s="58"/>
      <c r="H589" s="227"/>
      <c r="I589" s="227"/>
      <c r="J589" s="227"/>
    </row>
    <row r="590" ht="20.25" customHeight="1">
      <c r="A590" s="58"/>
      <c r="B590" s="149"/>
      <c r="C590" s="58"/>
      <c r="D590" s="58"/>
      <c r="E590" s="102" t="s">
        <v>147</v>
      </c>
      <c r="F590" s="150">
        <v>360.0</v>
      </c>
      <c r="G590" s="58"/>
      <c r="H590" s="227"/>
      <c r="I590" s="227"/>
      <c r="J590" s="227"/>
    </row>
    <row r="591" ht="20.25" customHeight="1">
      <c r="A591" s="58"/>
      <c r="B591" s="149"/>
      <c r="C591" s="58"/>
      <c r="D591" s="58"/>
      <c r="E591" s="102" t="s">
        <v>148</v>
      </c>
      <c r="F591" s="151" t="s">
        <v>1369</v>
      </c>
      <c r="G591" s="58"/>
      <c r="H591" s="227"/>
      <c r="I591" s="227"/>
      <c r="J591" s="227"/>
    </row>
    <row r="592" ht="20.25" customHeight="1">
      <c r="A592" s="265"/>
      <c r="B592" s="227"/>
      <c r="C592" s="227"/>
      <c r="D592" s="227"/>
      <c r="E592" s="227"/>
      <c r="F592" s="227"/>
      <c r="G592" s="227"/>
      <c r="H592" s="227"/>
      <c r="I592" s="227"/>
      <c r="J592" s="227"/>
    </row>
    <row r="593" ht="20.25" customHeight="1">
      <c r="A593" s="102" t="s">
        <v>4</v>
      </c>
      <c r="B593" s="102" t="s">
        <v>5</v>
      </c>
      <c r="C593" s="102" t="s">
        <v>126</v>
      </c>
      <c r="D593" s="102" t="s">
        <v>6</v>
      </c>
      <c r="E593" s="102" t="s">
        <v>7</v>
      </c>
      <c r="F593" s="102" t="s">
        <v>127</v>
      </c>
      <c r="G593" s="103" t="s">
        <v>128</v>
      </c>
      <c r="H593" s="227"/>
      <c r="I593" s="227"/>
      <c r="J593" s="227"/>
    </row>
    <row r="594" ht="20.25" customHeight="1">
      <c r="A594" s="104">
        <v>1.0</v>
      </c>
      <c r="B594" s="105">
        <v>46124.0</v>
      </c>
      <c r="C594" s="106" t="s">
        <v>561</v>
      </c>
      <c r="D594" s="107" t="s">
        <v>1146</v>
      </c>
      <c r="E594" s="107" t="s">
        <v>1370</v>
      </c>
      <c r="F594" s="108">
        <v>25.0</v>
      </c>
      <c r="G594" s="109"/>
      <c r="H594" s="227"/>
      <c r="I594" s="227"/>
      <c r="J594" s="227"/>
    </row>
    <row r="595" ht="20.25" customHeight="1">
      <c r="A595" s="104">
        <v>2.0</v>
      </c>
      <c r="B595" s="120"/>
      <c r="C595" s="110"/>
      <c r="D595" s="107"/>
      <c r="E595" s="107" t="s">
        <v>1371</v>
      </c>
      <c r="F595" s="108"/>
      <c r="G595" s="109"/>
      <c r="H595" s="227"/>
      <c r="I595" s="227"/>
      <c r="J595" s="227"/>
    </row>
    <row r="596" ht="20.25" customHeight="1">
      <c r="A596" s="104">
        <v>3.0</v>
      </c>
      <c r="B596" s="120"/>
      <c r="C596" s="110"/>
      <c r="D596" s="107"/>
      <c r="E596" s="107" t="s">
        <v>1372</v>
      </c>
      <c r="F596" s="108"/>
      <c r="G596" s="109"/>
      <c r="H596" s="227"/>
      <c r="I596" s="227"/>
      <c r="J596" s="227"/>
    </row>
    <row r="597" ht="20.25" customHeight="1">
      <c r="A597" s="104">
        <v>4.0</v>
      </c>
      <c r="B597" s="120"/>
      <c r="C597" s="110"/>
      <c r="D597" s="107"/>
      <c r="E597" s="107" t="s">
        <v>105</v>
      </c>
      <c r="F597" s="111" t="s">
        <v>840</v>
      </c>
      <c r="G597" s="109"/>
      <c r="H597" s="227"/>
      <c r="I597" s="227"/>
      <c r="J597" s="227"/>
    </row>
    <row r="598" ht="20.25" customHeight="1">
      <c r="A598" s="104">
        <v>5.0</v>
      </c>
      <c r="B598" s="120"/>
      <c r="C598" s="110"/>
      <c r="D598" s="107"/>
      <c r="E598" s="107" t="s">
        <v>1373</v>
      </c>
      <c r="F598" s="111" t="s">
        <v>1192</v>
      </c>
      <c r="G598" s="109"/>
      <c r="H598" s="227"/>
      <c r="I598" s="227"/>
      <c r="J598" s="227"/>
    </row>
    <row r="599" ht="20.25" customHeight="1">
      <c r="A599" s="104">
        <v>6.0</v>
      </c>
      <c r="B599" s="120"/>
      <c r="C599" s="110"/>
      <c r="D599" s="107"/>
      <c r="E599" s="107" t="s">
        <v>1374</v>
      </c>
      <c r="F599" s="111" t="s">
        <v>1375</v>
      </c>
      <c r="G599" s="109"/>
      <c r="H599" s="227"/>
      <c r="I599" s="227"/>
      <c r="J599" s="227"/>
    </row>
    <row r="600" ht="20.25" customHeight="1">
      <c r="A600" s="104">
        <v>7.0</v>
      </c>
      <c r="B600" s="120"/>
      <c r="C600" s="110"/>
      <c r="D600" s="107"/>
      <c r="E600" s="107" t="s">
        <v>1376</v>
      </c>
      <c r="F600" s="111" t="s">
        <v>22</v>
      </c>
      <c r="G600" s="109"/>
      <c r="H600" s="227"/>
      <c r="I600" s="227"/>
      <c r="J600" s="227"/>
    </row>
    <row r="601" ht="20.25" customHeight="1">
      <c r="A601" s="104">
        <v>8.0</v>
      </c>
      <c r="B601" s="120"/>
      <c r="C601" s="110"/>
      <c r="D601" s="107"/>
      <c r="E601" s="107" t="s">
        <v>565</v>
      </c>
      <c r="F601" s="108">
        <v>35.0</v>
      </c>
      <c r="G601" s="109"/>
      <c r="H601" s="227"/>
      <c r="I601" s="227"/>
      <c r="J601" s="227"/>
    </row>
    <row r="602" ht="20.25" customHeight="1">
      <c r="A602" s="104">
        <v>9.0</v>
      </c>
      <c r="B602" s="120"/>
      <c r="C602" s="110"/>
      <c r="D602" s="107"/>
      <c r="E602" s="107" t="s">
        <v>1377</v>
      </c>
      <c r="F602" s="109"/>
      <c r="G602" s="109"/>
      <c r="H602" s="227"/>
      <c r="I602" s="227"/>
      <c r="J602" s="227"/>
    </row>
    <row r="603" ht="20.25" customHeight="1">
      <c r="A603" s="104">
        <v>10.0</v>
      </c>
      <c r="B603" s="120"/>
      <c r="C603" s="110"/>
      <c r="D603" s="107"/>
      <c r="E603" s="107" t="s">
        <v>1148</v>
      </c>
      <c r="F603" s="111" t="s">
        <v>1378</v>
      </c>
      <c r="G603" s="109"/>
      <c r="H603" s="227"/>
      <c r="I603" s="227"/>
      <c r="J603" s="227"/>
    </row>
    <row r="604" ht="20.25" customHeight="1">
      <c r="A604" s="104">
        <v>11.0</v>
      </c>
      <c r="B604" s="120"/>
      <c r="C604" s="110"/>
      <c r="D604" s="107"/>
      <c r="E604" s="107" t="s">
        <v>1379</v>
      </c>
      <c r="F604" s="109"/>
      <c r="G604" s="109"/>
      <c r="H604" s="227"/>
      <c r="I604" s="227"/>
      <c r="J604" s="227"/>
    </row>
    <row r="605" ht="20.25" customHeight="1">
      <c r="A605" s="104">
        <v>12.0</v>
      </c>
      <c r="B605" s="120"/>
      <c r="C605" s="110"/>
      <c r="D605" s="107"/>
      <c r="E605" s="107" t="s">
        <v>1380</v>
      </c>
      <c r="F605" s="109"/>
      <c r="G605" s="109"/>
      <c r="H605" s="227"/>
      <c r="I605" s="227"/>
      <c r="J605" s="227"/>
    </row>
    <row r="606" ht="20.25" customHeight="1">
      <c r="A606" s="104">
        <v>13.0</v>
      </c>
      <c r="B606" s="120"/>
      <c r="C606" s="110"/>
      <c r="D606" s="107"/>
      <c r="E606" s="107"/>
      <c r="F606" s="109"/>
      <c r="G606" s="109"/>
      <c r="H606" s="227"/>
      <c r="I606" s="227"/>
      <c r="J606" s="227"/>
    </row>
    <row r="607" ht="20.25" customHeight="1">
      <c r="A607" s="104">
        <v>14.0</v>
      </c>
      <c r="B607" s="120"/>
      <c r="C607" s="110"/>
      <c r="D607" s="107"/>
      <c r="E607" s="125"/>
      <c r="F607" s="109"/>
      <c r="G607" s="109"/>
      <c r="H607" s="227"/>
      <c r="I607" s="227"/>
      <c r="J607" s="227"/>
    </row>
    <row r="608" ht="20.25" customHeight="1">
      <c r="A608" s="122">
        <v>15.0</v>
      </c>
      <c r="B608" s="123"/>
      <c r="C608" s="124"/>
      <c r="D608" s="107"/>
      <c r="E608" s="125"/>
      <c r="F608" s="109"/>
      <c r="G608" s="109"/>
      <c r="H608" s="227"/>
      <c r="I608" s="227"/>
      <c r="J608" s="227"/>
    </row>
    <row r="609" ht="20.25" customHeight="1">
      <c r="A609" s="112"/>
      <c r="B609" s="113"/>
      <c r="C609" s="114"/>
      <c r="D609" s="114"/>
      <c r="E609" s="280" t="s">
        <v>144</v>
      </c>
      <c r="F609" s="100">
        <v>1475.0</v>
      </c>
      <c r="G609" s="114"/>
      <c r="H609" s="227"/>
      <c r="I609" s="227"/>
      <c r="J609" s="227"/>
    </row>
    <row r="610" ht="20.25" customHeight="1">
      <c r="A610" s="115"/>
      <c r="B610" s="113"/>
      <c r="C610" s="114"/>
      <c r="D610" s="114"/>
      <c r="E610" s="99" t="s">
        <v>978</v>
      </c>
      <c r="F610" s="100">
        <v>810.0</v>
      </c>
      <c r="G610" s="114"/>
      <c r="H610" s="227"/>
      <c r="I610" s="227"/>
      <c r="J610" s="227"/>
    </row>
    <row r="611" ht="20.25" customHeight="1">
      <c r="A611" s="115"/>
      <c r="B611" s="113"/>
      <c r="C611" s="114"/>
      <c r="D611" s="114"/>
      <c r="E611" s="99" t="s">
        <v>1381</v>
      </c>
      <c r="F611" s="100">
        <v>665.0</v>
      </c>
      <c r="G611" s="114"/>
      <c r="H611" s="227"/>
      <c r="I611" s="227"/>
      <c r="J611" s="227"/>
    </row>
    <row r="612" ht="20.25" customHeight="1">
      <c r="A612" s="115"/>
      <c r="B612" s="113"/>
      <c r="C612" s="114"/>
      <c r="D612" s="114"/>
      <c r="E612" s="99" t="s">
        <v>147</v>
      </c>
      <c r="F612" s="100">
        <v>500.0</v>
      </c>
      <c r="G612" s="114"/>
      <c r="H612" s="227"/>
      <c r="I612" s="227"/>
      <c r="J612" s="227"/>
    </row>
    <row r="613" ht="20.25" customHeight="1">
      <c r="A613" s="115"/>
      <c r="B613" s="113"/>
      <c r="C613" s="114"/>
      <c r="D613" s="114"/>
      <c r="E613" s="99" t="s">
        <v>1382</v>
      </c>
      <c r="F613" s="100">
        <v>310.0</v>
      </c>
      <c r="G613" s="114"/>
      <c r="H613" s="227"/>
      <c r="I613" s="227"/>
      <c r="J613" s="227"/>
    </row>
    <row r="614" ht="20.25" customHeight="1">
      <c r="A614" s="265"/>
      <c r="B614" s="227"/>
      <c r="C614" s="227"/>
      <c r="D614" s="227"/>
      <c r="E614" s="227"/>
      <c r="F614" s="227"/>
      <c r="G614" s="227"/>
      <c r="H614" s="227"/>
      <c r="I614" s="227"/>
      <c r="J614" s="227"/>
    </row>
    <row r="615" ht="20.25" customHeight="1">
      <c r="A615" s="102" t="s">
        <v>4</v>
      </c>
      <c r="B615" s="102" t="s">
        <v>5</v>
      </c>
      <c r="C615" s="102" t="s">
        <v>126</v>
      </c>
      <c r="D615" s="102" t="s">
        <v>6</v>
      </c>
      <c r="E615" s="102" t="s">
        <v>7</v>
      </c>
      <c r="F615" s="102" t="s">
        <v>127</v>
      </c>
      <c r="G615" s="103" t="s">
        <v>128</v>
      </c>
      <c r="H615" s="227"/>
      <c r="I615" s="227"/>
      <c r="J615" s="227"/>
    </row>
    <row r="616" ht="20.25" customHeight="1">
      <c r="A616" s="104">
        <v>1.0</v>
      </c>
      <c r="B616" s="105">
        <v>46126.0</v>
      </c>
      <c r="C616" s="106" t="s">
        <v>169</v>
      </c>
      <c r="D616" s="107" t="s">
        <v>1146</v>
      </c>
      <c r="E616" s="107" t="s">
        <v>1383</v>
      </c>
      <c r="F616" s="108" t="s">
        <v>1384</v>
      </c>
      <c r="G616" s="109"/>
      <c r="H616" s="227"/>
      <c r="I616" s="227"/>
      <c r="J616" s="227"/>
    </row>
    <row r="617" ht="20.25" customHeight="1">
      <c r="A617" s="104">
        <v>2.0</v>
      </c>
      <c r="B617" s="120"/>
      <c r="C617" s="110"/>
      <c r="D617" s="107"/>
      <c r="E617" s="107" t="s">
        <v>42</v>
      </c>
      <c r="F617" s="108">
        <v>50.0</v>
      </c>
      <c r="G617" s="109"/>
      <c r="H617" s="227"/>
      <c r="I617" s="227"/>
      <c r="J617" s="227"/>
    </row>
    <row r="618" ht="20.25" customHeight="1">
      <c r="A618" s="104">
        <v>3.0</v>
      </c>
      <c r="B618" s="120"/>
      <c r="C618" s="110"/>
      <c r="D618" s="107"/>
      <c r="E618" s="107" t="s">
        <v>98</v>
      </c>
      <c r="F618" s="108" t="s">
        <v>1385</v>
      </c>
      <c r="G618" s="109"/>
      <c r="H618" s="227"/>
      <c r="I618" s="227"/>
      <c r="J618" s="227"/>
    </row>
    <row r="619" ht="20.25" customHeight="1">
      <c r="A619" s="104">
        <v>4.0</v>
      </c>
      <c r="B619" s="120"/>
      <c r="C619" s="110"/>
      <c r="D619" s="107"/>
      <c r="E619" s="107" t="s">
        <v>105</v>
      </c>
      <c r="F619" s="108">
        <v>60.0</v>
      </c>
      <c r="G619" s="109"/>
      <c r="H619" s="227"/>
      <c r="I619" s="227"/>
      <c r="J619" s="227"/>
    </row>
    <row r="620" ht="20.25" customHeight="1">
      <c r="A620" s="104">
        <v>5.0</v>
      </c>
      <c r="B620" s="120"/>
      <c r="C620" s="110"/>
      <c r="D620" s="107"/>
      <c r="E620" s="107" t="s">
        <v>291</v>
      </c>
      <c r="F620" s="108">
        <v>35.0</v>
      </c>
      <c r="G620" s="109"/>
      <c r="H620" s="227"/>
      <c r="I620" s="227"/>
      <c r="J620" s="227"/>
    </row>
    <row r="621" ht="20.25" customHeight="1">
      <c r="A621" s="104">
        <v>6.0</v>
      </c>
      <c r="B621" s="120"/>
      <c r="C621" s="110"/>
      <c r="D621" s="107"/>
      <c r="E621" s="107" t="s">
        <v>194</v>
      </c>
      <c r="F621" s="108">
        <v>35.0</v>
      </c>
      <c r="G621" s="109"/>
      <c r="H621" s="227"/>
      <c r="I621" s="227"/>
      <c r="J621" s="227"/>
    </row>
    <row r="622" ht="20.25" customHeight="1">
      <c r="A622" s="104">
        <v>7.0</v>
      </c>
      <c r="B622" s="120"/>
      <c r="C622" s="110"/>
      <c r="D622" s="107"/>
      <c r="E622" s="107" t="s">
        <v>1386</v>
      </c>
      <c r="F622" s="108">
        <v>35.0</v>
      </c>
      <c r="G622" s="109"/>
      <c r="H622" s="227"/>
      <c r="I622" s="227"/>
      <c r="J622" s="227"/>
    </row>
    <row r="623" ht="20.25" customHeight="1">
      <c r="A623" s="104">
        <v>8.0</v>
      </c>
      <c r="B623" s="120"/>
      <c r="C623" s="110"/>
      <c r="D623" s="107"/>
      <c r="E623" s="107"/>
      <c r="F623" s="108"/>
      <c r="G623" s="109"/>
      <c r="H623" s="227"/>
      <c r="I623" s="227"/>
      <c r="J623" s="227"/>
    </row>
    <row r="624" ht="20.25" customHeight="1">
      <c r="A624" s="104">
        <v>9.0</v>
      </c>
      <c r="B624" s="120"/>
      <c r="C624" s="110"/>
      <c r="D624" s="107"/>
      <c r="E624" s="107"/>
      <c r="F624" s="109"/>
      <c r="G624" s="109"/>
      <c r="H624" s="227"/>
      <c r="I624" s="227"/>
      <c r="J624" s="227"/>
    </row>
    <row r="625" ht="20.25" customHeight="1">
      <c r="A625" s="104">
        <v>10.0</v>
      </c>
      <c r="B625" s="120"/>
      <c r="C625" s="110"/>
      <c r="D625" s="107"/>
      <c r="E625" s="107"/>
      <c r="F625" s="111"/>
      <c r="G625" s="109"/>
      <c r="H625" s="227"/>
      <c r="I625" s="227"/>
      <c r="J625" s="227"/>
    </row>
    <row r="626" ht="20.25" customHeight="1">
      <c r="A626" s="104">
        <v>11.0</v>
      </c>
      <c r="B626" s="120"/>
      <c r="C626" s="110"/>
      <c r="D626" s="107"/>
      <c r="E626" s="107"/>
      <c r="F626" s="109"/>
      <c r="G626" s="109"/>
      <c r="H626" s="227"/>
      <c r="I626" s="227"/>
      <c r="J626" s="227"/>
    </row>
    <row r="627" ht="20.25" customHeight="1">
      <c r="A627" s="104">
        <v>12.0</v>
      </c>
      <c r="B627" s="120"/>
      <c r="C627" s="110"/>
      <c r="D627" s="107"/>
      <c r="E627" s="107"/>
      <c r="F627" s="109"/>
      <c r="G627" s="109"/>
      <c r="H627" s="227"/>
      <c r="I627" s="227"/>
      <c r="J627" s="227"/>
    </row>
    <row r="628" ht="20.25" customHeight="1">
      <c r="A628" s="104">
        <v>13.0</v>
      </c>
      <c r="B628" s="120"/>
      <c r="C628" s="110"/>
      <c r="D628" s="107"/>
      <c r="E628" s="107"/>
      <c r="F628" s="109"/>
      <c r="G628" s="109"/>
      <c r="H628" s="227"/>
      <c r="I628" s="227"/>
      <c r="J628" s="227"/>
    </row>
    <row r="629" ht="20.25" customHeight="1">
      <c r="A629" s="104">
        <v>14.0</v>
      </c>
      <c r="B629" s="120"/>
      <c r="C629" s="110"/>
      <c r="D629" s="107"/>
      <c r="E629" s="125"/>
      <c r="F629" s="109"/>
      <c r="G629" s="109"/>
      <c r="H629" s="227"/>
      <c r="I629" s="227"/>
      <c r="J629" s="227"/>
    </row>
    <row r="630" ht="20.25" customHeight="1">
      <c r="A630" s="122">
        <v>15.0</v>
      </c>
      <c r="B630" s="123"/>
      <c r="C630" s="124"/>
      <c r="D630" s="107"/>
      <c r="E630" s="125"/>
      <c r="F630" s="109"/>
      <c r="G630" s="109"/>
      <c r="H630" s="227"/>
      <c r="I630" s="227"/>
      <c r="J630" s="227"/>
    </row>
    <row r="631" ht="20.25" customHeight="1">
      <c r="A631" s="112"/>
      <c r="B631" s="113"/>
      <c r="C631" s="114"/>
      <c r="D631" s="114"/>
      <c r="E631" s="280" t="s">
        <v>144</v>
      </c>
      <c r="F631" s="100">
        <v>200.0</v>
      </c>
      <c r="G631" s="114"/>
      <c r="H631" s="227"/>
      <c r="I631" s="227"/>
      <c r="J631" s="227"/>
    </row>
    <row r="632" ht="20.25" customHeight="1">
      <c r="A632" s="115"/>
      <c r="B632" s="113"/>
      <c r="C632" s="114"/>
      <c r="D632" s="114"/>
      <c r="E632" s="99" t="s">
        <v>978</v>
      </c>
      <c r="F632" s="100">
        <v>1340.0</v>
      </c>
      <c r="G632" s="114"/>
      <c r="H632" s="227"/>
      <c r="I632" s="227"/>
      <c r="J632" s="227"/>
    </row>
    <row r="633" ht="20.25" customHeight="1">
      <c r="A633" s="115"/>
      <c r="B633" s="113"/>
      <c r="C633" s="114"/>
      <c r="D633" s="114"/>
      <c r="E633" s="99" t="s">
        <v>1381</v>
      </c>
      <c r="F633" s="100">
        <v>290.0</v>
      </c>
      <c r="G633" s="114"/>
      <c r="H633" s="227"/>
      <c r="I633" s="227"/>
      <c r="J633" s="227"/>
    </row>
    <row r="634" ht="20.25" customHeight="1">
      <c r="A634" s="115"/>
      <c r="B634" s="113"/>
      <c r="C634" s="114"/>
      <c r="D634" s="114"/>
      <c r="E634" s="99" t="s">
        <v>147</v>
      </c>
      <c r="F634" s="100">
        <v>220.0</v>
      </c>
      <c r="G634" s="114"/>
      <c r="H634" s="227"/>
      <c r="I634" s="227"/>
      <c r="J634" s="227"/>
    </row>
    <row r="635" ht="20.25" customHeight="1">
      <c r="A635" s="115"/>
      <c r="B635" s="113"/>
      <c r="C635" s="114"/>
      <c r="D635" s="114"/>
      <c r="E635" s="99" t="s">
        <v>1382</v>
      </c>
      <c r="F635" s="100">
        <v>1120.0</v>
      </c>
      <c r="G635" s="114"/>
      <c r="H635" s="227"/>
      <c r="I635" s="227"/>
      <c r="J635" s="227"/>
    </row>
    <row r="636" ht="20.25" customHeight="1">
      <c r="A636" s="265"/>
      <c r="B636" s="227"/>
      <c r="C636" s="227"/>
      <c r="D636" s="227"/>
      <c r="E636" s="227"/>
      <c r="F636" s="227"/>
      <c r="G636" s="227"/>
      <c r="H636" s="227"/>
      <c r="I636" s="227"/>
      <c r="J636" s="227"/>
    </row>
    <row r="637" ht="20.25" customHeight="1">
      <c r="A637" s="102" t="s">
        <v>4</v>
      </c>
      <c r="B637" s="102" t="s">
        <v>5</v>
      </c>
      <c r="C637" s="102" t="s">
        <v>126</v>
      </c>
      <c r="D637" s="102" t="s">
        <v>6</v>
      </c>
      <c r="E637" s="102" t="s">
        <v>7</v>
      </c>
      <c r="F637" s="102" t="s">
        <v>127</v>
      </c>
      <c r="G637" s="103" t="s">
        <v>128</v>
      </c>
      <c r="H637" s="227"/>
      <c r="I637" s="227"/>
      <c r="J637" s="227"/>
    </row>
    <row r="638" ht="20.25" customHeight="1">
      <c r="A638" s="104">
        <v>1.0</v>
      </c>
      <c r="B638" s="105">
        <v>46127.0</v>
      </c>
      <c r="C638" s="106" t="s">
        <v>588</v>
      </c>
      <c r="D638" s="107" t="s">
        <v>1146</v>
      </c>
      <c r="E638" s="107" t="s">
        <v>1387</v>
      </c>
      <c r="F638" s="108">
        <v>35.0</v>
      </c>
      <c r="G638" s="109"/>
      <c r="H638" s="227"/>
      <c r="I638" s="227"/>
      <c r="J638" s="227"/>
    </row>
    <row r="639" ht="20.25" customHeight="1">
      <c r="A639" s="104">
        <v>2.0</v>
      </c>
      <c r="B639" s="120"/>
      <c r="C639" s="110"/>
      <c r="D639" s="107"/>
      <c r="E639" s="107" t="s">
        <v>1388</v>
      </c>
      <c r="F639" s="111" t="s">
        <v>1389</v>
      </c>
      <c r="G639" s="109"/>
      <c r="H639" s="227"/>
      <c r="I639" s="227"/>
      <c r="J639" s="227"/>
    </row>
    <row r="640" ht="20.25" customHeight="1">
      <c r="A640" s="104">
        <v>3.0</v>
      </c>
      <c r="B640" s="120"/>
      <c r="C640" s="110"/>
      <c r="D640" s="107"/>
      <c r="E640" s="107" t="s">
        <v>1390</v>
      </c>
      <c r="F640" s="108">
        <v>40.0</v>
      </c>
      <c r="G640" s="109"/>
      <c r="H640" s="227"/>
      <c r="I640" s="227"/>
      <c r="J640" s="227"/>
    </row>
    <row r="641" ht="20.25" customHeight="1">
      <c r="A641" s="104">
        <v>4.0</v>
      </c>
      <c r="B641" s="120"/>
      <c r="C641" s="110"/>
      <c r="D641" s="107"/>
      <c r="E641" s="107" t="s">
        <v>1391</v>
      </c>
      <c r="F641" s="108" t="s">
        <v>1392</v>
      </c>
      <c r="G641" s="109"/>
      <c r="H641" s="227"/>
      <c r="I641" s="227"/>
      <c r="J641" s="227"/>
    </row>
    <row r="642" ht="20.25" customHeight="1">
      <c r="A642" s="104">
        <v>5.0</v>
      </c>
      <c r="B642" s="120"/>
      <c r="C642" s="110"/>
      <c r="D642" s="107"/>
      <c r="E642" s="107" t="s">
        <v>1393</v>
      </c>
      <c r="F642" s="108">
        <v>40.0</v>
      </c>
      <c r="G642" s="109"/>
      <c r="H642" s="227"/>
      <c r="I642" s="227"/>
      <c r="J642" s="227"/>
    </row>
    <row r="643" ht="20.25" customHeight="1">
      <c r="A643" s="104">
        <v>6.0</v>
      </c>
      <c r="B643" s="120"/>
      <c r="C643" s="110"/>
      <c r="D643" s="107"/>
      <c r="E643" s="107" t="s">
        <v>1394</v>
      </c>
      <c r="F643" s="108">
        <v>35.0</v>
      </c>
      <c r="G643" s="109"/>
      <c r="H643" s="227"/>
      <c r="I643" s="227"/>
      <c r="J643" s="227"/>
    </row>
    <row r="644" ht="20.25" customHeight="1">
      <c r="A644" s="112"/>
      <c r="B644" s="113"/>
      <c r="C644" s="114"/>
      <c r="D644" s="114"/>
      <c r="E644" s="280" t="s">
        <v>144</v>
      </c>
      <c r="F644" s="100">
        <v>0.0</v>
      </c>
      <c r="G644" s="114"/>
      <c r="H644" s="227"/>
      <c r="I644" s="227"/>
      <c r="J644" s="227"/>
    </row>
    <row r="645" ht="20.25" customHeight="1">
      <c r="A645" s="115"/>
      <c r="B645" s="113"/>
      <c r="C645" s="114"/>
      <c r="D645" s="114"/>
      <c r="E645" s="99" t="s">
        <v>978</v>
      </c>
      <c r="F645" s="100">
        <f>35+40+195+40+40+35</f>
        <v>385</v>
      </c>
      <c r="G645" s="114"/>
      <c r="H645" s="227"/>
      <c r="I645" s="227"/>
      <c r="J645" s="227"/>
    </row>
    <row r="646" ht="20.25" customHeight="1">
      <c r="A646" s="115"/>
      <c r="B646" s="113"/>
      <c r="C646" s="114"/>
      <c r="D646" s="114"/>
      <c r="E646" s="99" t="s">
        <v>1381</v>
      </c>
      <c r="F646" s="100">
        <f>35+35+40+40+40+35</f>
        <v>225</v>
      </c>
      <c r="G646" s="114"/>
      <c r="H646" s="227"/>
      <c r="I646" s="227"/>
      <c r="J646" s="227"/>
    </row>
    <row r="647" ht="20.25" customHeight="1">
      <c r="A647" s="115"/>
      <c r="B647" s="113"/>
      <c r="C647" s="114"/>
      <c r="D647" s="114"/>
      <c r="E647" s="99" t="s">
        <v>147</v>
      </c>
      <c r="F647" s="100">
        <v>170.0</v>
      </c>
      <c r="G647" s="114"/>
      <c r="H647" s="227"/>
      <c r="I647" s="227"/>
      <c r="J647" s="227"/>
    </row>
    <row r="648" ht="20.25" customHeight="1">
      <c r="A648" s="115"/>
      <c r="B648" s="113"/>
      <c r="C648" s="114"/>
      <c r="D648" s="114"/>
      <c r="E648" s="99" t="s">
        <v>1382</v>
      </c>
      <c r="F648" s="100">
        <f>F645-F647</f>
        <v>215</v>
      </c>
      <c r="G648" s="114"/>
      <c r="H648" s="227"/>
      <c r="I648" s="227"/>
      <c r="J648" s="227"/>
    </row>
    <row r="649" ht="20.25" customHeight="1">
      <c r="A649" s="265"/>
      <c r="B649" s="227"/>
      <c r="C649" s="227"/>
      <c r="D649" s="227"/>
      <c r="E649" s="227"/>
      <c r="F649" s="227"/>
      <c r="G649" s="227"/>
      <c r="H649" s="227"/>
      <c r="I649" s="227"/>
      <c r="J649" s="227"/>
    </row>
    <row r="650" ht="20.25" customHeight="1">
      <c r="A650" s="102" t="s">
        <v>4</v>
      </c>
      <c r="B650" s="102" t="s">
        <v>5</v>
      </c>
      <c r="C650" s="102" t="s">
        <v>126</v>
      </c>
      <c r="D650" s="102" t="s">
        <v>6</v>
      </c>
      <c r="E650" s="102" t="s">
        <v>7</v>
      </c>
      <c r="F650" s="102" t="s">
        <v>127</v>
      </c>
      <c r="G650" s="103" t="s">
        <v>128</v>
      </c>
      <c r="H650" s="227"/>
      <c r="I650" s="227"/>
      <c r="J650" s="227"/>
    </row>
    <row r="651" ht="20.25" customHeight="1">
      <c r="A651" s="104">
        <v>1.0</v>
      </c>
      <c r="B651" s="105">
        <v>46128.0</v>
      </c>
      <c r="C651" s="106" t="s">
        <v>310</v>
      </c>
      <c r="D651" s="107" t="s">
        <v>1146</v>
      </c>
      <c r="E651" s="107" t="s">
        <v>1395</v>
      </c>
      <c r="F651" s="108"/>
      <c r="G651" s="109"/>
      <c r="H651" s="227"/>
      <c r="I651" s="227"/>
      <c r="J651" s="227"/>
    </row>
    <row r="652" ht="20.25" customHeight="1">
      <c r="A652" s="104">
        <v>2.0</v>
      </c>
      <c r="B652" s="120"/>
      <c r="C652" s="110"/>
      <c r="D652" s="107"/>
      <c r="E652" s="107" t="s">
        <v>1396</v>
      </c>
      <c r="F652" s="108"/>
      <c r="G652" s="109"/>
      <c r="H652" s="279"/>
      <c r="I652" s="279"/>
      <c r="J652" s="279"/>
    </row>
    <row r="653" ht="20.25" customHeight="1">
      <c r="A653" s="104">
        <v>3.0</v>
      </c>
      <c r="B653" s="120"/>
      <c r="C653" s="110"/>
      <c r="D653" s="107"/>
      <c r="E653" s="107" t="s">
        <v>317</v>
      </c>
      <c r="F653" s="108"/>
      <c r="G653" s="109"/>
      <c r="H653" s="227"/>
      <c r="I653" s="227"/>
      <c r="J653" s="227"/>
    </row>
    <row r="654" ht="20.25" customHeight="1">
      <c r="A654" s="104">
        <v>4.0</v>
      </c>
      <c r="B654" s="120"/>
      <c r="C654" s="110"/>
      <c r="D654" s="107"/>
      <c r="E654" s="107" t="s">
        <v>1397</v>
      </c>
      <c r="F654" s="108"/>
      <c r="G654" s="109"/>
      <c r="H654" s="227"/>
      <c r="I654" s="227"/>
      <c r="J654" s="227"/>
    </row>
    <row r="655" ht="20.25" customHeight="1">
      <c r="A655" s="104">
        <v>5.0</v>
      </c>
      <c r="B655" s="120"/>
      <c r="C655" s="110"/>
      <c r="D655" s="107"/>
      <c r="E655" s="107" t="s">
        <v>1398</v>
      </c>
      <c r="F655" s="108"/>
      <c r="G655" s="109"/>
      <c r="H655" s="227"/>
      <c r="I655" s="227"/>
      <c r="J655" s="227"/>
    </row>
    <row r="656" ht="20.25" customHeight="1">
      <c r="A656" s="104">
        <v>6.0</v>
      </c>
      <c r="B656" s="120"/>
      <c r="C656" s="110"/>
      <c r="D656" s="107"/>
      <c r="E656" s="107" t="s">
        <v>1399</v>
      </c>
      <c r="F656" s="108"/>
      <c r="G656" s="109"/>
      <c r="H656" s="227"/>
      <c r="I656" s="227"/>
      <c r="J656" s="227"/>
    </row>
    <row r="657" ht="20.25" customHeight="1">
      <c r="A657" s="104">
        <v>7.0</v>
      </c>
      <c r="B657" s="120"/>
      <c r="C657" s="110"/>
      <c r="D657" s="107"/>
      <c r="E657" s="107" t="s">
        <v>1400</v>
      </c>
      <c r="F657" s="108"/>
      <c r="G657" s="109"/>
      <c r="H657" s="227"/>
      <c r="I657" s="227"/>
      <c r="J657" s="227"/>
    </row>
    <row r="658" ht="20.25" customHeight="1">
      <c r="A658" s="104">
        <v>8.0</v>
      </c>
      <c r="B658" s="120"/>
      <c r="C658" s="110"/>
      <c r="D658" s="107"/>
      <c r="E658" s="107"/>
      <c r="F658" s="108"/>
      <c r="G658" s="109"/>
      <c r="H658" s="227"/>
      <c r="I658" s="227"/>
      <c r="J658" s="227"/>
    </row>
    <row r="659" ht="20.25" customHeight="1">
      <c r="A659" s="104">
        <v>9.0</v>
      </c>
      <c r="B659" s="120"/>
      <c r="C659" s="110"/>
      <c r="D659" s="107"/>
      <c r="E659" s="107"/>
      <c r="F659" s="109"/>
      <c r="G659" s="109"/>
      <c r="H659" s="227"/>
      <c r="I659" s="227"/>
      <c r="J659" s="227"/>
    </row>
    <row r="660" ht="20.25" customHeight="1">
      <c r="A660" s="104">
        <v>10.0</v>
      </c>
      <c r="B660" s="120"/>
      <c r="C660" s="110"/>
      <c r="D660" s="107"/>
      <c r="E660" s="107"/>
      <c r="F660" s="111"/>
      <c r="G660" s="109"/>
      <c r="H660" s="227"/>
      <c r="I660" s="227"/>
      <c r="J660" s="227"/>
    </row>
    <row r="661" ht="20.25" customHeight="1">
      <c r="A661" s="104">
        <v>11.0</v>
      </c>
      <c r="B661" s="120"/>
      <c r="C661" s="110"/>
      <c r="D661" s="107"/>
      <c r="E661" s="107"/>
      <c r="F661" s="109"/>
      <c r="G661" s="109"/>
      <c r="H661" s="227"/>
      <c r="I661" s="227"/>
      <c r="J661" s="227"/>
    </row>
    <row r="662" ht="20.25" customHeight="1">
      <c r="A662" s="104">
        <v>12.0</v>
      </c>
      <c r="B662" s="120"/>
      <c r="C662" s="110"/>
      <c r="D662" s="107"/>
      <c r="E662" s="107"/>
      <c r="F662" s="109"/>
      <c r="G662" s="109"/>
      <c r="H662" s="227"/>
      <c r="I662" s="227"/>
      <c r="J662" s="227"/>
    </row>
    <row r="663" ht="20.25" customHeight="1">
      <c r="A663" s="104">
        <v>13.0</v>
      </c>
      <c r="B663" s="120"/>
      <c r="C663" s="110"/>
      <c r="D663" s="107"/>
      <c r="E663" s="107"/>
      <c r="F663" s="109"/>
      <c r="G663" s="109"/>
      <c r="H663" s="227"/>
      <c r="I663" s="227"/>
      <c r="J663" s="227"/>
    </row>
    <row r="664" ht="20.25" customHeight="1">
      <c r="A664" s="104">
        <v>14.0</v>
      </c>
      <c r="B664" s="120"/>
      <c r="C664" s="110"/>
      <c r="D664" s="107"/>
      <c r="E664" s="125"/>
      <c r="F664" s="109"/>
      <c r="G664" s="109"/>
      <c r="H664" s="227"/>
      <c r="I664" s="227"/>
      <c r="J664" s="227"/>
    </row>
    <row r="665" ht="20.25" customHeight="1">
      <c r="A665" s="122">
        <v>15.0</v>
      </c>
      <c r="B665" s="123"/>
      <c r="C665" s="124"/>
      <c r="D665" s="107"/>
      <c r="E665" s="125"/>
      <c r="F665" s="109"/>
      <c r="G665" s="109"/>
      <c r="H665" s="227"/>
      <c r="I665" s="227"/>
      <c r="J665" s="227"/>
    </row>
    <row r="666" ht="20.25" customHeight="1">
      <c r="A666" s="112"/>
      <c r="B666" s="113"/>
      <c r="C666" s="114"/>
      <c r="D666" s="114"/>
      <c r="E666" s="280" t="s">
        <v>144</v>
      </c>
      <c r="F666" s="100">
        <v>500.0</v>
      </c>
      <c r="G666" s="114"/>
      <c r="H666" s="227"/>
      <c r="I666" s="227"/>
      <c r="J666" s="227"/>
    </row>
    <row r="667" ht="20.25" customHeight="1">
      <c r="A667" s="115"/>
      <c r="B667" s="113"/>
      <c r="C667" s="114"/>
      <c r="D667" s="114"/>
      <c r="E667" s="99" t="s">
        <v>978</v>
      </c>
      <c r="F667" s="100">
        <v>370.0</v>
      </c>
      <c r="G667" s="114"/>
      <c r="H667" s="227"/>
      <c r="I667" s="227"/>
      <c r="J667" s="227"/>
    </row>
    <row r="668" ht="20.25" customHeight="1">
      <c r="A668" s="115"/>
      <c r="B668" s="113"/>
      <c r="C668" s="114"/>
      <c r="D668" s="114"/>
      <c r="E668" s="99" t="s">
        <v>1381</v>
      </c>
      <c r="F668" s="100">
        <v>460.0</v>
      </c>
      <c r="G668" s="114"/>
      <c r="H668" s="227"/>
      <c r="I668" s="227"/>
      <c r="J668" s="227"/>
    </row>
    <row r="669" ht="20.25" customHeight="1">
      <c r="A669" s="115"/>
      <c r="B669" s="113"/>
      <c r="C669" s="114"/>
      <c r="D669" s="114"/>
      <c r="E669" s="99" t="s">
        <v>147</v>
      </c>
      <c r="F669" s="100">
        <v>345.0</v>
      </c>
      <c r="G669" s="114"/>
      <c r="H669" s="227"/>
      <c r="I669" s="227"/>
      <c r="J669" s="227"/>
    </row>
    <row r="670" ht="20.25" customHeight="1">
      <c r="A670" s="115"/>
      <c r="B670" s="113"/>
      <c r="C670" s="114"/>
      <c r="D670" s="114"/>
      <c r="E670" s="99" t="s">
        <v>1382</v>
      </c>
      <c r="F670" s="100">
        <v>25.0</v>
      </c>
      <c r="G670" s="114"/>
      <c r="H670" s="227"/>
      <c r="I670" s="227"/>
      <c r="J670" s="227"/>
    </row>
    <row r="671" ht="20.25" customHeight="1">
      <c r="A671" s="102" t="s">
        <v>4</v>
      </c>
      <c r="B671" s="102" t="s">
        <v>5</v>
      </c>
      <c r="C671" s="102" t="s">
        <v>126</v>
      </c>
      <c r="D671" s="102" t="s">
        <v>6</v>
      </c>
      <c r="E671" s="102" t="s">
        <v>7</v>
      </c>
      <c r="F671" s="102" t="s">
        <v>127</v>
      </c>
      <c r="G671" s="103" t="s">
        <v>128</v>
      </c>
      <c r="H671" s="227"/>
      <c r="I671" s="227"/>
      <c r="J671" s="227"/>
    </row>
    <row r="672" ht="20.25" customHeight="1">
      <c r="A672" s="104">
        <v>1.0</v>
      </c>
      <c r="B672" s="105">
        <v>46130.0</v>
      </c>
      <c r="C672" s="106" t="s">
        <v>341</v>
      </c>
      <c r="D672" s="107" t="s">
        <v>1146</v>
      </c>
      <c r="E672" s="107" t="s">
        <v>1401</v>
      </c>
      <c r="F672" s="108"/>
      <c r="G672" s="109"/>
      <c r="H672" s="227"/>
      <c r="I672" s="227"/>
      <c r="J672" s="227"/>
    </row>
    <row r="673" ht="20.25" customHeight="1">
      <c r="A673" s="104">
        <v>2.0</v>
      </c>
      <c r="B673" s="120"/>
      <c r="C673" s="110"/>
      <c r="D673" s="107"/>
      <c r="E673" s="107" t="s">
        <v>1402</v>
      </c>
      <c r="F673" s="108"/>
      <c r="G673" s="109"/>
      <c r="H673" s="227"/>
      <c r="I673" s="227"/>
      <c r="J673" s="227"/>
    </row>
    <row r="674" ht="20.25" customHeight="1">
      <c r="A674" s="104">
        <v>3.0</v>
      </c>
      <c r="B674" s="120"/>
      <c r="C674" s="110"/>
      <c r="D674" s="107"/>
      <c r="E674" s="107" t="s">
        <v>1403</v>
      </c>
      <c r="F674" s="108"/>
      <c r="G674" s="109"/>
      <c r="H674" s="227"/>
      <c r="I674" s="227"/>
      <c r="J674" s="227"/>
    </row>
    <row r="675" ht="20.25" customHeight="1">
      <c r="A675" s="104">
        <v>4.0</v>
      </c>
      <c r="B675" s="120"/>
      <c r="C675" s="110"/>
      <c r="D675" s="107"/>
      <c r="E675" s="107" t="s">
        <v>1404</v>
      </c>
      <c r="F675" s="108"/>
      <c r="G675" s="109"/>
      <c r="H675" s="227"/>
      <c r="I675" s="227"/>
      <c r="J675" s="227"/>
    </row>
    <row r="676" ht="20.25" customHeight="1">
      <c r="A676" s="104">
        <v>5.0</v>
      </c>
      <c r="B676" s="120"/>
      <c r="C676" s="110"/>
      <c r="D676" s="107"/>
      <c r="E676" s="107" t="s">
        <v>1405</v>
      </c>
      <c r="F676" s="108"/>
      <c r="G676" s="109"/>
      <c r="H676" s="227"/>
      <c r="I676" s="227"/>
      <c r="J676" s="227"/>
    </row>
    <row r="677" ht="20.25" customHeight="1">
      <c r="A677" s="104">
        <v>6.0</v>
      </c>
      <c r="B677" s="120"/>
      <c r="C677" s="110"/>
      <c r="D677" s="107"/>
      <c r="E677" s="107"/>
      <c r="F677" s="108"/>
      <c r="G677" s="109"/>
      <c r="H677" s="227"/>
      <c r="I677" s="227"/>
      <c r="J677" s="227"/>
    </row>
    <row r="678" ht="20.25" customHeight="1">
      <c r="A678" s="104">
        <v>7.0</v>
      </c>
      <c r="B678" s="120"/>
      <c r="C678" s="110"/>
      <c r="D678" s="107"/>
      <c r="E678" s="107"/>
      <c r="F678" s="108"/>
      <c r="G678" s="109"/>
      <c r="H678" s="227"/>
      <c r="I678" s="227"/>
      <c r="J678" s="227"/>
    </row>
    <row r="679" ht="20.25" customHeight="1">
      <c r="A679" s="104">
        <v>8.0</v>
      </c>
      <c r="B679" s="120"/>
      <c r="C679" s="110"/>
      <c r="D679" s="107"/>
      <c r="E679" s="107"/>
      <c r="F679" s="108"/>
      <c r="G679" s="109"/>
      <c r="H679" s="227"/>
      <c r="I679" s="227"/>
      <c r="J679" s="227"/>
    </row>
    <row r="680" ht="20.25" customHeight="1">
      <c r="A680" s="104">
        <v>9.0</v>
      </c>
      <c r="B680" s="120"/>
      <c r="C680" s="110"/>
      <c r="D680" s="107"/>
      <c r="E680" s="107"/>
      <c r="F680" s="109"/>
      <c r="G680" s="109"/>
      <c r="H680" s="227"/>
      <c r="I680" s="227"/>
      <c r="J680" s="227"/>
    </row>
    <row r="681" ht="20.25" customHeight="1">
      <c r="A681" s="104">
        <v>10.0</v>
      </c>
      <c r="B681" s="120"/>
      <c r="C681" s="110"/>
      <c r="D681" s="107"/>
      <c r="E681" s="107"/>
      <c r="F681" s="111"/>
      <c r="G681" s="109"/>
      <c r="H681" s="227"/>
      <c r="I681" s="227"/>
      <c r="J681" s="227"/>
    </row>
    <row r="682" ht="20.25" customHeight="1">
      <c r="A682" s="104">
        <v>11.0</v>
      </c>
      <c r="B682" s="120"/>
      <c r="C682" s="110"/>
      <c r="D682" s="107"/>
      <c r="E682" s="107"/>
      <c r="F682" s="109"/>
      <c r="G682" s="109"/>
      <c r="H682" s="227"/>
      <c r="I682" s="227"/>
      <c r="J682" s="227"/>
    </row>
    <row r="683" ht="20.25" customHeight="1">
      <c r="A683" s="104">
        <v>12.0</v>
      </c>
      <c r="B683" s="120"/>
      <c r="C683" s="110"/>
      <c r="D683" s="107"/>
      <c r="F683" s="109"/>
      <c r="G683" s="109"/>
      <c r="H683" s="227"/>
      <c r="I683" s="227"/>
      <c r="J683" s="227"/>
    </row>
    <row r="684" ht="20.25" customHeight="1">
      <c r="A684" s="104">
        <v>13.0</v>
      </c>
      <c r="B684" s="120"/>
      <c r="C684" s="110"/>
      <c r="D684" s="107"/>
      <c r="E684" s="107"/>
      <c r="F684" s="109"/>
      <c r="G684" s="109"/>
      <c r="H684" s="227"/>
      <c r="I684" s="227"/>
      <c r="J684" s="227"/>
    </row>
    <row r="685" ht="20.25" customHeight="1">
      <c r="A685" s="104">
        <v>14.0</v>
      </c>
      <c r="B685" s="120"/>
      <c r="C685" s="110"/>
      <c r="D685" s="107"/>
      <c r="E685" s="125"/>
      <c r="F685" s="109"/>
      <c r="G685" s="109"/>
      <c r="H685" s="227"/>
      <c r="I685" s="227"/>
      <c r="J685" s="227"/>
    </row>
    <row r="686" ht="20.25" customHeight="1">
      <c r="A686" s="122">
        <v>15.0</v>
      </c>
      <c r="B686" s="123"/>
      <c r="C686" s="124"/>
      <c r="D686" s="107"/>
      <c r="E686" s="125"/>
      <c r="F686" s="109"/>
      <c r="G686" s="109"/>
      <c r="H686" s="227"/>
      <c r="I686" s="227"/>
      <c r="J686" s="227"/>
    </row>
    <row r="687" ht="20.25" customHeight="1">
      <c r="A687" s="112"/>
      <c r="B687" s="113"/>
      <c r="C687" s="114"/>
      <c r="D687" s="114"/>
      <c r="E687" s="280" t="s">
        <v>144</v>
      </c>
      <c r="F687" s="100"/>
      <c r="G687" s="114"/>
      <c r="H687" s="227"/>
      <c r="I687" s="227"/>
      <c r="J687" s="227"/>
    </row>
    <row r="688" ht="20.25" customHeight="1">
      <c r="A688" s="115"/>
      <c r="B688" s="113"/>
      <c r="C688" s="114"/>
      <c r="D688" s="114"/>
      <c r="E688" s="99" t="s">
        <v>978</v>
      </c>
      <c r="F688" s="100">
        <v>505.0</v>
      </c>
      <c r="G688" s="114"/>
      <c r="H688" s="227"/>
      <c r="I688" s="227"/>
      <c r="J688" s="227"/>
    </row>
    <row r="689" ht="20.25" customHeight="1">
      <c r="A689" s="115"/>
      <c r="B689" s="113"/>
      <c r="C689" s="114"/>
      <c r="D689" s="114"/>
      <c r="E689" s="99" t="s">
        <v>1381</v>
      </c>
      <c r="F689" s="100">
        <v>185.0</v>
      </c>
      <c r="G689" s="114"/>
      <c r="H689" s="227"/>
      <c r="I689" s="227"/>
      <c r="J689" s="227"/>
    </row>
    <row r="690" ht="20.25" customHeight="1">
      <c r="A690" s="115"/>
      <c r="B690" s="113"/>
      <c r="C690" s="114"/>
      <c r="D690" s="114"/>
      <c r="E690" s="99" t="s">
        <v>147</v>
      </c>
      <c r="F690" s="100">
        <v>140.0</v>
      </c>
      <c r="G690" s="114"/>
      <c r="H690" s="227"/>
      <c r="I690" s="227"/>
      <c r="J690" s="227"/>
    </row>
    <row r="691" ht="20.25" customHeight="1">
      <c r="A691" s="115"/>
      <c r="B691" s="113"/>
      <c r="C691" s="114"/>
      <c r="D691" s="114"/>
      <c r="E691" s="99" t="s">
        <v>1382</v>
      </c>
      <c r="F691" s="100" t="s">
        <v>1406</v>
      </c>
      <c r="G691" s="114"/>
      <c r="H691" s="227"/>
      <c r="I691" s="227"/>
      <c r="J691" s="227"/>
    </row>
    <row r="692" ht="20.25" customHeight="1">
      <c r="A692" s="115"/>
      <c r="B692" s="113"/>
      <c r="C692" s="114"/>
      <c r="D692" s="114"/>
      <c r="E692" s="221"/>
      <c r="F692" s="222"/>
      <c r="G692" s="114"/>
      <c r="H692" s="227"/>
      <c r="I692" s="227"/>
      <c r="J692" s="227"/>
    </row>
    <row r="693" ht="20.25" customHeight="1">
      <c r="A693" s="102" t="s">
        <v>4</v>
      </c>
      <c r="B693" s="102" t="s">
        <v>5</v>
      </c>
      <c r="C693" s="102" t="s">
        <v>126</v>
      </c>
      <c r="D693" s="102" t="s">
        <v>6</v>
      </c>
      <c r="E693" s="102" t="s">
        <v>7</v>
      </c>
      <c r="F693" s="102" t="s">
        <v>127</v>
      </c>
      <c r="G693" s="103" t="s">
        <v>128</v>
      </c>
      <c r="H693" s="227"/>
      <c r="I693" s="227"/>
      <c r="J693" s="227"/>
    </row>
    <row r="694" ht="20.25" customHeight="1">
      <c r="A694" s="104">
        <v>1.0</v>
      </c>
      <c r="B694" s="105">
        <v>46131.0</v>
      </c>
      <c r="C694" s="106" t="s">
        <v>476</v>
      </c>
      <c r="D694" s="107" t="s">
        <v>1146</v>
      </c>
      <c r="E694" s="107" t="s">
        <v>1222</v>
      </c>
      <c r="F694" s="108">
        <v>35.0</v>
      </c>
      <c r="G694" s="109"/>
      <c r="H694" s="227"/>
      <c r="I694" s="227"/>
      <c r="J694" s="227"/>
    </row>
    <row r="695" ht="20.25" customHeight="1">
      <c r="A695" s="104">
        <v>2.0</v>
      </c>
      <c r="B695" s="120"/>
      <c r="C695" s="110"/>
      <c r="D695" s="107"/>
      <c r="E695" s="107" t="s">
        <v>1407</v>
      </c>
      <c r="F695" s="108">
        <v>35.0</v>
      </c>
      <c r="G695" s="109"/>
      <c r="H695" s="227"/>
      <c r="I695" s="227"/>
      <c r="J695" s="227"/>
    </row>
    <row r="696" ht="20.25" customHeight="1">
      <c r="A696" s="104">
        <v>3.0</v>
      </c>
      <c r="B696" s="120"/>
      <c r="C696" s="110"/>
      <c r="D696" s="107"/>
      <c r="E696" s="107" t="s">
        <v>1408</v>
      </c>
      <c r="F696" s="108">
        <v>180.0</v>
      </c>
      <c r="G696" s="109"/>
      <c r="H696" s="227"/>
      <c r="I696" s="227"/>
      <c r="J696" s="227"/>
    </row>
    <row r="697" ht="20.25" customHeight="1">
      <c r="A697" s="104">
        <v>4.0</v>
      </c>
      <c r="B697" s="120"/>
      <c r="C697" s="110"/>
      <c r="D697" s="107"/>
      <c r="E697" s="107" t="s">
        <v>1409</v>
      </c>
      <c r="F697" s="108">
        <v>35.0</v>
      </c>
      <c r="G697" s="109"/>
      <c r="H697" s="227"/>
      <c r="I697" s="227"/>
      <c r="J697" s="227"/>
    </row>
    <row r="698" ht="20.25" customHeight="1">
      <c r="A698" s="104">
        <v>5.0</v>
      </c>
      <c r="B698" s="120"/>
      <c r="C698" s="110"/>
      <c r="D698" s="107"/>
      <c r="E698" s="107" t="s">
        <v>1410</v>
      </c>
      <c r="F698" s="108">
        <v>155.0</v>
      </c>
      <c r="G698" s="109"/>
      <c r="H698" s="227"/>
      <c r="I698" s="227"/>
      <c r="J698" s="227"/>
    </row>
    <row r="699" ht="20.25" customHeight="1">
      <c r="A699" s="112"/>
      <c r="B699" s="113"/>
      <c r="C699" s="114"/>
      <c r="D699" s="114"/>
      <c r="E699" s="280" t="s">
        <v>144</v>
      </c>
      <c r="F699" s="100">
        <v>500.0</v>
      </c>
      <c r="G699" s="114"/>
      <c r="H699" s="227"/>
      <c r="I699" s="227"/>
      <c r="J699" s="227"/>
    </row>
    <row r="700" ht="20.25" customHeight="1">
      <c r="A700" s="115"/>
      <c r="B700" s="113"/>
      <c r="C700" s="114"/>
      <c r="D700" s="114"/>
      <c r="E700" s="99" t="s">
        <v>978</v>
      </c>
      <c r="F700" s="100">
        <v>940.0</v>
      </c>
      <c r="G700" s="114"/>
      <c r="H700" s="227"/>
      <c r="I700" s="227"/>
      <c r="J700" s="227"/>
    </row>
    <row r="701" ht="20.25" customHeight="1">
      <c r="A701" s="115"/>
      <c r="B701" s="113"/>
      <c r="C701" s="114"/>
      <c r="D701" s="114"/>
      <c r="E701" s="99" t="s">
        <v>1381</v>
      </c>
      <c r="F701" s="100">
        <v>440.0</v>
      </c>
      <c r="G701" s="114"/>
      <c r="H701" s="227"/>
      <c r="I701" s="227"/>
      <c r="J701" s="227"/>
    </row>
    <row r="702" ht="20.25" customHeight="1">
      <c r="A702" s="115"/>
      <c r="B702" s="113"/>
      <c r="C702" s="114"/>
      <c r="D702" s="114"/>
      <c r="E702" s="99" t="s">
        <v>147</v>
      </c>
      <c r="F702" s="100">
        <v>330.0</v>
      </c>
      <c r="G702" s="114"/>
      <c r="H702" s="227"/>
      <c r="I702" s="227"/>
      <c r="J702" s="227"/>
    </row>
    <row r="703" ht="20.25" customHeight="1">
      <c r="A703" s="115"/>
      <c r="B703" s="113"/>
      <c r="C703" s="114"/>
      <c r="D703" s="114"/>
      <c r="E703" s="99" t="s">
        <v>1382</v>
      </c>
      <c r="F703" s="100">
        <v>610.0</v>
      </c>
      <c r="G703" s="114"/>
      <c r="H703" s="227"/>
      <c r="I703" s="227"/>
      <c r="J703" s="227"/>
    </row>
    <row r="704" ht="20.25" customHeight="1">
      <c r="A704" s="102" t="s">
        <v>4</v>
      </c>
      <c r="B704" s="102" t="s">
        <v>5</v>
      </c>
      <c r="C704" s="102" t="s">
        <v>126</v>
      </c>
      <c r="D704" s="102" t="s">
        <v>6</v>
      </c>
      <c r="E704" s="102" t="s">
        <v>7</v>
      </c>
      <c r="F704" s="102" t="s">
        <v>127</v>
      </c>
      <c r="G704" s="103" t="s">
        <v>128</v>
      </c>
      <c r="H704" s="227"/>
      <c r="I704" s="227"/>
      <c r="J704" s="227"/>
    </row>
    <row r="705" ht="20.25" customHeight="1">
      <c r="A705" s="104">
        <v>1.0</v>
      </c>
      <c r="B705" s="105">
        <v>46132.0</v>
      </c>
      <c r="C705" s="106" t="s">
        <v>1018</v>
      </c>
      <c r="D705" s="107" t="s">
        <v>1146</v>
      </c>
      <c r="E705" s="107" t="s">
        <v>1411</v>
      </c>
      <c r="F705" s="108"/>
      <c r="G705" s="109"/>
      <c r="H705" s="227"/>
      <c r="I705" s="227"/>
      <c r="J705" s="227"/>
    </row>
    <row r="706" ht="20.25" customHeight="1">
      <c r="A706" s="104">
        <v>2.0</v>
      </c>
      <c r="B706" s="120"/>
      <c r="C706" s="110"/>
      <c r="D706" s="107"/>
      <c r="E706" s="107" t="s">
        <v>1412</v>
      </c>
      <c r="F706" s="108"/>
      <c r="G706" s="109"/>
      <c r="H706" s="227"/>
      <c r="I706" s="227"/>
      <c r="J706" s="227"/>
    </row>
    <row r="707" ht="20.25" customHeight="1">
      <c r="A707" s="104">
        <v>3.0</v>
      </c>
      <c r="B707" s="120"/>
      <c r="C707" s="110"/>
      <c r="D707" s="107"/>
      <c r="E707" s="107" t="s">
        <v>1413</v>
      </c>
      <c r="F707" s="108"/>
      <c r="G707" s="109"/>
      <c r="H707" s="227"/>
      <c r="I707" s="227"/>
      <c r="J707" s="227"/>
    </row>
    <row r="708" ht="20.25" customHeight="1">
      <c r="A708" s="104">
        <v>4.0</v>
      </c>
      <c r="B708" s="120"/>
      <c r="C708" s="110"/>
      <c r="D708" s="107"/>
      <c r="E708" s="107" t="s">
        <v>311</v>
      </c>
      <c r="F708" s="108"/>
      <c r="G708" s="109"/>
      <c r="H708" s="227"/>
      <c r="I708" s="227"/>
      <c r="J708" s="227"/>
    </row>
    <row r="709" ht="20.25" customHeight="1">
      <c r="A709" s="104">
        <v>5.0</v>
      </c>
      <c r="B709" s="120"/>
      <c r="C709" s="110"/>
      <c r="D709" s="107"/>
      <c r="E709" s="107" t="s">
        <v>1414</v>
      </c>
      <c r="F709" s="108"/>
      <c r="G709" s="109"/>
      <c r="H709" s="227"/>
      <c r="I709" s="227"/>
      <c r="J709" s="227"/>
    </row>
    <row r="710" ht="20.25" customHeight="1">
      <c r="A710" s="104">
        <v>6.0</v>
      </c>
      <c r="B710" s="120"/>
      <c r="C710" s="110"/>
      <c r="D710" s="107"/>
      <c r="E710" s="107" t="s">
        <v>1415</v>
      </c>
      <c r="F710" s="108"/>
      <c r="G710" s="109"/>
      <c r="H710" s="227"/>
      <c r="I710" s="227"/>
      <c r="J710" s="227"/>
    </row>
    <row r="711" ht="20.25" customHeight="1">
      <c r="A711" s="104">
        <v>7.0</v>
      </c>
      <c r="B711" s="120"/>
      <c r="C711" s="110"/>
      <c r="D711" s="107"/>
      <c r="E711" s="107" t="s">
        <v>1416</v>
      </c>
      <c r="F711" s="108"/>
      <c r="G711" s="109"/>
      <c r="H711" s="227"/>
      <c r="I711" s="227"/>
      <c r="J711" s="227"/>
    </row>
    <row r="712" ht="20.25" customHeight="1">
      <c r="A712" s="104">
        <v>8.0</v>
      </c>
      <c r="B712" s="120"/>
      <c r="C712" s="110"/>
      <c r="D712" s="107"/>
      <c r="E712" s="107"/>
      <c r="F712" s="108"/>
      <c r="G712" s="109"/>
      <c r="H712" s="227"/>
      <c r="I712" s="227"/>
      <c r="J712" s="227"/>
    </row>
    <row r="713" ht="20.25" customHeight="1">
      <c r="A713" s="104">
        <v>9.0</v>
      </c>
      <c r="B713" s="120"/>
      <c r="C713" s="110"/>
      <c r="D713" s="107"/>
      <c r="E713" s="107"/>
      <c r="F713" s="109"/>
      <c r="G713" s="109"/>
      <c r="H713" s="227"/>
      <c r="I713" s="227"/>
      <c r="J713" s="227"/>
    </row>
    <row r="714" ht="20.25" customHeight="1">
      <c r="A714" s="104">
        <v>10.0</v>
      </c>
      <c r="B714" s="120"/>
      <c r="C714" s="110"/>
      <c r="D714" s="107"/>
      <c r="E714" s="107"/>
      <c r="F714" s="111"/>
      <c r="G714" s="109"/>
      <c r="H714" s="227"/>
      <c r="I714" s="227"/>
      <c r="J714" s="227"/>
    </row>
    <row r="715" ht="20.25" customHeight="1">
      <c r="A715" s="104">
        <v>11.0</v>
      </c>
      <c r="B715" s="120"/>
      <c r="C715" s="110"/>
      <c r="D715" s="107"/>
      <c r="E715" s="107"/>
      <c r="F715" s="109"/>
      <c r="G715" s="109"/>
      <c r="H715" s="227"/>
      <c r="I715" s="227"/>
      <c r="J715" s="227"/>
    </row>
    <row r="716" ht="20.25" customHeight="1">
      <c r="A716" s="104">
        <v>12.0</v>
      </c>
      <c r="B716" s="120"/>
      <c r="C716" s="110"/>
      <c r="D716" s="107"/>
      <c r="F716" s="109"/>
      <c r="G716" s="109"/>
      <c r="H716" s="227"/>
      <c r="I716" s="227"/>
      <c r="J716" s="227"/>
    </row>
    <row r="717" ht="20.25" customHeight="1">
      <c r="A717" s="104">
        <v>13.0</v>
      </c>
      <c r="B717" s="120"/>
      <c r="C717" s="110"/>
      <c r="D717" s="107"/>
      <c r="E717" s="107"/>
      <c r="F717" s="109"/>
      <c r="G717" s="109"/>
      <c r="H717" s="227"/>
      <c r="I717" s="227"/>
      <c r="J717" s="227"/>
    </row>
    <row r="718" ht="20.25" customHeight="1">
      <c r="A718" s="104">
        <v>14.0</v>
      </c>
      <c r="B718" s="120"/>
      <c r="C718" s="110"/>
      <c r="D718" s="107"/>
      <c r="E718" s="125"/>
      <c r="F718" s="109"/>
      <c r="G718" s="109"/>
      <c r="H718" s="227"/>
      <c r="I718" s="227"/>
      <c r="J718" s="227"/>
    </row>
    <row r="719" ht="20.25" customHeight="1">
      <c r="A719" s="122">
        <v>15.0</v>
      </c>
      <c r="B719" s="123"/>
      <c r="C719" s="124"/>
      <c r="D719" s="107"/>
      <c r="E719" s="125"/>
      <c r="F719" s="109"/>
      <c r="G719" s="109"/>
      <c r="H719" s="227"/>
      <c r="I719" s="227"/>
      <c r="J719" s="227"/>
    </row>
    <row r="720" ht="20.25" customHeight="1">
      <c r="A720" s="112"/>
      <c r="B720" s="113"/>
      <c r="C720" s="114"/>
      <c r="D720" s="114"/>
      <c r="E720" s="280" t="s">
        <v>144</v>
      </c>
      <c r="F720" s="100">
        <v>1500.0</v>
      </c>
      <c r="G720" s="114"/>
      <c r="H720" s="227"/>
      <c r="I720" s="227"/>
      <c r="J720" s="227"/>
    </row>
    <row r="721" ht="20.25" customHeight="1">
      <c r="A721" s="115"/>
      <c r="B721" s="113"/>
      <c r="C721" s="114"/>
      <c r="D721" s="114"/>
      <c r="E721" s="99" t="s">
        <v>978</v>
      </c>
      <c r="F721" s="100">
        <v>880.0</v>
      </c>
      <c r="G721" s="114"/>
      <c r="H721" s="227"/>
      <c r="I721" s="227"/>
      <c r="J721" s="227"/>
    </row>
    <row r="722" ht="20.25" customHeight="1">
      <c r="A722" s="115"/>
      <c r="B722" s="113"/>
      <c r="C722" s="114"/>
      <c r="D722" s="114"/>
      <c r="E722" s="99" t="s">
        <v>1381</v>
      </c>
      <c r="F722" s="100">
        <v>240.0</v>
      </c>
      <c r="G722" s="114"/>
      <c r="H722" s="227"/>
      <c r="I722" s="227"/>
      <c r="J722" s="227"/>
    </row>
    <row r="723" ht="20.25" customHeight="1">
      <c r="A723" s="115"/>
      <c r="B723" s="113"/>
      <c r="C723" s="114"/>
      <c r="D723" s="114"/>
      <c r="E723" s="99" t="s">
        <v>147</v>
      </c>
      <c r="F723" s="100">
        <v>180.0</v>
      </c>
      <c r="G723" s="114"/>
      <c r="H723" s="227"/>
      <c r="I723" s="227"/>
      <c r="J723" s="227"/>
    </row>
    <row r="724" ht="20.25" customHeight="1">
      <c r="A724" s="115"/>
      <c r="B724" s="113"/>
      <c r="C724" s="114"/>
      <c r="D724" s="114"/>
      <c r="E724" s="99" t="s">
        <v>1382</v>
      </c>
      <c r="F724" s="100">
        <v>700.0</v>
      </c>
      <c r="G724" s="114"/>
      <c r="H724" s="227"/>
      <c r="I724" s="227"/>
      <c r="J724" s="227"/>
    </row>
    <row r="725" ht="20.25" customHeight="1">
      <c r="A725" s="115"/>
      <c r="B725" s="113"/>
      <c r="C725" s="114"/>
      <c r="D725" s="114"/>
      <c r="E725" s="114"/>
      <c r="F725" s="114"/>
      <c r="G725" s="114"/>
      <c r="H725" s="227"/>
      <c r="I725" s="227"/>
      <c r="J725" s="227"/>
    </row>
    <row r="726" ht="20.25" customHeight="1">
      <c r="A726" s="102" t="s">
        <v>4</v>
      </c>
      <c r="B726" s="102" t="s">
        <v>5</v>
      </c>
      <c r="C726" s="102" t="s">
        <v>126</v>
      </c>
      <c r="D726" s="102" t="s">
        <v>6</v>
      </c>
      <c r="E726" s="102" t="s">
        <v>7</v>
      </c>
      <c r="F726" s="102" t="s">
        <v>127</v>
      </c>
      <c r="G726" s="103" t="s">
        <v>128</v>
      </c>
      <c r="H726" s="227"/>
      <c r="I726" s="227"/>
      <c r="J726" s="227"/>
    </row>
    <row r="727" ht="20.25" customHeight="1">
      <c r="A727" s="104">
        <v>1.0</v>
      </c>
      <c r="B727" s="105">
        <v>46133.0</v>
      </c>
      <c r="C727" s="106" t="s">
        <v>169</v>
      </c>
      <c r="D727" s="107" t="s">
        <v>1146</v>
      </c>
      <c r="E727" s="107" t="s">
        <v>1417</v>
      </c>
      <c r="F727" s="108">
        <v>40.0</v>
      </c>
      <c r="G727" s="109"/>
      <c r="H727" s="227"/>
      <c r="I727" s="227"/>
      <c r="J727" s="227"/>
    </row>
    <row r="728" ht="20.25" customHeight="1">
      <c r="A728" s="104">
        <v>2.0</v>
      </c>
      <c r="B728" s="120"/>
      <c r="C728" s="110"/>
      <c r="D728" s="107"/>
      <c r="E728" s="107" t="s">
        <v>566</v>
      </c>
      <c r="F728" s="108" t="s">
        <v>1418</v>
      </c>
      <c r="G728" s="109"/>
      <c r="H728" s="227"/>
      <c r="I728" s="227"/>
      <c r="J728" s="227"/>
    </row>
    <row r="729" ht="20.25" customHeight="1">
      <c r="A729" s="104">
        <v>3.0</v>
      </c>
      <c r="B729" s="120"/>
      <c r="C729" s="110"/>
      <c r="D729" s="107"/>
      <c r="E729" s="107" t="s">
        <v>1419</v>
      </c>
      <c r="F729" s="108" t="s">
        <v>1420</v>
      </c>
      <c r="G729" s="109"/>
      <c r="H729" s="227"/>
      <c r="I729" s="227"/>
      <c r="J729" s="227"/>
    </row>
    <row r="730" ht="20.25" customHeight="1">
      <c r="A730" s="104">
        <v>4.0</v>
      </c>
      <c r="B730" s="120"/>
      <c r="C730" s="110"/>
      <c r="D730" s="107"/>
      <c r="E730" s="107" t="s">
        <v>1421</v>
      </c>
      <c r="F730" s="108">
        <v>35.0</v>
      </c>
      <c r="G730" s="109"/>
      <c r="H730" s="227"/>
      <c r="I730" s="227"/>
      <c r="J730" s="227"/>
    </row>
    <row r="731" ht="20.25" customHeight="1">
      <c r="A731" s="104">
        <v>5.0</v>
      </c>
      <c r="B731" s="120"/>
      <c r="C731" s="110"/>
      <c r="D731" s="107"/>
      <c r="E731" s="107" t="s">
        <v>1422</v>
      </c>
      <c r="F731" s="111" t="s">
        <v>1423</v>
      </c>
      <c r="G731" s="109"/>
      <c r="H731" s="227"/>
      <c r="I731" s="227"/>
      <c r="J731" s="227"/>
    </row>
    <row r="732" ht="20.25" customHeight="1">
      <c r="A732" s="104">
        <v>6.0</v>
      </c>
      <c r="B732" s="120"/>
      <c r="C732" s="110"/>
      <c r="D732" s="107"/>
      <c r="E732" s="107" t="s">
        <v>200</v>
      </c>
      <c r="F732" s="108">
        <v>35.0</v>
      </c>
      <c r="G732" s="109"/>
      <c r="H732" s="227"/>
      <c r="I732" s="227"/>
      <c r="J732" s="227"/>
    </row>
    <row r="733" ht="20.25" customHeight="1">
      <c r="A733" s="104">
        <v>7.0</v>
      </c>
      <c r="B733" s="120"/>
      <c r="C733" s="110"/>
      <c r="D733" s="107"/>
      <c r="E733" s="107" t="s">
        <v>1424</v>
      </c>
      <c r="F733" s="108">
        <v>60.0</v>
      </c>
      <c r="G733" s="109"/>
      <c r="H733" s="227"/>
      <c r="I733" s="227"/>
      <c r="J733" s="227"/>
    </row>
    <row r="734" ht="20.25" customHeight="1">
      <c r="A734" s="104">
        <v>8.0</v>
      </c>
      <c r="B734" s="120"/>
      <c r="C734" s="110"/>
      <c r="D734" s="107"/>
      <c r="E734" s="107" t="s">
        <v>1425</v>
      </c>
      <c r="F734" s="108">
        <v>35.0</v>
      </c>
      <c r="G734" s="109"/>
      <c r="H734" s="227"/>
      <c r="I734" s="227"/>
      <c r="J734" s="227"/>
    </row>
    <row r="735" ht="20.25" customHeight="1">
      <c r="A735" s="104">
        <v>9.0</v>
      </c>
      <c r="B735" s="120"/>
      <c r="C735" s="110"/>
      <c r="D735" s="107"/>
      <c r="E735" s="107"/>
      <c r="F735" s="109"/>
      <c r="G735" s="109"/>
      <c r="H735" s="227"/>
      <c r="I735" s="227"/>
      <c r="J735" s="227"/>
    </row>
    <row r="736" ht="20.25" customHeight="1">
      <c r="A736" s="104">
        <v>10.0</v>
      </c>
      <c r="B736" s="120"/>
      <c r="C736" s="110"/>
      <c r="D736" s="107"/>
      <c r="E736" s="107"/>
      <c r="F736" s="111"/>
      <c r="G736" s="109"/>
      <c r="H736" s="227"/>
      <c r="I736" s="227"/>
      <c r="J736" s="227"/>
    </row>
    <row r="737" ht="20.25" customHeight="1">
      <c r="A737" s="104">
        <v>11.0</v>
      </c>
      <c r="B737" s="120"/>
      <c r="C737" s="110"/>
      <c r="D737" s="107"/>
      <c r="E737" s="107"/>
      <c r="F737" s="109"/>
      <c r="G737" s="109"/>
      <c r="H737" s="227"/>
      <c r="I737" s="227"/>
      <c r="J737" s="227"/>
    </row>
    <row r="738" ht="20.25" customHeight="1">
      <c r="A738" s="104">
        <v>12.0</v>
      </c>
      <c r="B738" s="120"/>
      <c r="C738" s="110"/>
      <c r="D738" s="107"/>
      <c r="E738" s="107"/>
      <c r="F738" s="109"/>
      <c r="G738" s="109"/>
      <c r="H738" s="227"/>
      <c r="I738" s="227"/>
      <c r="J738" s="227"/>
    </row>
    <row r="739" ht="20.25" customHeight="1">
      <c r="A739" s="104">
        <v>13.0</v>
      </c>
      <c r="B739" s="120"/>
      <c r="C739" s="110"/>
      <c r="D739" s="107"/>
      <c r="E739" s="107"/>
      <c r="F739" s="109"/>
      <c r="G739" s="109"/>
      <c r="H739" s="227"/>
      <c r="I739" s="227"/>
      <c r="J739" s="227"/>
    </row>
    <row r="740" ht="20.25" customHeight="1">
      <c r="A740" s="104">
        <v>14.0</v>
      </c>
      <c r="B740" s="120"/>
      <c r="C740" s="110"/>
      <c r="D740" s="107"/>
      <c r="E740" s="125"/>
      <c r="F740" s="109"/>
      <c r="G740" s="109"/>
      <c r="H740" s="227"/>
      <c r="I740" s="227"/>
      <c r="J740" s="227"/>
    </row>
    <row r="741" ht="20.25" customHeight="1">
      <c r="A741" s="122">
        <v>15.0</v>
      </c>
      <c r="B741" s="123"/>
      <c r="C741" s="124"/>
      <c r="D741" s="107"/>
      <c r="E741" s="125"/>
      <c r="F741" s="109"/>
      <c r="G741" s="109"/>
      <c r="H741" s="227"/>
      <c r="I741" s="227"/>
      <c r="J741" s="227"/>
    </row>
    <row r="742" ht="20.25" customHeight="1">
      <c r="A742" s="112"/>
      <c r="B742" s="113"/>
      <c r="C742" s="114"/>
      <c r="D742" s="114"/>
      <c r="E742" s="280" t="s">
        <v>144</v>
      </c>
      <c r="F742" s="100">
        <v>200.0</v>
      </c>
      <c r="G742" s="114"/>
      <c r="H742" s="227"/>
      <c r="I742" s="227"/>
      <c r="J742" s="227"/>
    </row>
    <row r="743" ht="20.25" customHeight="1">
      <c r="A743" s="115"/>
      <c r="B743" s="113"/>
      <c r="C743" s="114"/>
      <c r="D743" s="114"/>
      <c r="E743" s="99" t="s">
        <v>978</v>
      </c>
      <c r="F743" s="100">
        <v>950.0</v>
      </c>
      <c r="G743" s="114"/>
      <c r="H743" s="227"/>
      <c r="I743" s="227"/>
      <c r="J743" s="227"/>
    </row>
    <row r="744" ht="20.25" customHeight="1">
      <c r="A744" s="115"/>
      <c r="B744" s="113"/>
      <c r="C744" s="114"/>
      <c r="D744" s="114"/>
      <c r="E744" s="99" t="s">
        <v>1381</v>
      </c>
      <c r="F744" s="100">
        <v>320.0</v>
      </c>
      <c r="G744" s="114"/>
      <c r="H744" s="227"/>
      <c r="I744" s="227"/>
      <c r="J744" s="227"/>
    </row>
    <row r="745" ht="20.25" customHeight="1">
      <c r="A745" s="115"/>
      <c r="B745" s="113"/>
      <c r="C745" s="114"/>
      <c r="D745" s="114"/>
      <c r="E745" s="99" t="s">
        <v>147</v>
      </c>
      <c r="F745" s="100">
        <v>240.0</v>
      </c>
      <c r="G745" s="114"/>
      <c r="H745" s="227"/>
      <c r="I745" s="227"/>
      <c r="J745" s="227"/>
    </row>
    <row r="746" ht="20.25" customHeight="1">
      <c r="A746" s="115"/>
      <c r="B746" s="113"/>
      <c r="C746" s="114"/>
      <c r="D746" s="114"/>
      <c r="E746" s="99" t="s">
        <v>1382</v>
      </c>
      <c r="F746" s="100">
        <v>710.0</v>
      </c>
      <c r="G746" s="114"/>
      <c r="H746" s="227"/>
      <c r="I746" s="227"/>
      <c r="J746" s="227"/>
    </row>
    <row r="747" ht="20.25" customHeight="1">
      <c r="A747" s="115"/>
      <c r="B747" s="113"/>
      <c r="C747" s="114"/>
      <c r="D747" s="114"/>
      <c r="E747" s="114"/>
      <c r="F747" s="114"/>
      <c r="G747" s="114"/>
      <c r="H747" s="227"/>
      <c r="I747" s="227"/>
      <c r="J747" s="227"/>
    </row>
    <row r="748" ht="20.25" customHeight="1">
      <c r="A748" s="115"/>
      <c r="B748" s="113"/>
      <c r="C748" s="114"/>
      <c r="D748" s="114"/>
      <c r="E748" s="114"/>
      <c r="F748" s="114"/>
      <c r="G748" s="114"/>
      <c r="H748" s="227"/>
      <c r="I748" s="227"/>
      <c r="J748" s="227"/>
    </row>
    <row r="749" ht="20.25" customHeight="1">
      <c r="A749" s="115"/>
      <c r="B749" s="113"/>
      <c r="C749" s="114"/>
      <c r="D749" s="114"/>
      <c r="E749" s="114"/>
      <c r="F749" s="114"/>
      <c r="G749" s="114"/>
      <c r="H749" s="227"/>
      <c r="I749" s="227"/>
      <c r="J749" s="227"/>
    </row>
    <row r="750" ht="20.25" customHeight="1">
      <c r="A750" s="115"/>
      <c r="B750" s="113"/>
      <c r="C750" s="114"/>
      <c r="D750" s="114"/>
      <c r="E750" s="114"/>
      <c r="F750" s="114"/>
      <c r="G750" s="114"/>
      <c r="H750" s="227"/>
      <c r="I750" s="227"/>
      <c r="J750" s="227"/>
    </row>
    <row r="751" ht="20.25" customHeight="1">
      <c r="A751" s="115"/>
      <c r="B751" s="113"/>
      <c r="C751" s="114"/>
      <c r="D751" s="114"/>
      <c r="E751" s="114"/>
      <c r="F751" s="114"/>
      <c r="G751" s="114"/>
      <c r="H751" s="227"/>
      <c r="I751" s="227"/>
      <c r="J751" s="227"/>
    </row>
    <row r="752" ht="20.25" customHeight="1">
      <c r="A752" s="115"/>
      <c r="B752" s="113"/>
      <c r="C752" s="114"/>
      <c r="D752" s="114"/>
      <c r="E752" s="114"/>
      <c r="F752" s="114"/>
      <c r="G752" s="114"/>
      <c r="H752" s="227"/>
      <c r="I752" s="227"/>
      <c r="J752" s="227"/>
    </row>
    <row r="753" ht="20.25" customHeight="1">
      <c r="A753" s="115"/>
      <c r="B753" s="113"/>
      <c r="C753" s="114"/>
      <c r="D753" s="114"/>
      <c r="E753" s="114"/>
      <c r="F753" s="114"/>
      <c r="G753" s="114"/>
      <c r="H753" s="227"/>
      <c r="I753" s="227"/>
      <c r="J753" s="227"/>
    </row>
    <row r="754" ht="20.25" customHeight="1">
      <c r="A754" s="115"/>
      <c r="B754" s="113"/>
      <c r="C754" s="114"/>
      <c r="D754" s="114"/>
      <c r="E754" s="114"/>
      <c r="F754" s="114"/>
      <c r="G754" s="114"/>
      <c r="H754" s="227"/>
      <c r="I754" s="227"/>
      <c r="J754" s="227"/>
    </row>
    <row r="755" ht="20.25" customHeight="1">
      <c r="A755" s="115"/>
      <c r="B755" s="113"/>
      <c r="C755" s="114"/>
      <c r="D755" s="114"/>
      <c r="E755" s="114"/>
      <c r="F755" s="114"/>
      <c r="G755" s="114"/>
      <c r="H755" s="227"/>
      <c r="I755" s="227"/>
      <c r="J755" s="227"/>
    </row>
    <row r="756" ht="20.25" customHeight="1">
      <c r="A756" s="115"/>
      <c r="B756" s="113"/>
      <c r="C756" s="114"/>
      <c r="D756" s="114"/>
      <c r="E756" s="114"/>
      <c r="F756" s="114"/>
      <c r="G756" s="114"/>
      <c r="H756" s="227"/>
      <c r="I756" s="227"/>
      <c r="J756" s="227"/>
    </row>
    <row r="757" ht="20.25" customHeight="1">
      <c r="A757" s="115"/>
      <c r="B757" s="113"/>
      <c r="C757" s="114"/>
      <c r="D757" s="114"/>
      <c r="E757" s="114"/>
      <c r="F757" s="114"/>
      <c r="G757" s="114"/>
      <c r="H757" s="227"/>
      <c r="I757" s="227"/>
      <c r="J757" s="227"/>
    </row>
    <row r="758" ht="20.25" customHeight="1">
      <c r="A758" s="115"/>
      <c r="B758" s="113"/>
      <c r="C758" s="114"/>
      <c r="D758" s="114"/>
      <c r="E758" s="114"/>
      <c r="F758" s="114"/>
      <c r="G758" s="114"/>
      <c r="H758" s="227"/>
      <c r="I758" s="227"/>
      <c r="J758" s="227"/>
    </row>
    <row r="759" ht="20.25" customHeight="1">
      <c r="A759" s="115"/>
      <c r="B759" s="113"/>
      <c r="C759" s="114"/>
      <c r="D759" s="114"/>
      <c r="E759" s="114"/>
      <c r="F759" s="114"/>
      <c r="G759" s="114"/>
      <c r="H759" s="227"/>
      <c r="I759" s="227"/>
      <c r="J759" s="227"/>
    </row>
    <row r="760" ht="20.25" customHeight="1">
      <c r="A760" s="115"/>
      <c r="B760" s="113"/>
      <c r="C760" s="114"/>
      <c r="D760" s="114"/>
      <c r="E760" s="114"/>
      <c r="F760" s="114"/>
      <c r="G760" s="114"/>
      <c r="H760" s="227"/>
      <c r="I760" s="227"/>
      <c r="J760" s="227"/>
    </row>
    <row r="761" ht="20.25" customHeight="1">
      <c r="A761" s="115"/>
      <c r="B761" s="113"/>
      <c r="C761" s="114"/>
      <c r="D761" s="114"/>
      <c r="E761" s="114"/>
      <c r="F761" s="114"/>
      <c r="G761" s="114"/>
      <c r="H761" s="227"/>
      <c r="I761" s="227"/>
      <c r="J761" s="227"/>
    </row>
    <row r="762" ht="20.25" customHeight="1">
      <c r="A762" s="115"/>
      <c r="B762" s="113"/>
      <c r="C762" s="114"/>
      <c r="D762" s="114"/>
      <c r="E762" s="114"/>
      <c r="F762" s="114"/>
      <c r="G762" s="114"/>
      <c r="H762" s="227"/>
      <c r="I762" s="227"/>
      <c r="J762" s="227"/>
    </row>
    <row r="763" ht="20.25" customHeight="1">
      <c r="A763" s="115"/>
      <c r="B763" s="113"/>
      <c r="C763" s="114"/>
      <c r="D763" s="114"/>
      <c r="E763" s="114"/>
      <c r="F763" s="114"/>
      <c r="G763" s="114"/>
      <c r="H763" s="227"/>
      <c r="I763" s="227"/>
      <c r="J763" s="227"/>
    </row>
    <row r="764" ht="20.25" customHeight="1">
      <c r="A764" s="115"/>
      <c r="B764" s="113"/>
      <c r="C764" s="114"/>
      <c r="D764" s="114"/>
      <c r="E764" s="114"/>
      <c r="F764" s="114"/>
      <c r="G764" s="114"/>
      <c r="H764" s="227"/>
      <c r="I764" s="227"/>
      <c r="J764" s="227"/>
    </row>
    <row r="765" ht="20.25" customHeight="1">
      <c r="A765" s="115"/>
      <c r="B765" s="113"/>
      <c r="C765" s="114"/>
      <c r="D765" s="114"/>
      <c r="E765" s="114"/>
      <c r="F765" s="114"/>
      <c r="G765" s="114"/>
      <c r="H765" s="227"/>
      <c r="I765" s="227"/>
      <c r="J765" s="227"/>
    </row>
    <row r="766" ht="20.25" customHeight="1">
      <c r="A766" s="115"/>
      <c r="B766" s="113"/>
      <c r="C766" s="114"/>
      <c r="D766" s="114"/>
      <c r="E766" s="114"/>
      <c r="F766" s="114"/>
      <c r="G766" s="114"/>
      <c r="H766" s="227"/>
      <c r="I766" s="227"/>
      <c r="J766" s="227"/>
    </row>
    <row r="767" ht="20.25" customHeight="1">
      <c r="A767" s="115"/>
      <c r="B767" s="113"/>
      <c r="C767" s="114"/>
      <c r="D767" s="114"/>
      <c r="E767" s="114"/>
      <c r="F767" s="114"/>
      <c r="G767" s="114"/>
      <c r="H767" s="227"/>
      <c r="I767" s="227"/>
      <c r="J767" s="227"/>
    </row>
    <row r="768" ht="20.25" customHeight="1">
      <c r="A768" s="115"/>
      <c r="B768" s="113"/>
      <c r="C768" s="114"/>
      <c r="D768" s="114"/>
      <c r="E768" s="114"/>
      <c r="F768" s="114"/>
      <c r="G768" s="114"/>
      <c r="H768" s="227"/>
      <c r="I768" s="227"/>
      <c r="J768" s="227"/>
    </row>
    <row r="769" ht="20.25" customHeight="1">
      <c r="A769" s="115"/>
      <c r="B769" s="113"/>
      <c r="C769" s="114"/>
      <c r="D769" s="114"/>
      <c r="E769" s="114"/>
      <c r="F769" s="114"/>
      <c r="G769" s="114"/>
      <c r="H769" s="227"/>
      <c r="I769" s="227"/>
      <c r="J769" s="227"/>
    </row>
    <row r="770" ht="20.25" customHeight="1">
      <c r="A770" s="115"/>
      <c r="B770" s="113"/>
      <c r="C770" s="114"/>
      <c r="D770" s="114"/>
      <c r="E770" s="114"/>
      <c r="F770" s="114"/>
      <c r="G770" s="114"/>
      <c r="H770" s="227"/>
      <c r="I770" s="227"/>
      <c r="J770" s="227"/>
    </row>
    <row r="771" ht="20.25" customHeight="1">
      <c r="A771" s="115"/>
      <c r="B771" s="113"/>
      <c r="C771" s="114"/>
      <c r="D771" s="114"/>
      <c r="E771" s="114"/>
      <c r="F771" s="114"/>
      <c r="G771" s="114"/>
      <c r="H771" s="227"/>
      <c r="I771" s="227"/>
      <c r="J771" s="227"/>
    </row>
    <row r="772" ht="20.25" customHeight="1">
      <c r="A772" s="115"/>
      <c r="B772" s="113"/>
      <c r="C772" s="114"/>
      <c r="D772" s="114"/>
      <c r="E772" s="114"/>
      <c r="F772" s="114"/>
      <c r="G772" s="114"/>
      <c r="H772" s="227"/>
      <c r="I772" s="227"/>
      <c r="J772" s="227"/>
    </row>
    <row r="773" ht="20.25" customHeight="1">
      <c r="A773" s="115"/>
      <c r="B773" s="113"/>
      <c r="C773" s="114"/>
      <c r="D773" s="114"/>
      <c r="E773" s="114"/>
      <c r="F773" s="114"/>
      <c r="G773" s="114"/>
      <c r="H773" s="227"/>
      <c r="I773" s="227"/>
      <c r="J773" s="227"/>
    </row>
    <row r="774" ht="20.25" customHeight="1">
      <c r="A774" s="115"/>
      <c r="B774" s="113"/>
      <c r="C774" s="114"/>
      <c r="D774" s="114"/>
      <c r="E774" s="114"/>
      <c r="F774" s="114"/>
      <c r="G774" s="114"/>
      <c r="H774" s="227"/>
      <c r="I774" s="227"/>
      <c r="J774" s="227"/>
    </row>
    <row r="775" ht="20.25" customHeight="1">
      <c r="A775" s="115"/>
      <c r="B775" s="113"/>
      <c r="C775" s="114"/>
      <c r="D775" s="114"/>
      <c r="E775" s="114"/>
      <c r="F775" s="114"/>
      <c r="G775" s="114"/>
      <c r="H775" s="227"/>
      <c r="I775" s="227"/>
      <c r="J775" s="227"/>
    </row>
    <row r="776" ht="20.25" customHeight="1">
      <c r="A776" s="115"/>
      <c r="B776" s="113"/>
      <c r="C776" s="114"/>
      <c r="D776" s="114"/>
      <c r="E776" s="114"/>
      <c r="F776" s="114"/>
      <c r="G776" s="114"/>
      <c r="H776" s="227"/>
      <c r="I776" s="227"/>
      <c r="J776" s="227"/>
    </row>
    <row r="777" ht="20.25" customHeight="1">
      <c r="A777" s="115"/>
      <c r="B777" s="113"/>
      <c r="C777" s="114"/>
      <c r="D777" s="114"/>
      <c r="E777" s="114"/>
      <c r="F777" s="114"/>
      <c r="G777" s="114"/>
      <c r="H777" s="227"/>
      <c r="I777" s="227"/>
      <c r="J777" s="227"/>
    </row>
    <row r="778" ht="20.25" customHeight="1">
      <c r="A778" s="115"/>
      <c r="B778" s="113"/>
      <c r="C778" s="114"/>
      <c r="D778" s="114"/>
      <c r="E778" s="114"/>
      <c r="F778" s="114"/>
      <c r="G778" s="114"/>
      <c r="H778" s="227"/>
      <c r="I778" s="227"/>
      <c r="J778" s="227"/>
    </row>
    <row r="779" ht="20.25" customHeight="1">
      <c r="A779" s="115"/>
      <c r="B779" s="113"/>
      <c r="C779" s="114"/>
      <c r="D779" s="114"/>
      <c r="E779" s="114"/>
      <c r="F779" s="114"/>
      <c r="G779" s="114"/>
      <c r="H779" s="227"/>
      <c r="I779" s="227"/>
      <c r="J779" s="227"/>
    </row>
    <row r="780" ht="20.25" customHeight="1">
      <c r="A780" s="115"/>
      <c r="B780" s="113"/>
      <c r="C780" s="114"/>
      <c r="D780" s="114"/>
      <c r="E780" s="114"/>
      <c r="F780" s="114"/>
      <c r="G780" s="114"/>
      <c r="H780" s="227"/>
      <c r="I780" s="227"/>
      <c r="J780" s="227"/>
    </row>
    <row r="781" ht="20.25" customHeight="1">
      <c r="A781" s="115"/>
      <c r="B781" s="113"/>
      <c r="C781" s="114"/>
      <c r="D781" s="114"/>
      <c r="E781" s="114"/>
      <c r="F781" s="114"/>
      <c r="G781" s="114"/>
      <c r="H781" s="227"/>
      <c r="I781" s="227"/>
      <c r="J781" s="227"/>
    </row>
  </sheetData>
  <mergeCells count="1">
    <mergeCell ref="F116:G116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14.71"/>
    <col customWidth="1" min="3" max="3" width="17.71"/>
    <col customWidth="1" min="4" max="4" width="30.29"/>
    <col customWidth="1" min="5" max="5" width="66.29"/>
    <col customWidth="1" min="6" max="6" width="33.29"/>
    <col customWidth="1" min="7" max="7" width="37.29"/>
    <col customWidth="1" hidden="1" min="8" max="8" width="8.86"/>
    <col customWidth="1" hidden="1" min="9" max="9" width="8.14"/>
    <col customWidth="1" hidden="1" min="10" max="10" width="10.57"/>
    <col customWidth="1" hidden="1" min="11" max="12" width="6.0"/>
    <col customWidth="1" hidden="1" min="13" max="13" width="4.71"/>
    <col customWidth="1" hidden="1" min="14" max="14" width="5.29"/>
    <col customWidth="1" hidden="1" min="15" max="15" width="7.14"/>
    <col customWidth="1" hidden="1" min="16" max="16" width="9.57"/>
    <col customWidth="1" hidden="1" min="17" max="17" width="9.0"/>
    <col customWidth="1" hidden="1" min="18" max="18" width="8.0"/>
  </cols>
  <sheetData>
    <row r="1" ht="26.25" customHeight="1">
      <c r="A1" s="158" t="s">
        <v>793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 ht="26.25" customHeight="1">
      <c r="A2" s="102" t="s">
        <v>4</v>
      </c>
      <c r="B2" s="102" t="s">
        <v>5</v>
      </c>
      <c r="C2" s="102" t="s">
        <v>126</v>
      </c>
      <c r="D2" s="102" t="s">
        <v>6</v>
      </c>
      <c r="E2" s="102" t="s">
        <v>7</v>
      </c>
      <c r="F2" s="102" t="s">
        <v>127</v>
      </c>
      <c r="G2" s="103" t="s">
        <v>128</v>
      </c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</row>
    <row r="3" ht="26.25" customHeight="1">
      <c r="A3" s="104">
        <v>1.0</v>
      </c>
      <c r="B3" s="105">
        <v>46082.0</v>
      </c>
      <c r="C3" s="106" t="s">
        <v>129</v>
      </c>
      <c r="D3" s="107" t="s">
        <v>1426</v>
      </c>
      <c r="E3" s="107" t="s">
        <v>1427</v>
      </c>
      <c r="F3" s="108">
        <v>50.0</v>
      </c>
      <c r="G3" s="109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</row>
    <row r="4" ht="26.25" customHeight="1">
      <c r="A4" s="104">
        <v>2.0</v>
      </c>
      <c r="B4" s="120"/>
      <c r="C4" s="110"/>
      <c r="D4" s="107"/>
      <c r="E4" s="107" t="s">
        <v>1428</v>
      </c>
      <c r="F4" s="108">
        <v>40.0</v>
      </c>
      <c r="G4" s="109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</row>
    <row r="5" ht="26.25" customHeight="1">
      <c r="A5" s="104">
        <v>3.0</v>
      </c>
      <c r="B5" s="120"/>
      <c r="C5" s="110"/>
      <c r="D5" s="107"/>
      <c r="E5" s="107" t="s">
        <v>1429</v>
      </c>
      <c r="F5" s="108">
        <v>90.0</v>
      </c>
      <c r="G5" s="109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</row>
    <row r="6" ht="26.25" customHeight="1">
      <c r="A6" s="104">
        <v>4.0</v>
      </c>
      <c r="B6" s="120"/>
      <c r="C6" s="110"/>
      <c r="D6" s="107"/>
      <c r="E6" s="107" t="s">
        <v>1358</v>
      </c>
      <c r="F6" s="108">
        <v>50.0</v>
      </c>
      <c r="G6" s="109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</row>
    <row r="7" ht="26.25" customHeight="1">
      <c r="A7" s="104">
        <v>5.0</v>
      </c>
      <c r="B7" s="120"/>
      <c r="C7" s="110"/>
      <c r="D7" s="107"/>
      <c r="E7" s="107" t="s">
        <v>97</v>
      </c>
      <c r="F7" s="108" t="s">
        <v>1430</v>
      </c>
      <c r="G7" s="109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</row>
    <row r="8" ht="26.25" customHeight="1">
      <c r="A8" s="104">
        <v>6.0</v>
      </c>
      <c r="B8" s="120"/>
      <c r="C8" s="110"/>
      <c r="D8" s="107"/>
      <c r="E8" s="125"/>
      <c r="F8" s="109"/>
      <c r="G8" s="109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</row>
    <row r="9" ht="26.25" customHeight="1">
      <c r="A9" s="104">
        <v>7.0</v>
      </c>
      <c r="B9" s="120"/>
      <c r="C9" s="110"/>
      <c r="D9" s="107"/>
      <c r="E9" s="125"/>
      <c r="F9" s="109"/>
      <c r="G9" s="109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</row>
    <row r="10" ht="26.25" customHeight="1">
      <c r="A10" s="104">
        <v>8.0</v>
      </c>
      <c r="B10" s="120"/>
      <c r="C10" s="110"/>
      <c r="D10" s="107"/>
      <c r="E10" s="125"/>
      <c r="F10" s="109"/>
      <c r="G10" s="109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</row>
    <row r="11" ht="26.25" customHeight="1">
      <c r="A11" s="104">
        <v>9.0</v>
      </c>
      <c r="B11" s="120"/>
      <c r="C11" s="110"/>
      <c r="D11" s="107"/>
      <c r="E11" s="125"/>
      <c r="F11" s="109"/>
      <c r="G11" s="109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</row>
    <row r="12" ht="26.25" customHeight="1">
      <c r="A12" s="104">
        <v>10.0</v>
      </c>
      <c r="B12" s="120"/>
      <c r="C12" s="110"/>
      <c r="D12" s="107"/>
      <c r="E12" s="125"/>
      <c r="F12" s="109"/>
      <c r="G12" s="109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</row>
    <row r="13" ht="26.25" customHeight="1">
      <c r="A13" s="104">
        <v>11.0</v>
      </c>
      <c r="B13" s="120"/>
      <c r="C13" s="110"/>
      <c r="D13" s="107"/>
      <c r="E13" s="125"/>
      <c r="F13" s="109"/>
      <c r="G13" s="109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</row>
    <row r="14" ht="26.25" customHeight="1">
      <c r="A14" s="104">
        <v>12.0</v>
      </c>
      <c r="B14" s="120"/>
      <c r="C14" s="110"/>
      <c r="D14" s="107"/>
      <c r="E14" s="125"/>
      <c r="F14" s="109"/>
      <c r="G14" s="109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</row>
    <row r="15" ht="26.25" customHeight="1">
      <c r="A15" s="104">
        <v>13.0</v>
      </c>
      <c r="B15" s="120"/>
      <c r="C15" s="110"/>
      <c r="D15" s="107"/>
      <c r="E15" s="125"/>
      <c r="F15" s="109"/>
      <c r="G15" s="109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</row>
    <row r="16" ht="26.25" customHeight="1">
      <c r="A16" s="104">
        <v>14.0</v>
      </c>
      <c r="B16" s="120"/>
      <c r="C16" s="110"/>
      <c r="D16" s="107"/>
      <c r="E16" s="125"/>
      <c r="F16" s="109"/>
      <c r="G16" s="109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</row>
    <row r="17" ht="26.25" customHeight="1">
      <c r="A17" s="122">
        <v>15.0</v>
      </c>
      <c r="B17" s="123"/>
      <c r="C17" s="124"/>
      <c r="D17" s="107"/>
      <c r="E17" s="125"/>
      <c r="F17" s="109"/>
      <c r="G17" s="109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</row>
    <row r="18" ht="26.25" customHeight="1">
      <c r="A18" s="112"/>
      <c r="B18" s="113"/>
      <c r="C18" s="114"/>
      <c r="D18" s="114"/>
      <c r="E18" s="280" t="s">
        <v>144</v>
      </c>
      <c r="F18" s="131"/>
      <c r="G18" s="11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</row>
    <row r="19" ht="26.25" customHeight="1">
      <c r="A19" s="115"/>
      <c r="B19" s="113"/>
      <c r="C19" s="114"/>
      <c r="D19" s="114"/>
      <c r="E19" s="99" t="s">
        <v>1431</v>
      </c>
      <c r="F19" s="131"/>
      <c r="G19" s="11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</row>
    <row r="20" ht="26.25" customHeight="1">
      <c r="A20" s="115"/>
      <c r="B20" s="113"/>
      <c r="C20" s="114"/>
      <c r="D20" s="114"/>
      <c r="E20" s="99" t="s">
        <v>1432</v>
      </c>
      <c r="F20" s="131"/>
      <c r="G20" s="11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</row>
    <row r="21" ht="26.25" customHeight="1">
      <c r="A21" s="115"/>
      <c r="B21" s="113"/>
      <c r="C21" s="114"/>
      <c r="D21" s="114"/>
      <c r="E21" s="281">
        <v>205.0</v>
      </c>
      <c r="F21" s="131"/>
      <c r="G21" s="11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</row>
    <row r="22" ht="26.25" customHeight="1">
      <c r="A22" s="115"/>
      <c r="B22" s="113"/>
      <c r="C22" s="114"/>
      <c r="D22" s="114"/>
      <c r="E22" s="99" t="s">
        <v>1433</v>
      </c>
      <c r="F22" s="131"/>
      <c r="G22" s="11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</row>
    <row r="23" ht="26.25" customHeight="1">
      <c r="A23" s="115"/>
      <c r="B23" s="115"/>
      <c r="C23" s="115"/>
      <c r="D23" s="115"/>
      <c r="E23" s="115"/>
      <c r="F23" s="115"/>
      <c r="G23" s="115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</row>
    <row r="24" ht="26.25" customHeight="1">
      <c r="A24" s="102" t="s">
        <v>4</v>
      </c>
      <c r="B24" s="102" t="s">
        <v>5</v>
      </c>
      <c r="C24" s="102" t="s">
        <v>126</v>
      </c>
      <c r="D24" s="102" t="s">
        <v>6</v>
      </c>
      <c r="E24" s="102" t="s">
        <v>7</v>
      </c>
      <c r="F24" s="102" t="s">
        <v>127</v>
      </c>
      <c r="G24" s="103" t="s">
        <v>128</v>
      </c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</row>
    <row r="25" ht="26.25" customHeight="1">
      <c r="A25" s="104">
        <v>1.0</v>
      </c>
      <c r="B25" s="105">
        <v>46083.0</v>
      </c>
      <c r="C25" s="106" t="s">
        <v>149</v>
      </c>
      <c r="D25" s="107" t="s">
        <v>1426</v>
      </c>
      <c r="E25" s="107" t="s">
        <v>69</v>
      </c>
      <c r="F25" s="108">
        <v>40.0</v>
      </c>
      <c r="G25" s="109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</row>
    <row r="26" ht="26.25" customHeight="1">
      <c r="A26" s="104">
        <v>2.0</v>
      </c>
      <c r="B26" s="120"/>
      <c r="C26" s="110"/>
      <c r="D26" s="107" t="s">
        <v>1426</v>
      </c>
      <c r="E26" s="107" t="s">
        <v>1434</v>
      </c>
      <c r="F26" s="108">
        <v>80.0</v>
      </c>
      <c r="G26" s="109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</row>
    <row r="27" ht="26.25" customHeight="1">
      <c r="A27" s="104">
        <v>3.0</v>
      </c>
      <c r="B27" s="120"/>
      <c r="C27" s="110"/>
      <c r="D27" s="107" t="s">
        <v>1426</v>
      </c>
      <c r="E27" s="107" t="s">
        <v>495</v>
      </c>
      <c r="F27" s="108">
        <v>40.0</v>
      </c>
      <c r="G27" s="109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</row>
    <row r="28" ht="26.25" customHeight="1">
      <c r="A28" s="104">
        <v>4.0</v>
      </c>
      <c r="B28" s="120"/>
      <c r="C28" s="110"/>
      <c r="D28" s="107" t="s">
        <v>1426</v>
      </c>
      <c r="E28" s="107" t="s">
        <v>1435</v>
      </c>
      <c r="F28" s="108">
        <v>35.0</v>
      </c>
      <c r="G28" s="109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</row>
    <row r="29" ht="26.25" customHeight="1">
      <c r="A29" s="104">
        <v>5.0</v>
      </c>
      <c r="B29" s="120"/>
      <c r="C29" s="110"/>
      <c r="D29" s="107" t="s">
        <v>1426</v>
      </c>
      <c r="E29" s="107" t="s">
        <v>1436</v>
      </c>
      <c r="F29" s="108">
        <v>40.0</v>
      </c>
      <c r="G29" s="109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</row>
    <row r="30" ht="26.25" customHeight="1">
      <c r="A30" s="104">
        <v>6.0</v>
      </c>
      <c r="B30" s="120"/>
      <c r="C30" s="110"/>
      <c r="D30" s="107" t="s">
        <v>1426</v>
      </c>
      <c r="E30" s="107" t="s">
        <v>1285</v>
      </c>
      <c r="F30" s="111" t="s">
        <v>1437</v>
      </c>
      <c r="G30" s="109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</row>
    <row r="31" ht="26.25" customHeight="1">
      <c r="A31" s="104">
        <v>7.0</v>
      </c>
      <c r="B31" s="120"/>
      <c r="C31" s="110"/>
      <c r="D31" s="107" t="s">
        <v>1426</v>
      </c>
      <c r="E31" s="107" t="s">
        <v>848</v>
      </c>
      <c r="F31" s="108">
        <v>50.0</v>
      </c>
      <c r="G31" s="109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</row>
    <row r="32" ht="26.25" customHeight="1">
      <c r="A32" s="104">
        <v>8.0</v>
      </c>
      <c r="B32" s="120"/>
      <c r="C32" s="110"/>
      <c r="D32" s="107" t="s">
        <v>1426</v>
      </c>
      <c r="E32" s="107" t="s">
        <v>1438</v>
      </c>
      <c r="F32" s="108">
        <v>40.0</v>
      </c>
      <c r="G32" s="109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</row>
    <row r="33" ht="26.25" customHeight="1">
      <c r="A33" s="104">
        <v>9.0</v>
      </c>
      <c r="B33" s="120"/>
      <c r="C33" s="110"/>
      <c r="D33" s="107" t="s">
        <v>1426</v>
      </c>
      <c r="E33" s="107" t="s">
        <v>1388</v>
      </c>
      <c r="F33" s="111" t="s">
        <v>1439</v>
      </c>
      <c r="G33" s="109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</row>
    <row r="34" ht="26.25" customHeight="1">
      <c r="A34" s="104">
        <v>10.0</v>
      </c>
      <c r="B34" s="120"/>
      <c r="C34" s="110"/>
      <c r="D34" s="107" t="s">
        <v>1426</v>
      </c>
      <c r="E34" s="107" t="s">
        <v>1108</v>
      </c>
      <c r="F34" s="108">
        <v>30.0</v>
      </c>
      <c r="G34" s="109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</row>
    <row r="35" ht="26.25" customHeight="1">
      <c r="A35" s="104">
        <v>11.0</v>
      </c>
      <c r="B35" s="120"/>
      <c r="C35" s="110"/>
      <c r="D35" s="107"/>
      <c r="E35" s="125"/>
      <c r="F35" s="109"/>
      <c r="G35" s="109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</row>
    <row r="36" ht="26.25" customHeight="1">
      <c r="A36" s="104">
        <v>12.0</v>
      </c>
      <c r="B36" s="120"/>
      <c r="C36" s="110"/>
      <c r="D36" s="107"/>
      <c r="E36" s="125"/>
      <c r="F36" s="109"/>
      <c r="G36" s="109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</row>
    <row r="37" ht="26.25" customHeight="1">
      <c r="A37" s="104">
        <v>13.0</v>
      </c>
      <c r="B37" s="120"/>
      <c r="C37" s="110"/>
      <c r="D37" s="107"/>
      <c r="E37" s="125"/>
      <c r="F37" s="109"/>
      <c r="G37" s="109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</row>
    <row r="38" ht="26.25" customHeight="1">
      <c r="A38" s="104">
        <v>14.0</v>
      </c>
      <c r="B38" s="120"/>
      <c r="C38" s="110"/>
      <c r="D38" s="107"/>
      <c r="E38" s="125"/>
      <c r="F38" s="109"/>
      <c r="G38" s="109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</row>
    <row r="39" ht="26.25" customHeight="1">
      <c r="A39" s="122">
        <v>15.0</v>
      </c>
      <c r="B39" s="123"/>
      <c r="C39" s="124"/>
      <c r="D39" s="107"/>
      <c r="E39" s="125"/>
      <c r="F39" s="109"/>
      <c r="G39" s="109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</row>
    <row r="40" ht="26.25" customHeight="1">
      <c r="A40" s="112"/>
      <c r="B40" s="113"/>
      <c r="C40" s="114"/>
      <c r="D40" s="114"/>
      <c r="E40" s="99" t="s">
        <v>1440</v>
      </c>
      <c r="F40" s="131"/>
      <c r="G40" s="11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</row>
    <row r="41" ht="26.25" customHeight="1">
      <c r="A41" s="115"/>
      <c r="B41" s="113"/>
      <c r="C41" s="114"/>
      <c r="D41" s="114"/>
      <c r="E41" s="99" t="s">
        <v>1441</v>
      </c>
      <c r="F41" s="131"/>
      <c r="G41" s="11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</row>
    <row r="42" ht="26.25" customHeight="1">
      <c r="A42" s="115"/>
      <c r="B42" s="113"/>
      <c r="C42" s="114"/>
      <c r="D42" s="114"/>
      <c r="E42" s="280" t="s">
        <v>146</v>
      </c>
      <c r="F42" s="131"/>
      <c r="G42" s="11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</row>
    <row r="43" ht="26.25" customHeight="1">
      <c r="A43" s="115"/>
      <c r="B43" s="113"/>
      <c r="C43" s="114"/>
      <c r="D43" s="114"/>
      <c r="E43" s="99" t="s">
        <v>1442</v>
      </c>
      <c r="F43" s="131"/>
      <c r="G43" s="11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</row>
    <row r="44" ht="26.25" customHeight="1">
      <c r="A44" s="115"/>
      <c r="B44" s="113"/>
      <c r="C44" s="114"/>
      <c r="D44" s="114"/>
      <c r="E44" s="99" t="s">
        <v>1443</v>
      </c>
      <c r="F44" s="131"/>
      <c r="G44" s="11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</row>
    <row r="45" ht="26.25" customHeight="1">
      <c r="A45" s="115"/>
      <c r="B45" s="115"/>
      <c r="C45" s="115"/>
      <c r="D45" s="115"/>
      <c r="E45" s="115"/>
      <c r="F45" s="115"/>
      <c r="G45" s="115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</row>
    <row r="46" ht="26.25" customHeight="1">
      <c r="A46" s="102" t="s">
        <v>4</v>
      </c>
      <c r="B46" s="102" t="s">
        <v>5</v>
      </c>
      <c r="C46" s="102" t="s">
        <v>126</v>
      </c>
      <c r="D46" s="102" t="s">
        <v>6</v>
      </c>
      <c r="E46" s="102" t="s">
        <v>7</v>
      </c>
      <c r="F46" s="102" t="s">
        <v>127</v>
      </c>
      <c r="G46" s="103" t="s">
        <v>128</v>
      </c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</row>
    <row r="47" ht="26.25" customHeight="1">
      <c r="A47" s="104">
        <v>1.0</v>
      </c>
      <c r="B47" s="105">
        <v>46084.0</v>
      </c>
      <c r="C47" s="106" t="s">
        <v>169</v>
      </c>
      <c r="D47" s="107"/>
      <c r="E47" s="107" t="s">
        <v>662</v>
      </c>
      <c r="F47" s="108">
        <v>5.0</v>
      </c>
      <c r="G47" s="109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</row>
    <row r="48" ht="26.25" customHeight="1">
      <c r="A48" s="104">
        <v>2.0</v>
      </c>
      <c r="B48" s="120"/>
      <c r="C48" s="110"/>
      <c r="D48" s="107"/>
      <c r="E48" s="107" t="s">
        <v>848</v>
      </c>
      <c r="F48" s="108">
        <v>50.0</v>
      </c>
      <c r="G48" s="109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</row>
    <row r="49" ht="26.25" customHeight="1">
      <c r="A49" s="104">
        <v>3.0</v>
      </c>
      <c r="B49" s="120"/>
      <c r="C49" s="110"/>
      <c r="D49" s="107"/>
      <c r="E49" s="107" t="s">
        <v>1234</v>
      </c>
      <c r="F49" s="108">
        <v>40.0</v>
      </c>
      <c r="G49" s="109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</row>
    <row r="50" ht="26.25" customHeight="1">
      <c r="A50" s="104">
        <v>4.0</v>
      </c>
      <c r="B50" s="120"/>
      <c r="C50" s="110"/>
      <c r="D50" s="107"/>
      <c r="E50" s="107" t="s">
        <v>1444</v>
      </c>
      <c r="F50" s="111" t="s">
        <v>154</v>
      </c>
      <c r="G50" s="109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</row>
    <row r="51" ht="26.25" customHeight="1">
      <c r="A51" s="104">
        <v>5.0</v>
      </c>
      <c r="B51" s="120"/>
      <c r="C51" s="110"/>
      <c r="D51" s="107"/>
      <c r="E51" s="107" t="s">
        <v>1445</v>
      </c>
      <c r="F51" s="111" t="s">
        <v>1446</v>
      </c>
      <c r="G51" s="109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</row>
    <row r="52" ht="26.25" customHeight="1">
      <c r="A52" s="104">
        <v>6.0</v>
      </c>
      <c r="B52" s="120"/>
      <c r="C52" s="110"/>
      <c r="D52" s="107"/>
      <c r="E52" s="107" t="s">
        <v>1212</v>
      </c>
      <c r="F52" s="108">
        <v>50.0</v>
      </c>
      <c r="G52" s="109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</row>
    <row r="53" ht="26.25" customHeight="1">
      <c r="A53" s="104">
        <v>7.0</v>
      </c>
      <c r="B53" s="120"/>
      <c r="C53" s="110"/>
      <c r="D53" s="107"/>
      <c r="E53" s="125"/>
      <c r="F53" s="109"/>
      <c r="G53" s="109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</row>
    <row r="54" ht="26.25" customHeight="1">
      <c r="A54" s="104">
        <v>8.0</v>
      </c>
      <c r="B54" s="120"/>
      <c r="C54" s="110"/>
      <c r="D54" s="107"/>
      <c r="E54" s="125"/>
      <c r="F54" s="109"/>
      <c r="G54" s="109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</row>
    <row r="55" ht="26.25" customHeight="1">
      <c r="A55" s="104">
        <v>9.0</v>
      </c>
      <c r="B55" s="120"/>
      <c r="C55" s="110"/>
      <c r="D55" s="107"/>
      <c r="E55" s="125"/>
      <c r="F55" s="109"/>
      <c r="G55" s="109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</row>
    <row r="56" ht="26.25" customHeight="1">
      <c r="A56" s="104">
        <v>10.0</v>
      </c>
      <c r="B56" s="120"/>
      <c r="C56" s="110"/>
      <c r="D56" s="107"/>
      <c r="E56" s="125"/>
      <c r="F56" s="109"/>
      <c r="G56" s="109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</row>
    <row r="57" ht="26.25" customHeight="1">
      <c r="A57" s="104">
        <v>11.0</v>
      </c>
      <c r="B57" s="120"/>
      <c r="C57" s="110"/>
      <c r="D57" s="107"/>
      <c r="E57" s="125"/>
      <c r="F57" s="109"/>
      <c r="G57" s="109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</row>
    <row r="58" ht="26.25" customHeight="1">
      <c r="A58" s="104">
        <v>12.0</v>
      </c>
      <c r="B58" s="120"/>
      <c r="C58" s="110"/>
      <c r="D58" s="107"/>
      <c r="E58" s="125"/>
      <c r="F58" s="109"/>
      <c r="G58" s="109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</row>
    <row r="59" ht="26.25" customHeight="1">
      <c r="A59" s="104">
        <v>13.0</v>
      </c>
      <c r="B59" s="120"/>
      <c r="C59" s="110"/>
      <c r="D59" s="107"/>
      <c r="E59" s="125"/>
      <c r="F59" s="109"/>
      <c r="G59" s="109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</row>
    <row r="60" ht="26.25" customHeight="1">
      <c r="A60" s="104">
        <v>14.0</v>
      </c>
      <c r="B60" s="120"/>
      <c r="C60" s="110"/>
      <c r="D60" s="107"/>
      <c r="E60" s="125"/>
      <c r="F60" s="109"/>
      <c r="G60" s="109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</row>
    <row r="61" ht="26.25" customHeight="1">
      <c r="A61" s="122">
        <v>15.0</v>
      </c>
      <c r="B61" s="123"/>
      <c r="C61" s="124"/>
      <c r="D61" s="107"/>
      <c r="E61" s="125"/>
      <c r="F61" s="109"/>
      <c r="G61" s="109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</row>
    <row r="62" ht="26.25" customHeight="1">
      <c r="A62" s="112"/>
      <c r="B62" s="113"/>
      <c r="C62" s="114"/>
      <c r="D62" s="114"/>
      <c r="E62" s="99" t="s">
        <v>1447</v>
      </c>
      <c r="F62" s="131"/>
      <c r="G62" s="114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</row>
    <row r="63" ht="26.25" customHeight="1">
      <c r="A63" s="115"/>
      <c r="B63" s="113"/>
      <c r="C63" s="114"/>
      <c r="D63" s="114"/>
      <c r="E63" s="99" t="s">
        <v>1448</v>
      </c>
      <c r="F63" s="131"/>
      <c r="G63" s="114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</row>
    <row r="64" ht="26.25" customHeight="1">
      <c r="A64" s="115"/>
      <c r="B64" s="113"/>
      <c r="C64" s="114"/>
      <c r="D64" s="114"/>
      <c r="E64" s="99" t="s">
        <v>1449</v>
      </c>
      <c r="F64" s="131"/>
      <c r="G64" s="114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</row>
    <row r="65" ht="26.25" customHeight="1">
      <c r="A65" s="115"/>
      <c r="B65" s="113"/>
      <c r="C65" s="114"/>
      <c r="D65" s="114"/>
      <c r="E65" s="99" t="s">
        <v>1450</v>
      </c>
      <c r="F65" s="131"/>
      <c r="G65" s="114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</row>
    <row r="66" ht="26.25" customHeight="1">
      <c r="A66" s="115"/>
      <c r="B66" s="113"/>
      <c r="C66" s="114"/>
      <c r="D66" s="114"/>
      <c r="E66" s="99" t="s">
        <v>1451</v>
      </c>
      <c r="F66" s="131"/>
      <c r="G66" s="114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</row>
    <row r="67" ht="26.25" customHeight="1">
      <c r="A67" s="115"/>
      <c r="B67" s="115"/>
      <c r="C67" s="115"/>
      <c r="D67" s="115"/>
      <c r="E67" s="115"/>
      <c r="F67" s="115"/>
      <c r="G67" s="115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</row>
    <row r="68" ht="26.25" customHeight="1">
      <c r="A68" s="102" t="s">
        <v>4</v>
      </c>
      <c r="B68" s="102" t="s">
        <v>5</v>
      </c>
      <c r="C68" s="102" t="s">
        <v>126</v>
      </c>
      <c r="D68" s="102" t="s">
        <v>6</v>
      </c>
      <c r="E68" s="102" t="s">
        <v>7</v>
      </c>
      <c r="F68" s="102" t="s">
        <v>127</v>
      </c>
      <c r="G68" s="103" t="s">
        <v>128</v>
      </c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</row>
    <row r="69" ht="26.25" customHeight="1">
      <c r="A69" s="104">
        <v>1.0</v>
      </c>
      <c r="B69" s="105">
        <v>46085.0</v>
      </c>
      <c r="C69" s="106" t="s">
        <v>192</v>
      </c>
      <c r="D69" s="107" t="s">
        <v>1452</v>
      </c>
      <c r="E69" s="107" t="s">
        <v>69</v>
      </c>
      <c r="F69" s="108">
        <v>40.0</v>
      </c>
      <c r="G69" s="109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</row>
    <row r="70" ht="26.25" customHeight="1">
      <c r="A70" s="104">
        <v>2.0</v>
      </c>
      <c r="B70" s="120"/>
      <c r="C70" s="110"/>
      <c r="D70" s="107"/>
      <c r="E70" s="107" t="s">
        <v>130</v>
      </c>
      <c r="F70" s="111" t="s">
        <v>1453</v>
      </c>
      <c r="G70" s="109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</row>
    <row r="71" ht="26.25" customHeight="1">
      <c r="A71" s="104">
        <v>3.0</v>
      </c>
      <c r="B71" s="120"/>
      <c r="C71" s="110"/>
      <c r="D71" s="107"/>
      <c r="E71" s="107"/>
      <c r="F71" s="111" t="s">
        <v>1454</v>
      </c>
      <c r="G71" s="109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</row>
    <row r="72" ht="26.25" customHeight="1">
      <c r="A72" s="104">
        <v>4.0</v>
      </c>
      <c r="B72" s="120"/>
      <c r="C72" s="110"/>
      <c r="D72" s="107"/>
      <c r="E72" s="107" t="s">
        <v>291</v>
      </c>
      <c r="F72" s="108">
        <v>50.0</v>
      </c>
      <c r="G72" s="111" t="s">
        <v>1455</v>
      </c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</row>
    <row r="73" ht="26.25" customHeight="1">
      <c r="A73" s="104">
        <v>5.0</v>
      </c>
      <c r="B73" s="120"/>
      <c r="C73" s="110"/>
      <c r="D73" s="107"/>
      <c r="E73" s="107" t="s">
        <v>268</v>
      </c>
      <c r="F73" s="108">
        <v>50.0</v>
      </c>
      <c r="G73" s="109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</row>
    <row r="74" ht="26.25" customHeight="1">
      <c r="A74" s="104">
        <v>6.0</v>
      </c>
      <c r="B74" s="120"/>
      <c r="C74" s="110"/>
      <c r="D74" s="107"/>
      <c r="E74" s="107" t="s">
        <v>277</v>
      </c>
      <c r="F74" s="108">
        <v>40.0</v>
      </c>
      <c r="G74" s="109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</row>
    <row r="75" ht="26.25" customHeight="1">
      <c r="A75" s="104">
        <v>7.0</v>
      </c>
      <c r="B75" s="120"/>
      <c r="C75" s="110"/>
      <c r="D75" s="107"/>
      <c r="E75" s="107" t="s">
        <v>1456</v>
      </c>
      <c r="F75" s="108" t="s">
        <v>1457</v>
      </c>
      <c r="G75" s="109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</row>
    <row r="76" ht="26.25" customHeight="1">
      <c r="A76" s="104">
        <v>8.0</v>
      </c>
      <c r="B76" s="120"/>
      <c r="C76" s="106" t="s">
        <v>1458</v>
      </c>
      <c r="D76" s="107"/>
      <c r="E76" s="107" t="s">
        <v>408</v>
      </c>
      <c r="F76" s="108">
        <v>50.0</v>
      </c>
      <c r="G76" s="109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</row>
    <row r="77" ht="26.25" customHeight="1">
      <c r="A77" s="104">
        <v>9.0</v>
      </c>
      <c r="B77" s="120"/>
      <c r="C77" s="110"/>
      <c r="D77" s="107"/>
      <c r="E77" s="107" t="s">
        <v>69</v>
      </c>
      <c r="F77" s="108">
        <v>50.0</v>
      </c>
      <c r="G77" s="109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</row>
    <row r="78" ht="26.25" customHeight="1">
      <c r="A78" s="104">
        <v>10.0</v>
      </c>
      <c r="B78" s="120"/>
      <c r="C78" s="110"/>
      <c r="D78" s="107"/>
      <c r="E78" s="107" t="s">
        <v>1459</v>
      </c>
      <c r="F78" s="108">
        <v>35.0</v>
      </c>
      <c r="G78" s="109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</row>
    <row r="79" ht="26.25" customHeight="1">
      <c r="A79" s="104">
        <v>11.0</v>
      </c>
      <c r="B79" s="120"/>
      <c r="C79" s="110"/>
      <c r="D79" s="107"/>
      <c r="E79" s="107" t="s">
        <v>200</v>
      </c>
      <c r="F79" s="108" t="s">
        <v>1460</v>
      </c>
      <c r="G79" s="109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</row>
    <row r="80" ht="26.25" customHeight="1">
      <c r="A80" s="104">
        <v>12.0</v>
      </c>
      <c r="B80" s="120"/>
      <c r="C80" s="110"/>
      <c r="D80" s="107"/>
      <c r="E80" s="107" t="s">
        <v>277</v>
      </c>
      <c r="F80" s="108">
        <v>35.0</v>
      </c>
      <c r="G80" s="111" t="s">
        <v>1461</v>
      </c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</row>
    <row r="81" ht="26.25" customHeight="1">
      <c r="A81" s="104">
        <v>13.0</v>
      </c>
      <c r="B81" s="120"/>
      <c r="C81" s="110"/>
      <c r="D81" s="107"/>
      <c r="E81" s="125"/>
      <c r="F81" s="109"/>
      <c r="G81" s="109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</row>
    <row r="82" ht="26.25" customHeight="1">
      <c r="A82" s="104">
        <v>14.0</v>
      </c>
      <c r="B82" s="120"/>
      <c r="C82" s="110"/>
      <c r="D82" s="107"/>
      <c r="E82" s="125"/>
      <c r="F82" s="109"/>
      <c r="G82" s="109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</row>
    <row r="83" ht="26.25" customHeight="1">
      <c r="A83" s="122">
        <v>15.0</v>
      </c>
      <c r="B83" s="123"/>
      <c r="C83" s="124"/>
      <c r="D83" s="107"/>
      <c r="E83" s="125"/>
      <c r="F83" s="109"/>
      <c r="G83" s="109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</row>
    <row r="84" ht="26.25" customHeight="1">
      <c r="A84" s="112"/>
      <c r="B84" s="113"/>
      <c r="C84" s="114"/>
      <c r="D84" s="114"/>
      <c r="E84" s="99" t="s">
        <v>144</v>
      </c>
      <c r="F84" s="131"/>
      <c r="G84" s="114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</row>
    <row r="85" ht="26.25" customHeight="1">
      <c r="A85" s="115"/>
      <c r="B85" s="113"/>
      <c r="C85" s="114"/>
      <c r="D85" s="114"/>
      <c r="E85" s="99" t="s">
        <v>145</v>
      </c>
      <c r="F85" s="100">
        <v>935.0</v>
      </c>
      <c r="G85" s="114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</row>
    <row r="86" ht="26.25" customHeight="1">
      <c r="A86" s="115"/>
      <c r="B86" s="113"/>
      <c r="C86" s="114"/>
      <c r="D86" s="114"/>
      <c r="E86" s="99" t="s">
        <v>146</v>
      </c>
      <c r="F86" s="100">
        <v>495.0</v>
      </c>
      <c r="G86" s="114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</row>
    <row r="87" ht="26.25" customHeight="1">
      <c r="A87" s="115"/>
      <c r="B87" s="113"/>
      <c r="C87" s="114"/>
      <c r="D87" s="114"/>
      <c r="E87" s="99" t="s">
        <v>147</v>
      </c>
      <c r="F87" s="100">
        <v>370.0</v>
      </c>
      <c r="G87" s="114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</row>
    <row r="88" ht="26.25" customHeight="1">
      <c r="A88" s="115"/>
      <c r="B88" s="113"/>
      <c r="C88" s="114"/>
      <c r="D88" s="114"/>
      <c r="E88" s="99" t="s">
        <v>148</v>
      </c>
      <c r="F88" s="100">
        <v>565.0</v>
      </c>
      <c r="G88" s="114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</row>
    <row r="89" ht="26.25" customHeight="1">
      <c r="A89" s="102" t="s">
        <v>4</v>
      </c>
      <c r="B89" s="102" t="s">
        <v>5</v>
      </c>
      <c r="C89" s="102" t="s">
        <v>126</v>
      </c>
      <c r="D89" s="102" t="s">
        <v>6</v>
      </c>
      <c r="E89" s="102" t="s">
        <v>7</v>
      </c>
      <c r="F89" s="102" t="s">
        <v>127</v>
      </c>
      <c r="G89" s="103" t="s">
        <v>128</v>
      </c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</row>
    <row r="90" ht="26.25" customHeight="1">
      <c r="A90" s="104">
        <v>1.0</v>
      </c>
      <c r="B90" s="105">
        <v>46086.0</v>
      </c>
      <c r="C90" s="106" t="s">
        <v>211</v>
      </c>
      <c r="D90" s="107" t="s">
        <v>1452</v>
      </c>
      <c r="E90" s="106" t="s">
        <v>1458</v>
      </c>
      <c r="F90" s="107" t="s">
        <v>1462</v>
      </c>
      <c r="G90" s="109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</row>
    <row r="91" ht="26.25" customHeight="1">
      <c r="A91" s="104">
        <v>2.0</v>
      </c>
      <c r="B91" s="120"/>
      <c r="C91" s="110"/>
      <c r="D91" s="107"/>
      <c r="E91" s="107" t="s">
        <v>1463</v>
      </c>
      <c r="F91" s="111" t="s">
        <v>154</v>
      </c>
      <c r="G91" s="109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</row>
    <row r="92" ht="26.25" customHeight="1">
      <c r="A92" s="104">
        <v>3.0</v>
      </c>
      <c r="B92" s="120"/>
      <c r="C92" s="110"/>
      <c r="D92" s="107"/>
      <c r="E92" s="107" t="s">
        <v>1464</v>
      </c>
      <c r="F92" s="108" t="s">
        <v>1465</v>
      </c>
      <c r="G92" s="109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</row>
    <row r="93" ht="26.25" customHeight="1">
      <c r="A93" s="104">
        <v>4.0</v>
      </c>
      <c r="B93" s="120"/>
      <c r="C93" s="110"/>
      <c r="D93" s="107"/>
      <c r="E93" s="107" t="s">
        <v>1466</v>
      </c>
      <c r="F93" s="108">
        <v>5.0</v>
      </c>
      <c r="G93" s="111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</row>
    <row r="94" ht="26.25" customHeight="1">
      <c r="A94" s="104">
        <v>5.0</v>
      </c>
      <c r="B94" s="120"/>
      <c r="C94" s="110"/>
      <c r="D94" s="107"/>
      <c r="E94" s="107" t="s">
        <v>1467</v>
      </c>
      <c r="F94" s="111" t="s">
        <v>1468</v>
      </c>
      <c r="G94" s="109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</row>
    <row r="95" ht="26.25" customHeight="1">
      <c r="A95" s="104">
        <v>6.0</v>
      </c>
      <c r="B95" s="120"/>
      <c r="C95" s="110"/>
      <c r="D95" s="107"/>
      <c r="E95" s="107" t="s">
        <v>1469</v>
      </c>
      <c r="F95" s="108"/>
      <c r="G95" s="109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</row>
    <row r="96" ht="26.25" customHeight="1">
      <c r="A96" s="104">
        <v>7.0</v>
      </c>
      <c r="B96" s="120"/>
      <c r="C96" s="110"/>
      <c r="D96" s="107"/>
      <c r="E96" s="107"/>
      <c r="F96" s="108"/>
      <c r="G96" s="109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</row>
    <row r="97" ht="26.25" customHeight="1">
      <c r="A97" s="104">
        <v>8.0</v>
      </c>
      <c r="B97" s="120"/>
      <c r="C97" s="284"/>
      <c r="D97" s="284"/>
      <c r="E97" s="107"/>
      <c r="F97" s="108"/>
      <c r="G97" s="109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</row>
    <row r="98" ht="26.25" customHeight="1">
      <c r="A98" s="104">
        <v>9.0</v>
      </c>
      <c r="B98" s="120"/>
      <c r="C98" s="110"/>
      <c r="D98" s="107"/>
      <c r="E98" s="107"/>
      <c r="F98" s="108"/>
      <c r="G98" s="109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</row>
    <row r="99" ht="26.25" customHeight="1">
      <c r="A99" s="104">
        <v>10.0</v>
      </c>
      <c r="B99" s="120"/>
      <c r="C99" s="110"/>
      <c r="D99" s="107"/>
      <c r="E99" s="107"/>
      <c r="F99" s="108"/>
      <c r="G99" s="109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</row>
    <row r="100" ht="26.25" customHeight="1">
      <c r="A100" s="104">
        <v>11.0</v>
      </c>
      <c r="B100" s="120"/>
      <c r="C100" s="110"/>
      <c r="D100" s="107"/>
      <c r="E100" s="107"/>
      <c r="F100" s="108"/>
      <c r="G100" s="109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</row>
    <row r="101" ht="26.25" customHeight="1">
      <c r="A101" s="104">
        <v>12.0</v>
      </c>
      <c r="B101" s="120"/>
      <c r="C101" s="110"/>
      <c r="D101" s="107"/>
      <c r="E101" s="107"/>
      <c r="F101" s="108"/>
      <c r="G101" s="111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</row>
    <row r="102" ht="26.25" customHeight="1">
      <c r="A102" s="104">
        <v>13.0</v>
      </c>
      <c r="B102" s="120"/>
      <c r="C102" s="110"/>
      <c r="D102" s="107"/>
      <c r="E102" s="125"/>
      <c r="F102" s="109"/>
      <c r="G102" s="109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</row>
    <row r="103" ht="26.25" customHeight="1">
      <c r="A103" s="104">
        <v>14.0</v>
      </c>
      <c r="B103" s="120"/>
      <c r="C103" s="110"/>
      <c r="D103" s="107"/>
      <c r="E103" s="125"/>
      <c r="F103" s="109"/>
      <c r="G103" s="109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</row>
    <row r="104" ht="26.25" customHeight="1">
      <c r="A104" s="122">
        <v>15.0</v>
      </c>
      <c r="B104" s="123"/>
      <c r="C104" s="124"/>
      <c r="D104" s="107"/>
      <c r="E104" s="125"/>
      <c r="F104" s="109"/>
      <c r="G104" s="109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</row>
    <row r="105" ht="26.25" customHeight="1">
      <c r="A105" s="112"/>
      <c r="B105" s="113"/>
      <c r="C105" s="114"/>
      <c r="D105" s="114"/>
      <c r="E105" s="99" t="s">
        <v>144</v>
      </c>
      <c r="F105" s="100">
        <v>1000.0</v>
      </c>
      <c r="G105" s="114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</row>
    <row r="106" ht="26.25" customHeight="1">
      <c r="A106" s="115"/>
      <c r="B106" s="113"/>
      <c r="C106" s="114"/>
      <c r="D106" s="114"/>
      <c r="E106" s="99" t="s">
        <v>145</v>
      </c>
      <c r="F106" s="100">
        <v>285.0</v>
      </c>
      <c r="G106" s="114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</row>
    <row r="107" ht="26.25" customHeight="1">
      <c r="A107" s="115"/>
      <c r="B107" s="113"/>
      <c r="C107" s="114"/>
      <c r="D107" s="114"/>
      <c r="E107" s="99" t="s">
        <v>146</v>
      </c>
      <c r="F107" s="100">
        <v>515.0</v>
      </c>
      <c r="G107" s="114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</row>
    <row r="108" ht="26.25" customHeight="1">
      <c r="A108" s="115"/>
      <c r="B108" s="113"/>
      <c r="C108" s="114"/>
      <c r="D108" s="114"/>
      <c r="E108" s="99" t="s">
        <v>147</v>
      </c>
      <c r="F108" s="100">
        <v>385.0</v>
      </c>
      <c r="G108" s="114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</row>
    <row r="109" ht="26.25" customHeight="1">
      <c r="A109" s="115"/>
      <c r="B109" s="113"/>
      <c r="C109" s="114"/>
      <c r="D109" s="114"/>
      <c r="E109" s="99" t="s">
        <v>1470</v>
      </c>
      <c r="F109" s="100"/>
      <c r="G109" s="114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</row>
    <row r="110" ht="26.25" customHeight="1">
      <c r="A110" s="285"/>
      <c r="B110" s="282"/>
      <c r="C110" s="286"/>
      <c r="D110" s="286"/>
      <c r="E110" s="287"/>
      <c r="F110" s="288"/>
      <c r="G110" s="286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</row>
    <row r="111" ht="26.25" customHeight="1">
      <c r="A111" s="102" t="s">
        <v>4</v>
      </c>
      <c r="B111" s="102" t="s">
        <v>5</v>
      </c>
      <c r="C111" s="102" t="s">
        <v>126</v>
      </c>
      <c r="D111" s="102" t="s">
        <v>6</v>
      </c>
      <c r="E111" s="102" t="s">
        <v>7</v>
      </c>
      <c r="F111" s="102" t="s">
        <v>127</v>
      </c>
      <c r="G111" s="103" t="s">
        <v>128</v>
      </c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</row>
    <row r="112">
      <c r="A112" s="104">
        <v>1.0</v>
      </c>
      <c r="B112" s="105">
        <v>46088.0</v>
      </c>
      <c r="C112" s="106" t="s">
        <v>341</v>
      </c>
      <c r="D112" s="107" t="s">
        <v>1452</v>
      </c>
      <c r="E112" s="107"/>
      <c r="F112" s="108"/>
      <c r="G112" s="109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</row>
    <row r="113" ht="26.25" customHeight="1">
      <c r="A113" s="104">
        <v>2.0</v>
      </c>
      <c r="B113" s="120"/>
      <c r="C113" s="110"/>
      <c r="D113" s="107" t="s">
        <v>1452</v>
      </c>
      <c r="E113" s="107" t="s">
        <v>1471</v>
      </c>
      <c r="F113" s="108">
        <v>70.0</v>
      </c>
      <c r="G113" s="109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</row>
    <row r="114" ht="26.25" customHeight="1">
      <c r="A114" s="104">
        <v>3.0</v>
      </c>
      <c r="B114" s="120"/>
      <c r="C114" s="110"/>
      <c r="D114" s="107" t="s">
        <v>1452</v>
      </c>
      <c r="E114" s="107" t="s">
        <v>1472</v>
      </c>
      <c r="F114" s="111" t="s">
        <v>1473</v>
      </c>
      <c r="G114" s="109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</row>
    <row r="115" ht="26.25" customHeight="1">
      <c r="A115" s="104">
        <v>4.0</v>
      </c>
      <c r="B115" s="120"/>
      <c r="C115" s="110"/>
      <c r="D115" s="107" t="s">
        <v>1452</v>
      </c>
      <c r="E115" s="107" t="s">
        <v>1474</v>
      </c>
      <c r="F115" s="108">
        <v>35.0</v>
      </c>
      <c r="G115" s="111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</row>
    <row r="116" ht="26.25" customHeight="1">
      <c r="A116" s="104">
        <v>5.0</v>
      </c>
      <c r="B116" s="120"/>
      <c r="C116" s="110"/>
      <c r="D116" s="107" t="s">
        <v>1452</v>
      </c>
      <c r="E116" s="107" t="s">
        <v>1475</v>
      </c>
      <c r="F116" s="108">
        <v>50.0</v>
      </c>
      <c r="G116" s="109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</row>
    <row r="117" ht="26.25" customHeight="1">
      <c r="A117" s="104">
        <v>6.0</v>
      </c>
      <c r="B117" s="120"/>
      <c r="C117" s="110"/>
      <c r="D117" s="107" t="s">
        <v>1452</v>
      </c>
      <c r="E117" s="107" t="s">
        <v>1476</v>
      </c>
      <c r="F117" s="108" t="s">
        <v>1477</v>
      </c>
      <c r="G117" s="109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</row>
    <row r="118" ht="26.25" customHeight="1">
      <c r="A118" s="104">
        <v>7.0</v>
      </c>
      <c r="B118" s="120"/>
      <c r="C118" s="110"/>
      <c r="D118" s="107" t="s">
        <v>1452</v>
      </c>
      <c r="E118" s="107" t="s">
        <v>1478</v>
      </c>
      <c r="F118" s="108">
        <v>50.0</v>
      </c>
      <c r="G118" s="109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</row>
    <row r="119" ht="26.25" customHeight="1">
      <c r="A119" s="104">
        <v>8.0</v>
      </c>
      <c r="B119" s="120"/>
      <c r="C119" s="106"/>
      <c r="D119" s="107"/>
      <c r="E119" s="107" t="s">
        <v>1479</v>
      </c>
      <c r="F119" s="108">
        <v>-50.0</v>
      </c>
      <c r="G119" s="109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</row>
    <row r="120" ht="26.25" customHeight="1">
      <c r="A120" s="104">
        <v>9.0</v>
      </c>
      <c r="B120" s="120"/>
      <c r="C120" s="110"/>
      <c r="D120" s="107"/>
      <c r="E120" s="107" t="s">
        <v>1480</v>
      </c>
      <c r="F120" s="108">
        <v>30.0</v>
      </c>
      <c r="G120" s="109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</row>
    <row r="121" ht="26.25" customHeight="1">
      <c r="A121" s="104">
        <v>10.0</v>
      </c>
      <c r="B121" s="120"/>
      <c r="C121" s="110"/>
      <c r="D121" s="107"/>
      <c r="E121" s="107" t="s">
        <v>1481</v>
      </c>
      <c r="F121" s="108">
        <v>70.0</v>
      </c>
      <c r="G121" s="109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</row>
    <row r="122" ht="26.25" customHeight="1">
      <c r="A122" s="104">
        <v>11.0</v>
      </c>
      <c r="B122" s="120"/>
      <c r="C122" s="110"/>
      <c r="D122" s="107"/>
      <c r="E122" s="107" t="s">
        <v>727</v>
      </c>
      <c r="F122" s="108">
        <v>40.0</v>
      </c>
      <c r="G122" s="109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</row>
    <row r="123" ht="26.25" customHeight="1">
      <c r="A123" s="104">
        <v>12.0</v>
      </c>
      <c r="B123" s="120"/>
      <c r="C123" s="110"/>
      <c r="D123" s="107"/>
      <c r="E123" s="107" t="s">
        <v>799</v>
      </c>
      <c r="F123" s="109">
        <f>70+70+35+50+435+100-50+50+40</f>
        <v>800</v>
      </c>
      <c r="G123" s="111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</row>
    <row r="124" ht="26.25" customHeight="1">
      <c r="A124" s="104">
        <v>13.0</v>
      </c>
      <c r="B124" s="120"/>
      <c r="C124" s="110"/>
      <c r="D124" s="107"/>
      <c r="E124" s="107" t="s">
        <v>204</v>
      </c>
      <c r="F124" s="289">
        <v>310.0</v>
      </c>
      <c r="G124" s="109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</row>
    <row r="125" ht="26.25" customHeight="1">
      <c r="A125" s="104">
        <v>14.0</v>
      </c>
      <c r="B125" s="120"/>
      <c r="C125" s="110"/>
      <c r="D125" s="107"/>
      <c r="E125" s="107" t="s">
        <v>1145</v>
      </c>
      <c r="F125" s="108">
        <f>800-310</f>
        <v>490</v>
      </c>
      <c r="G125" s="109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</row>
    <row r="126" ht="26.25" customHeight="1">
      <c r="A126" s="122">
        <v>15.0</v>
      </c>
      <c r="B126" s="123"/>
      <c r="C126" s="124"/>
      <c r="D126" s="107"/>
      <c r="E126" s="125"/>
      <c r="F126" s="109"/>
      <c r="G126" s="111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</row>
    <row r="127" ht="26.25" customHeight="1">
      <c r="A127" s="115"/>
      <c r="B127" s="113"/>
      <c r="C127" s="114"/>
      <c r="D127" s="114"/>
      <c r="E127" s="99" t="s">
        <v>145</v>
      </c>
      <c r="F127" s="100">
        <v>800.0</v>
      </c>
      <c r="G127" s="114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</row>
    <row r="128" ht="26.25" customHeight="1">
      <c r="A128" s="115"/>
      <c r="B128" s="113"/>
      <c r="C128" s="114"/>
      <c r="D128" s="114"/>
      <c r="E128" s="99" t="s">
        <v>147</v>
      </c>
      <c r="F128" s="100">
        <v>310.0</v>
      </c>
      <c r="G128" s="114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</row>
    <row r="129" ht="26.25" customHeight="1">
      <c r="A129" s="115"/>
      <c r="B129" s="113"/>
      <c r="C129" s="114"/>
      <c r="D129" s="114"/>
      <c r="E129" s="99" t="s">
        <v>148</v>
      </c>
      <c r="F129" s="100">
        <v>490.0</v>
      </c>
      <c r="G129" s="114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</row>
    <row r="130" ht="26.25" customHeight="1">
      <c r="A130" s="118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</row>
    <row r="131" ht="26.25" customHeight="1">
      <c r="A131" s="102" t="s">
        <v>4</v>
      </c>
      <c r="B131" s="102" t="s">
        <v>5</v>
      </c>
      <c r="C131" s="102" t="s">
        <v>126</v>
      </c>
      <c r="D131" s="102" t="s">
        <v>6</v>
      </c>
      <c r="E131" s="102" t="s">
        <v>7</v>
      </c>
      <c r="F131" s="102" t="s">
        <v>127</v>
      </c>
      <c r="G131" s="103" t="s">
        <v>128</v>
      </c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</row>
    <row r="132" ht="26.25" customHeight="1">
      <c r="A132" s="104">
        <v>1.0</v>
      </c>
      <c r="B132" s="105">
        <v>46089.0</v>
      </c>
      <c r="C132" s="106" t="s">
        <v>129</v>
      </c>
      <c r="D132" s="107" t="s">
        <v>1452</v>
      </c>
      <c r="E132" s="107" t="s">
        <v>1482</v>
      </c>
      <c r="F132" s="108" t="s">
        <v>1483</v>
      </c>
      <c r="G132" s="10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</row>
    <row r="133" ht="26.25" customHeight="1">
      <c r="A133" s="104">
        <v>2.0</v>
      </c>
      <c r="B133" s="120"/>
      <c r="C133" s="110"/>
      <c r="D133" s="107" t="s">
        <v>1452</v>
      </c>
      <c r="E133" s="107" t="s">
        <v>1484</v>
      </c>
      <c r="F133" s="108">
        <v>35.0</v>
      </c>
      <c r="G133" s="10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</row>
    <row r="134" ht="26.25" customHeight="1">
      <c r="A134" s="104">
        <v>3.0</v>
      </c>
      <c r="B134" s="120"/>
      <c r="C134" s="110"/>
      <c r="D134" s="107" t="s">
        <v>1452</v>
      </c>
      <c r="E134" s="107" t="s">
        <v>43</v>
      </c>
      <c r="F134" s="108">
        <v>50.0</v>
      </c>
      <c r="G134" s="10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</row>
    <row r="135" ht="26.25" customHeight="1">
      <c r="A135" s="104">
        <v>4.0</v>
      </c>
      <c r="B135" s="120"/>
      <c r="C135" s="110"/>
      <c r="D135" s="107" t="s">
        <v>1452</v>
      </c>
      <c r="E135" s="107" t="s">
        <v>1485</v>
      </c>
      <c r="F135" s="108">
        <v>35.0</v>
      </c>
      <c r="G135" s="111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</row>
    <row r="136" ht="26.25" customHeight="1">
      <c r="A136" s="104">
        <v>5.0</v>
      </c>
      <c r="B136" s="120"/>
      <c r="C136" s="110"/>
      <c r="D136" s="107" t="s">
        <v>1452</v>
      </c>
      <c r="E136" s="107" t="s">
        <v>848</v>
      </c>
      <c r="F136" s="108">
        <v>40.0</v>
      </c>
      <c r="G136" s="10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</row>
    <row r="137" ht="26.25" customHeight="1">
      <c r="A137" s="104">
        <v>6.0</v>
      </c>
      <c r="B137" s="120"/>
      <c r="C137" s="110"/>
      <c r="D137" s="107" t="s">
        <v>1452</v>
      </c>
      <c r="E137" s="107" t="s">
        <v>1486</v>
      </c>
      <c r="F137" s="108">
        <v>35.0</v>
      </c>
      <c r="G137" s="10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</row>
    <row r="138" ht="26.25" customHeight="1">
      <c r="A138" s="104">
        <v>7.0</v>
      </c>
      <c r="B138" s="120"/>
      <c r="C138" s="110"/>
      <c r="D138" s="107" t="s">
        <v>1452</v>
      </c>
      <c r="E138" s="107" t="s">
        <v>1487</v>
      </c>
      <c r="F138" s="111" t="s">
        <v>1488</v>
      </c>
      <c r="G138" s="10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</row>
    <row r="139" ht="26.25" customHeight="1">
      <c r="A139" s="104">
        <v>8.0</v>
      </c>
      <c r="B139" s="120"/>
      <c r="C139" s="106"/>
      <c r="D139" s="107"/>
      <c r="E139" s="107" t="s">
        <v>277</v>
      </c>
      <c r="F139" s="108">
        <v>50.0</v>
      </c>
      <c r="G139" s="10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</row>
    <row r="140" ht="26.25" customHeight="1">
      <c r="A140" s="104">
        <v>9.0</v>
      </c>
      <c r="B140" s="120"/>
      <c r="C140" s="110"/>
      <c r="D140" s="107"/>
      <c r="E140" s="107" t="s">
        <v>282</v>
      </c>
      <c r="F140" s="108" t="s">
        <v>1489</v>
      </c>
      <c r="G140" s="10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</row>
    <row r="141" ht="26.25" customHeight="1">
      <c r="A141" s="104">
        <v>10.0</v>
      </c>
      <c r="B141" s="120"/>
      <c r="C141" s="110"/>
      <c r="D141" s="107"/>
      <c r="E141" s="107" t="s">
        <v>1486</v>
      </c>
      <c r="F141" s="111" t="s">
        <v>1490</v>
      </c>
      <c r="G141" s="10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</row>
    <row r="142" ht="26.25" customHeight="1">
      <c r="A142" s="104">
        <v>11.0</v>
      </c>
      <c r="B142" s="120"/>
      <c r="C142" s="110"/>
      <c r="D142" s="107"/>
      <c r="E142" s="107"/>
      <c r="F142" s="108"/>
      <c r="G142" s="10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</row>
    <row r="143" ht="26.25" customHeight="1">
      <c r="A143" s="104">
        <v>12.0</v>
      </c>
      <c r="B143" s="120"/>
      <c r="C143" s="110"/>
      <c r="D143" s="107"/>
      <c r="E143" s="107"/>
      <c r="F143" s="109"/>
      <c r="G143" s="111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</row>
    <row r="144" ht="26.25" customHeight="1">
      <c r="A144" s="104">
        <v>13.0</v>
      </c>
      <c r="B144" s="120"/>
      <c r="C144" s="110"/>
      <c r="D144" s="107"/>
      <c r="E144" s="107"/>
      <c r="F144" s="121"/>
      <c r="G144" s="10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</row>
    <row r="145" ht="26.25" customHeight="1">
      <c r="A145" s="104">
        <v>14.0</v>
      </c>
      <c r="B145" s="120"/>
      <c r="C145" s="110"/>
      <c r="D145" s="107"/>
      <c r="E145" s="107"/>
      <c r="F145" s="108"/>
      <c r="G145" s="10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</row>
    <row r="146" ht="26.25" customHeight="1">
      <c r="A146" s="122">
        <v>15.0</v>
      </c>
      <c r="B146" s="123"/>
      <c r="C146" s="124"/>
      <c r="D146" s="107"/>
      <c r="E146" s="125"/>
      <c r="F146" s="109"/>
      <c r="G146" s="10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</row>
    <row r="147" ht="26.25" customHeight="1">
      <c r="A147" s="112"/>
      <c r="B147" s="113"/>
      <c r="C147" s="114"/>
      <c r="D147" s="114"/>
      <c r="E147" s="99" t="s">
        <v>144</v>
      </c>
      <c r="F147" s="131"/>
      <c r="G147" s="114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</row>
    <row r="148" ht="26.25" customHeight="1">
      <c r="A148" s="115"/>
      <c r="B148" s="113"/>
      <c r="C148" s="114"/>
      <c r="D148" s="114"/>
      <c r="E148" s="99" t="s">
        <v>145</v>
      </c>
      <c r="F148" s="100">
        <v>1605.0</v>
      </c>
      <c r="G148" s="114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</row>
    <row r="149" ht="26.25" customHeight="1">
      <c r="A149" s="115"/>
      <c r="B149" s="113"/>
      <c r="C149" s="114"/>
      <c r="D149" s="114"/>
      <c r="E149" s="99" t="s">
        <v>146</v>
      </c>
      <c r="F149" s="100">
        <v>450.0</v>
      </c>
      <c r="G149" s="114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</row>
    <row r="150" ht="26.25" customHeight="1">
      <c r="A150" s="115"/>
      <c r="B150" s="113"/>
      <c r="C150" s="114"/>
      <c r="D150" s="114"/>
      <c r="E150" s="99" t="s">
        <v>147</v>
      </c>
      <c r="F150" s="100">
        <v>335.0</v>
      </c>
      <c r="G150" s="114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</row>
    <row r="151" ht="26.25" customHeight="1">
      <c r="A151" s="115"/>
      <c r="B151" s="113"/>
      <c r="C151" s="114"/>
      <c r="D151" s="114"/>
      <c r="E151" s="99" t="s">
        <v>148</v>
      </c>
      <c r="F151" s="100">
        <v>1270.0</v>
      </c>
      <c r="G151" s="114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</row>
    <row r="152" ht="26.25" customHeight="1">
      <c r="A152" s="118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</row>
    <row r="153" ht="26.25" customHeight="1">
      <c r="A153" s="102" t="s">
        <v>4</v>
      </c>
      <c r="B153" s="102" t="s">
        <v>5</v>
      </c>
      <c r="C153" s="102" t="s">
        <v>126</v>
      </c>
      <c r="D153" s="102" t="s">
        <v>6</v>
      </c>
      <c r="E153" s="102" t="s">
        <v>7</v>
      </c>
      <c r="F153" s="102" t="s">
        <v>127</v>
      </c>
      <c r="G153" s="103" t="s">
        <v>128</v>
      </c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</row>
    <row r="154" ht="26.25" customHeight="1">
      <c r="A154" s="104">
        <v>1.0</v>
      </c>
      <c r="B154" s="105">
        <v>46090.0</v>
      </c>
      <c r="C154" s="106" t="s">
        <v>261</v>
      </c>
      <c r="D154" s="107"/>
      <c r="E154" s="107" t="s">
        <v>235</v>
      </c>
      <c r="F154" s="108">
        <v>40.0</v>
      </c>
      <c r="G154" s="111" t="s">
        <v>1491</v>
      </c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</row>
    <row r="155" ht="26.25" customHeight="1">
      <c r="A155" s="104">
        <v>2.0</v>
      </c>
      <c r="B155" s="120"/>
      <c r="C155" s="110"/>
      <c r="D155" s="107"/>
      <c r="E155" s="107" t="s">
        <v>1492</v>
      </c>
      <c r="F155" s="108">
        <v>35.0</v>
      </c>
      <c r="G155" s="10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</row>
    <row r="156" ht="26.25" customHeight="1">
      <c r="A156" s="104">
        <v>3.0</v>
      </c>
      <c r="B156" s="120"/>
      <c r="C156" s="110"/>
      <c r="D156" s="107"/>
      <c r="E156" s="107" t="s">
        <v>1493</v>
      </c>
      <c r="F156" s="108">
        <v>35.0</v>
      </c>
      <c r="G156" s="10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</row>
    <row r="157" ht="26.25" customHeight="1">
      <c r="A157" s="104">
        <v>4.0</v>
      </c>
      <c r="B157" s="120"/>
      <c r="C157" s="110"/>
      <c r="D157" s="107"/>
      <c r="E157" s="107" t="s">
        <v>1494</v>
      </c>
      <c r="F157" s="108" t="s">
        <v>1495</v>
      </c>
      <c r="G157" s="111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</row>
    <row r="158" ht="26.25" customHeight="1">
      <c r="A158" s="104">
        <v>5.0</v>
      </c>
      <c r="B158" s="120"/>
      <c r="C158" s="110"/>
      <c r="D158" s="107"/>
      <c r="E158" s="107" t="s">
        <v>1496</v>
      </c>
      <c r="F158" s="108">
        <v>50.0</v>
      </c>
      <c r="G158" s="10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</row>
    <row r="159" ht="26.25" customHeight="1">
      <c r="A159" s="104">
        <v>6.0</v>
      </c>
      <c r="B159" s="120"/>
      <c r="C159" s="110"/>
      <c r="D159" s="107"/>
      <c r="E159" s="107" t="s">
        <v>1497</v>
      </c>
      <c r="F159" s="108">
        <v>50.0</v>
      </c>
      <c r="G159" s="10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</row>
    <row r="160" ht="26.25" customHeight="1">
      <c r="A160" s="104">
        <v>7.0</v>
      </c>
      <c r="B160" s="120"/>
      <c r="C160" s="110"/>
      <c r="D160" s="107"/>
      <c r="E160" s="107" t="s">
        <v>154</v>
      </c>
      <c r="F160" s="111" t="s">
        <v>1498</v>
      </c>
      <c r="G160" s="10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</row>
    <row r="161" ht="26.25" customHeight="1">
      <c r="A161" s="104">
        <v>8.0</v>
      </c>
      <c r="B161" s="120"/>
      <c r="C161" s="106"/>
      <c r="D161" s="107"/>
      <c r="E161" s="107" t="s">
        <v>1499</v>
      </c>
      <c r="F161" s="111" t="s">
        <v>1500</v>
      </c>
      <c r="G161" s="10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</row>
    <row r="162" ht="26.25" customHeight="1">
      <c r="A162" s="104">
        <v>9.0</v>
      </c>
      <c r="B162" s="120"/>
      <c r="C162" s="110"/>
      <c r="D162" s="107"/>
      <c r="E162" s="107"/>
      <c r="F162" s="108"/>
      <c r="G162" s="10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</row>
    <row r="163" ht="26.25" customHeight="1">
      <c r="A163" s="104">
        <v>10.0</v>
      </c>
      <c r="B163" s="120"/>
      <c r="C163" s="110"/>
      <c r="D163" s="107"/>
      <c r="E163" s="107"/>
      <c r="F163" s="108"/>
      <c r="G163" s="10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</row>
    <row r="164" ht="26.25" customHeight="1">
      <c r="A164" s="104">
        <v>11.0</v>
      </c>
      <c r="B164" s="120"/>
      <c r="C164" s="110"/>
      <c r="D164" s="107"/>
      <c r="E164" s="107"/>
      <c r="F164" s="108"/>
      <c r="G164" s="10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</row>
    <row r="165" ht="26.25" customHeight="1">
      <c r="A165" s="104">
        <v>12.0</v>
      </c>
      <c r="B165" s="120"/>
      <c r="C165" s="110"/>
      <c r="D165" s="107"/>
      <c r="E165" s="107"/>
      <c r="F165" s="109"/>
      <c r="G165" s="111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</row>
    <row r="166" ht="26.25" customHeight="1">
      <c r="A166" s="104">
        <v>13.0</v>
      </c>
      <c r="B166" s="120"/>
      <c r="C166" s="110"/>
      <c r="D166" s="107"/>
      <c r="E166" s="107"/>
      <c r="F166" s="121"/>
      <c r="G166" s="10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</row>
    <row r="167" ht="26.25" customHeight="1">
      <c r="A167" s="104">
        <v>14.0</v>
      </c>
      <c r="B167" s="120"/>
      <c r="C167" s="110"/>
      <c r="D167" s="107"/>
      <c r="E167" s="107"/>
      <c r="F167" s="108"/>
      <c r="G167" s="10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</row>
    <row r="168" ht="26.25" customHeight="1">
      <c r="A168" s="122">
        <v>15.0</v>
      </c>
      <c r="B168" s="123"/>
      <c r="C168" s="124"/>
      <c r="D168" s="107"/>
      <c r="E168" s="125"/>
      <c r="F168" s="109"/>
      <c r="G168" s="10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</row>
    <row r="169" ht="26.25" customHeight="1">
      <c r="A169" s="112"/>
      <c r="B169" s="113"/>
      <c r="C169" s="114"/>
      <c r="D169" s="114"/>
      <c r="E169" s="99" t="s">
        <v>144</v>
      </c>
      <c r="F169" s="131"/>
      <c r="G169" s="114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</row>
    <row r="170" ht="26.25" customHeight="1">
      <c r="A170" s="115"/>
      <c r="B170" s="113"/>
      <c r="C170" s="114"/>
      <c r="D170" s="114"/>
      <c r="E170" s="99" t="s">
        <v>145</v>
      </c>
      <c r="F170" s="100">
        <v>1440.0</v>
      </c>
      <c r="G170" s="114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</row>
    <row r="171" ht="26.25" customHeight="1">
      <c r="A171" s="115"/>
      <c r="B171" s="113"/>
      <c r="C171" s="114"/>
      <c r="D171" s="114"/>
      <c r="E171" s="99" t="s">
        <v>146</v>
      </c>
      <c r="F171" s="100">
        <v>390.0</v>
      </c>
      <c r="G171" s="220" t="s">
        <v>1501</v>
      </c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</row>
    <row r="172" ht="26.25" customHeight="1">
      <c r="A172" s="115"/>
      <c r="B172" s="113"/>
      <c r="C172" s="114"/>
      <c r="D172" s="114"/>
      <c r="E172" s="99" t="s">
        <v>147</v>
      </c>
      <c r="F172" s="100">
        <v>290.0</v>
      </c>
      <c r="G172" s="114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</row>
    <row r="173" ht="26.25" customHeight="1">
      <c r="A173" s="115"/>
      <c r="B173" s="113"/>
      <c r="C173" s="114"/>
      <c r="D173" s="114"/>
      <c r="E173" s="99" t="s">
        <v>148</v>
      </c>
      <c r="F173" s="100">
        <v>1150.0</v>
      </c>
      <c r="G173" s="114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</row>
    <row r="174" ht="26.25" customHeight="1">
      <c r="A174" s="118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</row>
    <row r="175" ht="26.25" customHeight="1">
      <c r="A175" s="102" t="s">
        <v>4</v>
      </c>
      <c r="B175" s="102" t="s">
        <v>5</v>
      </c>
      <c r="C175" s="102" t="s">
        <v>126</v>
      </c>
      <c r="D175" s="102" t="s">
        <v>6</v>
      </c>
      <c r="E175" s="102" t="s">
        <v>7</v>
      </c>
      <c r="F175" s="102" t="s">
        <v>127</v>
      </c>
      <c r="G175" s="103" t="s">
        <v>128</v>
      </c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</row>
    <row r="176" ht="26.25" customHeight="1">
      <c r="A176" s="104">
        <v>1.0</v>
      </c>
      <c r="B176" s="105">
        <v>46092.0</v>
      </c>
      <c r="C176" s="106" t="s">
        <v>1502</v>
      </c>
      <c r="D176" s="107" t="s">
        <v>1426</v>
      </c>
      <c r="E176" s="107" t="s">
        <v>1503</v>
      </c>
      <c r="F176" s="108">
        <v>70.0</v>
      </c>
      <c r="G176" s="10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</row>
    <row r="177" ht="26.25" customHeight="1">
      <c r="A177" s="104">
        <v>2.0</v>
      </c>
      <c r="B177" s="120"/>
      <c r="C177" s="110"/>
      <c r="D177" s="107"/>
      <c r="E177" s="107" t="s">
        <v>293</v>
      </c>
      <c r="F177" s="108" t="s">
        <v>1504</v>
      </c>
      <c r="G177" s="10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</row>
    <row r="178" ht="26.25" customHeight="1">
      <c r="A178" s="104">
        <v>3.0</v>
      </c>
      <c r="B178" s="120"/>
      <c r="C178" s="110"/>
      <c r="D178" s="107"/>
      <c r="E178" s="107" t="s">
        <v>1505</v>
      </c>
      <c r="F178" s="108">
        <v>45.0</v>
      </c>
      <c r="G178" s="10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</row>
    <row r="179" ht="26.25" customHeight="1">
      <c r="A179" s="104">
        <v>4.0</v>
      </c>
      <c r="B179" s="120"/>
      <c r="C179" s="110"/>
      <c r="D179" s="107"/>
      <c r="E179" s="107" t="s">
        <v>1108</v>
      </c>
      <c r="F179" s="111" t="s">
        <v>244</v>
      </c>
      <c r="G179" s="111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</row>
    <row r="180" ht="26.25" customHeight="1">
      <c r="A180" s="104">
        <v>5.0</v>
      </c>
      <c r="B180" s="120"/>
      <c r="C180" s="110"/>
      <c r="D180" s="107"/>
      <c r="E180" s="107" t="s">
        <v>91</v>
      </c>
      <c r="F180" s="108">
        <v>50.0</v>
      </c>
      <c r="G180" s="10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</row>
    <row r="181" ht="26.25" customHeight="1">
      <c r="A181" s="104">
        <v>6.0</v>
      </c>
      <c r="B181" s="120"/>
      <c r="C181" s="110"/>
      <c r="D181" s="107"/>
      <c r="E181" s="107" t="s">
        <v>1506</v>
      </c>
      <c r="F181" s="111" t="s">
        <v>1507</v>
      </c>
      <c r="G181" s="10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</row>
    <row r="182" ht="26.25" customHeight="1">
      <c r="A182" s="104">
        <v>7.0</v>
      </c>
      <c r="B182" s="120"/>
      <c r="C182" s="110"/>
      <c r="D182" s="107"/>
      <c r="E182" s="107" t="s">
        <v>1508</v>
      </c>
      <c r="F182" s="108">
        <v>170.0</v>
      </c>
      <c r="G182" s="10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</row>
    <row r="183" ht="26.25" customHeight="1">
      <c r="A183" s="104">
        <v>8.0</v>
      </c>
      <c r="B183" s="120"/>
      <c r="C183" s="106"/>
      <c r="D183" s="107"/>
      <c r="E183" s="107" t="s">
        <v>1509</v>
      </c>
      <c r="F183" s="108">
        <v>40.0</v>
      </c>
      <c r="G183" s="10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</row>
    <row r="184" ht="26.25" customHeight="1">
      <c r="A184" s="104">
        <v>9.0</v>
      </c>
      <c r="B184" s="120"/>
      <c r="C184" s="110"/>
      <c r="D184" s="107"/>
      <c r="E184" s="107"/>
      <c r="F184" s="108"/>
      <c r="G184" s="10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</row>
    <row r="185" ht="26.25" customHeight="1">
      <c r="A185" s="104">
        <v>10.0</v>
      </c>
      <c r="B185" s="120"/>
      <c r="C185" s="110"/>
      <c r="D185" s="107"/>
      <c r="E185" s="107"/>
      <c r="F185" s="108"/>
      <c r="G185" s="10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</row>
    <row r="186" ht="26.25" customHeight="1">
      <c r="A186" s="104">
        <v>11.0</v>
      </c>
      <c r="B186" s="120"/>
      <c r="C186" s="110"/>
      <c r="D186" s="107"/>
      <c r="E186" s="107"/>
      <c r="F186" s="108"/>
      <c r="G186" s="10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</row>
    <row r="187" ht="26.25" customHeight="1">
      <c r="A187" s="104">
        <v>12.0</v>
      </c>
      <c r="B187" s="120"/>
      <c r="C187" s="110"/>
      <c r="D187" s="107"/>
      <c r="E187" s="107"/>
      <c r="F187" s="109"/>
      <c r="G187" s="111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</row>
    <row r="188" ht="26.25" customHeight="1">
      <c r="A188" s="104">
        <v>13.0</v>
      </c>
      <c r="B188" s="120"/>
      <c r="C188" s="110"/>
      <c r="D188" s="107"/>
      <c r="E188" s="107"/>
      <c r="F188" s="121"/>
      <c r="G188" s="10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</row>
    <row r="189" ht="26.25" customHeight="1">
      <c r="A189" s="104">
        <v>14.0</v>
      </c>
      <c r="B189" s="120"/>
      <c r="C189" s="110"/>
      <c r="D189" s="107"/>
      <c r="E189" s="107"/>
      <c r="F189" s="108"/>
      <c r="G189" s="10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</row>
    <row r="190" ht="26.25" customHeight="1">
      <c r="A190" s="122">
        <v>15.0</v>
      </c>
      <c r="B190" s="123"/>
      <c r="C190" s="124"/>
      <c r="D190" s="107"/>
      <c r="E190" s="125"/>
      <c r="F190" s="109"/>
      <c r="G190" s="10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</row>
    <row r="191" ht="26.25" customHeight="1">
      <c r="A191" s="112"/>
      <c r="B191" s="113"/>
      <c r="C191" s="114"/>
      <c r="D191" s="114"/>
      <c r="E191" s="99" t="s">
        <v>144</v>
      </c>
      <c r="F191" s="100">
        <v>0.0</v>
      </c>
      <c r="G191" s="114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</row>
    <row r="192" ht="26.25" customHeight="1">
      <c r="A192" s="115"/>
      <c r="B192" s="113"/>
      <c r="C192" s="114"/>
      <c r="D192" s="114"/>
      <c r="E192" s="99" t="s">
        <v>145</v>
      </c>
      <c r="F192" s="100">
        <v>1405.0</v>
      </c>
      <c r="G192" s="114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</row>
    <row r="193" ht="26.25" customHeight="1">
      <c r="A193" s="115"/>
      <c r="B193" s="113"/>
      <c r="C193" s="114"/>
      <c r="D193" s="114"/>
      <c r="E193" s="99" t="s">
        <v>146</v>
      </c>
      <c r="F193" s="100">
        <v>530.0</v>
      </c>
      <c r="G193" s="114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</row>
    <row r="194" ht="26.25" customHeight="1">
      <c r="A194" s="115"/>
      <c r="B194" s="113"/>
      <c r="C194" s="114"/>
      <c r="D194" s="114"/>
      <c r="E194" s="99" t="s">
        <v>147</v>
      </c>
      <c r="F194" s="100">
        <v>395.0</v>
      </c>
      <c r="G194" s="114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</row>
    <row r="195" ht="26.25" customHeight="1">
      <c r="A195" s="115"/>
      <c r="B195" s="113"/>
      <c r="C195" s="114"/>
      <c r="D195" s="114"/>
      <c r="E195" s="99" t="s">
        <v>148</v>
      </c>
      <c r="F195" s="100">
        <v>1010.0</v>
      </c>
      <c r="G195" s="220" t="s">
        <v>1510</v>
      </c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</row>
    <row r="196" ht="26.25" customHeight="1">
      <c r="A196" s="118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</row>
    <row r="197" ht="26.25" customHeight="1">
      <c r="A197" s="102" t="s">
        <v>4</v>
      </c>
      <c r="B197" s="102" t="s">
        <v>5</v>
      </c>
      <c r="C197" s="102" t="s">
        <v>126</v>
      </c>
      <c r="D197" s="102" t="s">
        <v>6</v>
      </c>
      <c r="E197" s="102" t="s">
        <v>7</v>
      </c>
      <c r="F197" s="102" t="s">
        <v>127</v>
      </c>
      <c r="G197" s="103" t="s">
        <v>128</v>
      </c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</row>
    <row r="198" ht="26.25" customHeight="1">
      <c r="A198" s="104">
        <v>1.0</v>
      </c>
      <c r="B198" s="105">
        <v>46093.0</v>
      </c>
      <c r="C198" s="106" t="s">
        <v>310</v>
      </c>
      <c r="D198" s="107" t="s">
        <v>130</v>
      </c>
      <c r="E198" s="107" t="s">
        <v>1511</v>
      </c>
      <c r="F198" s="108"/>
      <c r="G198" s="10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</row>
    <row r="199" ht="26.25" customHeight="1">
      <c r="A199" s="104">
        <v>2.0</v>
      </c>
      <c r="B199" s="120"/>
      <c r="C199" s="110"/>
      <c r="D199" s="107" t="s">
        <v>1512</v>
      </c>
      <c r="E199" s="107" t="s">
        <v>1513</v>
      </c>
      <c r="F199" s="108"/>
      <c r="G199" s="10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</row>
    <row r="200" ht="26.25" customHeight="1">
      <c r="A200" s="104">
        <v>3.0</v>
      </c>
      <c r="B200" s="120"/>
      <c r="C200" s="110"/>
      <c r="D200" s="107" t="s">
        <v>1240</v>
      </c>
      <c r="E200" s="127">
        <v>50.0</v>
      </c>
      <c r="F200" s="111"/>
      <c r="G200" s="10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</row>
    <row r="201" ht="26.25" customHeight="1">
      <c r="A201" s="104">
        <v>4.0</v>
      </c>
      <c r="B201" s="120"/>
      <c r="C201" s="110"/>
      <c r="D201" s="107" t="s">
        <v>662</v>
      </c>
      <c r="E201" s="107" t="s">
        <v>1514</v>
      </c>
      <c r="F201" s="108"/>
      <c r="G201" s="111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</row>
    <row r="202" ht="26.25" customHeight="1">
      <c r="A202" s="104">
        <v>5.0</v>
      </c>
      <c r="B202" s="120"/>
      <c r="C202" s="110"/>
      <c r="D202" s="107" t="s">
        <v>1246</v>
      </c>
      <c r="E202" s="107" t="s">
        <v>1515</v>
      </c>
      <c r="F202" s="108"/>
      <c r="G202" s="10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</row>
    <row r="203" ht="26.25" customHeight="1">
      <c r="A203" s="104">
        <v>6.0</v>
      </c>
      <c r="B203" s="120"/>
      <c r="C203" s="110"/>
      <c r="D203" s="107" t="s">
        <v>277</v>
      </c>
      <c r="E203" s="107" t="s">
        <v>1516</v>
      </c>
      <c r="F203" s="108"/>
      <c r="G203" s="10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</row>
    <row r="204" ht="26.25" customHeight="1">
      <c r="A204" s="104">
        <v>7.0</v>
      </c>
      <c r="B204" s="120"/>
      <c r="C204" s="110"/>
      <c r="D204" s="107" t="s">
        <v>1496</v>
      </c>
      <c r="E204" s="127">
        <v>50.0</v>
      </c>
      <c r="F204" s="108"/>
      <c r="G204" s="10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</row>
    <row r="205" ht="26.25" customHeight="1">
      <c r="A205" s="104">
        <v>8.0</v>
      </c>
      <c r="B205" s="120"/>
      <c r="C205" s="106"/>
      <c r="D205" s="107" t="s">
        <v>69</v>
      </c>
      <c r="E205" s="127" t="s">
        <v>1517</v>
      </c>
      <c r="F205" s="108"/>
      <c r="G205" s="10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</row>
    <row r="206" ht="26.25" customHeight="1">
      <c r="A206" s="104">
        <v>9.0</v>
      </c>
      <c r="B206" s="120"/>
      <c r="C206" s="110"/>
      <c r="D206" s="107" t="s">
        <v>727</v>
      </c>
      <c r="E206" s="127">
        <v>35.0</v>
      </c>
      <c r="F206" s="108"/>
      <c r="G206" s="10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</row>
    <row r="207" ht="26.25" customHeight="1">
      <c r="A207" s="104">
        <v>10.0</v>
      </c>
      <c r="B207" s="120"/>
      <c r="C207" s="110"/>
      <c r="D207" s="107"/>
      <c r="E207" s="107"/>
      <c r="F207" s="108"/>
      <c r="G207" s="10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</row>
    <row r="208" ht="26.25" customHeight="1">
      <c r="A208" s="104">
        <v>11.0</v>
      </c>
      <c r="B208" s="120"/>
      <c r="C208" s="110"/>
      <c r="D208" s="107"/>
      <c r="E208" s="107"/>
      <c r="F208" s="108"/>
      <c r="G208" s="10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</row>
    <row r="209" ht="26.25" customHeight="1">
      <c r="A209" s="104">
        <v>12.0</v>
      </c>
      <c r="B209" s="120"/>
      <c r="C209" s="110"/>
      <c r="D209" s="107"/>
      <c r="E209" s="107"/>
      <c r="F209" s="109"/>
      <c r="G209" s="111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</row>
    <row r="210" ht="26.25" customHeight="1">
      <c r="A210" s="104">
        <v>13.0</v>
      </c>
      <c r="B210" s="120"/>
      <c r="C210" s="110"/>
      <c r="D210" s="107"/>
      <c r="E210" s="107"/>
      <c r="F210" s="121"/>
      <c r="G210" s="10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</row>
    <row r="211" ht="26.25" customHeight="1">
      <c r="A211" s="104">
        <v>14.0</v>
      </c>
      <c r="B211" s="120"/>
      <c r="C211" s="110"/>
      <c r="D211" s="107"/>
      <c r="E211" s="107"/>
      <c r="F211" s="108"/>
      <c r="G211" s="10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</row>
    <row r="212" ht="26.25" customHeight="1">
      <c r="A212" s="122">
        <v>15.0</v>
      </c>
      <c r="B212" s="123"/>
      <c r="C212" s="124"/>
      <c r="D212" s="107"/>
      <c r="E212" s="125"/>
      <c r="F212" s="109"/>
      <c r="G212" s="10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</row>
    <row r="213" ht="26.25" customHeight="1">
      <c r="A213" s="112"/>
      <c r="B213" s="113"/>
      <c r="C213" s="114"/>
      <c r="D213" s="114"/>
      <c r="E213" s="99" t="s">
        <v>144</v>
      </c>
      <c r="F213" s="131"/>
      <c r="G213" s="114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</row>
    <row r="214" ht="26.25" customHeight="1">
      <c r="A214" s="115"/>
      <c r="B214" s="113"/>
      <c r="C214" s="114"/>
      <c r="D214" s="114"/>
      <c r="E214" s="99" t="s">
        <v>145</v>
      </c>
      <c r="F214" s="100">
        <v>2255.0</v>
      </c>
      <c r="G214" s="114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</row>
    <row r="215" ht="26.25" customHeight="1">
      <c r="A215" s="115"/>
      <c r="B215" s="113"/>
      <c r="C215" s="114"/>
      <c r="D215" s="114"/>
      <c r="E215" s="99" t="s">
        <v>146</v>
      </c>
      <c r="F215" s="100">
        <v>580.0</v>
      </c>
      <c r="G215" s="114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</row>
    <row r="216" ht="26.25" customHeight="1">
      <c r="A216" s="115"/>
      <c r="B216" s="113"/>
      <c r="C216" s="114"/>
      <c r="D216" s="114"/>
      <c r="E216" s="99" t="s">
        <v>147</v>
      </c>
      <c r="F216" s="100">
        <v>435.0</v>
      </c>
      <c r="G216" s="114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</row>
    <row r="217" ht="26.25" customHeight="1">
      <c r="A217" s="115"/>
      <c r="B217" s="113"/>
      <c r="C217" s="114"/>
      <c r="D217" s="114"/>
      <c r="E217" s="99" t="s">
        <v>148</v>
      </c>
      <c r="F217" s="100">
        <v>1820.0</v>
      </c>
      <c r="G217" s="220" t="s">
        <v>1518</v>
      </c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</row>
    <row r="218" ht="26.25" customHeight="1">
      <c r="A218" s="290"/>
      <c r="B218" s="187"/>
      <c r="C218" s="188"/>
      <c r="D218" s="188"/>
      <c r="E218" s="291"/>
      <c r="F218" s="292"/>
      <c r="G218" s="293" t="s">
        <v>1519</v>
      </c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</row>
    <row r="219" ht="26.25" customHeight="1">
      <c r="A219" s="102" t="s">
        <v>4</v>
      </c>
      <c r="B219" s="102" t="s">
        <v>5</v>
      </c>
      <c r="C219" s="102" t="s">
        <v>126</v>
      </c>
      <c r="D219" s="102" t="s">
        <v>6</v>
      </c>
      <c r="E219" s="102" t="s">
        <v>7</v>
      </c>
      <c r="F219" s="102" t="s">
        <v>127</v>
      </c>
      <c r="G219" s="103" t="s">
        <v>128</v>
      </c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</row>
    <row r="220" ht="26.25" customHeight="1">
      <c r="A220" s="104">
        <v>1.0</v>
      </c>
      <c r="B220" s="105">
        <v>46095.0</v>
      </c>
      <c r="C220" s="106" t="s">
        <v>1041</v>
      </c>
      <c r="D220" s="107" t="s">
        <v>1426</v>
      </c>
      <c r="E220" s="107" t="s">
        <v>1503</v>
      </c>
      <c r="F220" s="108">
        <v>100.0</v>
      </c>
      <c r="G220" s="111" t="s">
        <v>1520</v>
      </c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</row>
    <row r="221" ht="26.25" customHeight="1">
      <c r="A221" s="104">
        <v>2.0</v>
      </c>
      <c r="B221" s="120"/>
      <c r="C221" s="110"/>
      <c r="D221" s="107"/>
      <c r="E221" s="107" t="s">
        <v>36</v>
      </c>
      <c r="F221" s="111" t="s">
        <v>840</v>
      </c>
      <c r="G221" s="10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</row>
    <row r="222" ht="26.25" customHeight="1">
      <c r="A222" s="104">
        <v>3.0</v>
      </c>
      <c r="B222" s="120"/>
      <c r="C222" s="110"/>
      <c r="D222" s="107"/>
      <c r="E222" s="107" t="s">
        <v>1521</v>
      </c>
      <c r="F222" s="111" t="s">
        <v>1522</v>
      </c>
      <c r="G222" s="10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</row>
    <row r="223" ht="26.25" customHeight="1">
      <c r="A223" s="104">
        <v>4.0</v>
      </c>
      <c r="B223" s="120"/>
      <c r="C223" s="110"/>
      <c r="D223" s="107"/>
      <c r="E223" s="107" t="s">
        <v>1523</v>
      </c>
      <c r="F223" s="108">
        <v>50.0</v>
      </c>
      <c r="G223" s="111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</row>
    <row r="224" ht="26.25" customHeight="1">
      <c r="A224" s="104">
        <v>5.0</v>
      </c>
      <c r="B224" s="120"/>
      <c r="C224" s="110"/>
      <c r="D224" s="107"/>
      <c r="E224" s="107" t="s">
        <v>1524</v>
      </c>
      <c r="F224" s="108">
        <v>35.0</v>
      </c>
      <c r="G224" s="10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</row>
    <row r="225" ht="26.25" customHeight="1">
      <c r="A225" s="104">
        <v>6.0</v>
      </c>
      <c r="B225" s="120"/>
      <c r="C225" s="110"/>
      <c r="D225" s="107"/>
      <c r="E225" s="107" t="s">
        <v>1358</v>
      </c>
      <c r="F225" s="108">
        <v>40.0</v>
      </c>
      <c r="G225" s="10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</row>
    <row r="226" ht="26.25" customHeight="1">
      <c r="A226" s="104">
        <v>7.0</v>
      </c>
      <c r="B226" s="120"/>
      <c r="C226" s="110"/>
      <c r="D226" s="107"/>
      <c r="E226" s="107" t="s">
        <v>1525</v>
      </c>
      <c r="F226" s="108">
        <v>50.0</v>
      </c>
      <c r="G226" s="10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</row>
    <row r="227" ht="26.25" customHeight="1">
      <c r="A227" s="104">
        <v>8.0</v>
      </c>
      <c r="B227" s="120"/>
      <c r="C227" s="106"/>
      <c r="D227" s="107"/>
      <c r="E227" s="107" t="s">
        <v>1526</v>
      </c>
      <c r="F227" s="108">
        <v>35.0</v>
      </c>
      <c r="G227" s="10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</row>
    <row r="228" ht="26.25" customHeight="1">
      <c r="A228" s="104">
        <v>9.0</v>
      </c>
      <c r="B228" s="120"/>
      <c r="C228" s="110"/>
      <c r="D228" s="107"/>
      <c r="E228" s="107" t="s">
        <v>1527</v>
      </c>
      <c r="F228" s="111" t="s">
        <v>1528</v>
      </c>
      <c r="G228" s="10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</row>
    <row r="229" ht="26.25" customHeight="1">
      <c r="A229" s="104">
        <v>10.0</v>
      </c>
      <c r="B229" s="120"/>
      <c r="C229" s="110"/>
      <c r="D229" s="107"/>
      <c r="E229" s="107" t="s">
        <v>1529</v>
      </c>
      <c r="F229" s="111" t="s">
        <v>1530</v>
      </c>
      <c r="G229" s="10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</row>
    <row r="230" ht="26.25" customHeight="1">
      <c r="A230" s="104">
        <v>11.0</v>
      </c>
      <c r="B230" s="120"/>
      <c r="C230" s="110"/>
      <c r="D230" s="107"/>
      <c r="E230" s="107" t="s">
        <v>1531</v>
      </c>
      <c r="F230" s="108"/>
      <c r="G230" s="10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</row>
    <row r="231" ht="26.25" customHeight="1">
      <c r="A231" s="104">
        <v>12.0</v>
      </c>
      <c r="B231" s="120"/>
      <c r="C231" s="110"/>
      <c r="D231" s="107"/>
      <c r="E231" s="107" t="s">
        <v>727</v>
      </c>
      <c r="F231" s="108" t="s">
        <v>1532</v>
      </c>
      <c r="G231" s="111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</row>
    <row r="232" ht="26.25" customHeight="1">
      <c r="A232" s="104">
        <v>13.0</v>
      </c>
      <c r="B232" s="120"/>
      <c r="C232" s="110"/>
      <c r="D232" s="107"/>
      <c r="E232" s="107" t="s">
        <v>1276</v>
      </c>
      <c r="F232" s="294">
        <v>35.0</v>
      </c>
      <c r="G232" s="10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</row>
    <row r="233" ht="26.25" customHeight="1">
      <c r="A233" s="104">
        <v>14.0</v>
      </c>
      <c r="B233" s="120"/>
      <c r="C233" s="110"/>
      <c r="D233" s="107"/>
      <c r="E233" s="107"/>
      <c r="F233" s="108"/>
      <c r="G233" s="10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</row>
    <row r="234" ht="26.25" customHeight="1">
      <c r="A234" s="122">
        <v>15.0</v>
      </c>
      <c r="B234" s="123"/>
      <c r="C234" s="124"/>
      <c r="D234" s="107"/>
      <c r="E234" s="125"/>
      <c r="F234" s="109"/>
      <c r="G234" s="10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</row>
    <row r="235" ht="26.25" customHeight="1">
      <c r="A235" s="112"/>
      <c r="B235" s="113"/>
      <c r="C235" s="114"/>
      <c r="D235" s="114"/>
      <c r="E235" s="99" t="s">
        <v>144</v>
      </c>
      <c r="F235" s="100" t="s">
        <v>1533</v>
      </c>
      <c r="G235" s="114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</row>
    <row r="236" ht="26.25" customHeight="1">
      <c r="A236" s="115"/>
      <c r="B236" s="113"/>
      <c r="C236" s="114"/>
      <c r="D236" s="114"/>
      <c r="E236" s="99" t="s">
        <v>145</v>
      </c>
      <c r="F236" s="100">
        <v>3305.0</v>
      </c>
      <c r="G236" s="114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</row>
    <row r="237" ht="26.25" customHeight="1">
      <c r="A237" s="115"/>
      <c r="B237" s="113"/>
      <c r="C237" s="114"/>
      <c r="D237" s="114"/>
      <c r="E237" s="99" t="s">
        <v>146</v>
      </c>
      <c r="F237" s="100">
        <v>580.0</v>
      </c>
      <c r="G237" s="114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</row>
    <row r="238" ht="26.25" customHeight="1">
      <c r="A238" s="115"/>
      <c r="B238" s="113"/>
      <c r="C238" s="114"/>
      <c r="D238" s="114"/>
      <c r="E238" s="99" t="s">
        <v>147</v>
      </c>
      <c r="F238" s="100">
        <v>435.0</v>
      </c>
      <c r="G238" s="114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</row>
    <row r="239" ht="26.25" customHeight="1">
      <c r="A239" s="115"/>
      <c r="B239" s="113"/>
      <c r="C239" s="114"/>
      <c r="D239" s="114"/>
      <c r="E239" s="99" t="s">
        <v>148</v>
      </c>
      <c r="F239" s="100">
        <v>2870.0</v>
      </c>
      <c r="G239" s="220" t="s">
        <v>1534</v>
      </c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</row>
    <row r="240" ht="26.25" customHeight="1">
      <c r="A240" s="118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</row>
    <row r="241" ht="26.25" customHeight="1">
      <c r="A241" s="102" t="s">
        <v>4</v>
      </c>
      <c r="B241" s="102" t="s">
        <v>5</v>
      </c>
      <c r="C241" s="102" t="s">
        <v>126</v>
      </c>
      <c r="D241" s="102" t="s">
        <v>6</v>
      </c>
      <c r="E241" s="102" t="s">
        <v>7</v>
      </c>
      <c r="F241" s="102" t="s">
        <v>127</v>
      </c>
      <c r="G241" s="103" t="s">
        <v>128</v>
      </c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</row>
    <row r="242" ht="26.25" customHeight="1">
      <c r="A242" s="104">
        <v>1.0</v>
      </c>
      <c r="B242" s="105">
        <v>46096.0</v>
      </c>
      <c r="C242" s="106" t="s">
        <v>476</v>
      </c>
      <c r="D242" s="107" t="s">
        <v>1426</v>
      </c>
      <c r="E242" s="107" t="s">
        <v>1535</v>
      </c>
      <c r="F242" s="108"/>
      <c r="G242" s="10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</row>
    <row r="243" ht="26.25" customHeight="1">
      <c r="A243" s="104">
        <v>2.0</v>
      </c>
      <c r="B243" s="120"/>
      <c r="C243" s="110"/>
      <c r="D243" s="107"/>
      <c r="E243" s="107" t="s">
        <v>1536</v>
      </c>
      <c r="F243" s="108">
        <v>160.0</v>
      </c>
      <c r="G243" s="10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</row>
    <row r="244" ht="26.25" customHeight="1">
      <c r="A244" s="104">
        <v>3.0</v>
      </c>
      <c r="B244" s="120"/>
      <c r="C244" s="110"/>
      <c r="D244" s="107"/>
      <c r="E244" s="107" t="s">
        <v>1537</v>
      </c>
      <c r="F244" s="111"/>
      <c r="G244" s="10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</row>
    <row r="245" ht="26.25" customHeight="1">
      <c r="A245" s="104">
        <v>4.0</v>
      </c>
      <c r="B245" s="120"/>
      <c r="C245" s="110"/>
      <c r="D245" s="107"/>
      <c r="E245" s="107" t="s">
        <v>1538</v>
      </c>
      <c r="F245" s="108"/>
      <c r="G245" s="111" t="s">
        <v>1539</v>
      </c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</row>
    <row r="246" ht="26.25" customHeight="1">
      <c r="A246" s="104">
        <v>5.0</v>
      </c>
      <c r="B246" s="120"/>
      <c r="C246" s="110"/>
      <c r="D246" s="107"/>
      <c r="E246" s="107" t="s">
        <v>1540</v>
      </c>
      <c r="F246" s="108" t="s">
        <v>1541</v>
      </c>
      <c r="G246" s="10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</row>
    <row r="247" ht="26.25" customHeight="1">
      <c r="A247" s="104">
        <v>6.0</v>
      </c>
      <c r="B247" s="120"/>
      <c r="C247" s="110"/>
      <c r="D247" s="107"/>
      <c r="E247" s="107" t="s">
        <v>36</v>
      </c>
      <c r="F247" s="111" t="s">
        <v>1542</v>
      </c>
      <c r="G247" s="10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</row>
    <row r="248" ht="26.25" customHeight="1">
      <c r="A248" s="104">
        <v>7.0</v>
      </c>
      <c r="B248" s="120"/>
      <c r="C248" s="110"/>
      <c r="D248" s="107"/>
      <c r="E248" s="107" t="s">
        <v>1543</v>
      </c>
      <c r="F248" s="111" t="s">
        <v>1544</v>
      </c>
      <c r="G248" s="10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</row>
    <row r="249" ht="26.25" customHeight="1">
      <c r="A249" s="104">
        <v>8.0</v>
      </c>
      <c r="B249" s="120"/>
      <c r="C249" s="106"/>
      <c r="D249" s="107"/>
      <c r="E249" s="107" t="s">
        <v>1545</v>
      </c>
      <c r="F249" s="108">
        <v>50.0</v>
      </c>
      <c r="G249" s="10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</row>
    <row r="250" ht="26.25" customHeight="1">
      <c r="A250" s="104">
        <v>9.0</v>
      </c>
      <c r="B250" s="120"/>
      <c r="C250" s="110"/>
      <c r="D250" s="107"/>
      <c r="E250" s="107" t="s">
        <v>1546</v>
      </c>
      <c r="F250" s="111" t="s">
        <v>1547</v>
      </c>
      <c r="G250" s="10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</row>
    <row r="251" ht="26.25" customHeight="1">
      <c r="A251" s="112"/>
      <c r="B251" s="113"/>
      <c r="C251" s="114"/>
      <c r="E251" s="295" t="s">
        <v>277</v>
      </c>
      <c r="F251" s="98">
        <v>35.0</v>
      </c>
      <c r="G251" s="114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</row>
    <row r="252" ht="26.25" customHeight="1">
      <c r="A252" s="115"/>
      <c r="B252" s="113"/>
      <c r="C252" s="114"/>
      <c r="D252" s="114"/>
      <c r="E252" s="99" t="s">
        <v>144</v>
      </c>
      <c r="F252" s="100">
        <v>0.0</v>
      </c>
      <c r="G252" s="114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</row>
    <row r="253" ht="26.25" customHeight="1">
      <c r="A253" s="115"/>
      <c r="B253" s="113"/>
      <c r="C253" s="114"/>
      <c r="D253" s="114"/>
      <c r="E253" s="99" t="s">
        <v>145</v>
      </c>
      <c r="F253" s="100">
        <v>7455.0</v>
      </c>
      <c r="G253" s="114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</row>
    <row r="254" ht="26.25" customHeight="1">
      <c r="A254" s="115"/>
      <c r="B254" s="113"/>
      <c r="C254" s="114"/>
      <c r="D254" s="114"/>
      <c r="E254" s="99" t="s">
        <v>146</v>
      </c>
      <c r="F254" s="100">
        <v>615.0</v>
      </c>
      <c r="G254" s="114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</row>
    <row r="255" ht="26.25" customHeight="1">
      <c r="A255" s="115"/>
      <c r="B255" s="113"/>
      <c r="C255" s="114"/>
      <c r="D255" s="114"/>
      <c r="E255" s="99" t="s">
        <v>147</v>
      </c>
      <c r="F255" s="100">
        <v>460.0</v>
      </c>
      <c r="G255" s="114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</row>
    <row r="256" ht="26.25" customHeight="1">
      <c r="A256" s="290"/>
      <c r="B256" s="187"/>
      <c r="C256" s="188"/>
      <c r="D256" s="114"/>
      <c r="E256" s="99" t="s">
        <v>148</v>
      </c>
      <c r="F256" s="100">
        <v>7000.0</v>
      </c>
      <c r="G256" s="188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</row>
    <row r="257" ht="26.25" customHeight="1">
      <c r="A257" s="102" t="s">
        <v>4</v>
      </c>
      <c r="B257" s="102" t="s">
        <v>5</v>
      </c>
      <c r="C257" s="102" t="s">
        <v>126</v>
      </c>
      <c r="D257" s="102" t="s">
        <v>6</v>
      </c>
      <c r="E257" s="102" t="s">
        <v>7</v>
      </c>
      <c r="F257" s="102" t="s">
        <v>127</v>
      </c>
      <c r="G257" s="103" t="s">
        <v>128</v>
      </c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</row>
    <row r="258" ht="26.25" customHeight="1">
      <c r="A258" s="104">
        <v>1.0</v>
      </c>
      <c r="B258" s="105">
        <v>46097.0</v>
      </c>
      <c r="C258" s="106"/>
      <c r="D258" s="107" t="s">
        <v>1426</v>
      </c>
      <c r="E258" s="107" t="s">
        <v>1548</v>
      </c>
      <c r="F258" s="108">
        <v>40.0</v>
      </c>
      <c r="G258" s="111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</row>
    <row r="259" ht="26.25" customHeight="1">
      <c r="A259" s="104">
        <v>2.0</v>
      </c>
      <c r="B259" s="120"/>
      <c r="C259" s="106"/>
      <c r="D259" s="107"/>
      <c r="E259" s="107" t="s">
        <v>235</v>
      </c>
      <c r="F259" s="127">
        <v>40.0</v>
      </c>
      <c r="G259" s="111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</row>
    <row r="260" ht="26.25" customHeight="1">
      <c r="A260" s="104">
        <v>3.0</v>
      </c>
      <c r="B260" s="120"/>
      <c r="C260" s="106"/>
      <c r="D260" s="107"/>
      <c r="E260" s="107" t="s">
        <v>1234</v>
      </c>
      <c r="F260" s="127">
        <v>40.0</v>
      </c>
      <c r="G260" s="111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</row>
    <row r="261" ht="26.25" customHeight="1">
      <c r="A261" s="104">
        <v>4.0</v>
      </c>
      <c r="B261" s="120"/>
      <c r="C261" s="106"/>
      <c r="D261" s="107"/>
      <c r="E261" s="107" t="s">
        <v>1549</v>
      </c>
      <c r="F261" s="111" t="s">
        <v>840</v>
      </c>
      <c r="G261" s="111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</row>
    <row r="262" ht="26.25" customHeight="1">
      <c r="A262" s="104">
        <v>5.0</v>
      </c>
      <c r="B262" s="120"/>
      <c r="C262" s="106"/>
      <c r="D262" s="107"/>
      <c r="E262" s="107" t="s">
        <v>1550</v>
      </c>
      <c r="F262" s="108">
        <v>30.0</v>
      </c>
      <c r="G262" s="10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</row>
    <row r="263" ht="26.25" customHeight="1">
      <c r="A263" s="104">
        <v>6.0</v>
      </c>
      <c r="B263" s="120"/>
      <c r="C263" s="110"/>
      <c r="D263" s="107"/>
      <c r="E263" s="107" t="s">
        <v>1551</v>
      </c>
      <c r="F263" s="111" t="s">
        <v>1552</v>
      </c>
      <c r="G263" s="10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</row>
    <row r="264" ht="26.25" customHeight="1">
      <c r="A264" s="104">
        <v>7.0</v>
      </c>
      <c r="B264" s="120"/>
      <c r="C264" s="110"/>
      <c r="D264" s="107"/>
      <c r="E264" s="107" t="s">
        <v>1496</v>
      </c>
      <c r="F264" s="108">
        <v>50.0</v>
      </c>
      <c r="G264" s="10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</row>
    <row r="265" ht="26.25" customHeight="1">
      <c r="A265" s="104">
        <v>8.0</v>
      </c>
      <c r="B265" s="120"/>
      <c r="C265" s="106"/>
      <c r="D265" s="107"/>
      <c r="E265" s="107" t="s">
        <v>375</v>
      </c>
      <c r="F265" s="108" t="s">
        <v>1553</v>
      </c>
      <c r="G265" s="10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</row>
    <row r="266" ht="26.25" customHeight="1">
      <c r="A266" s="104">
        <v>9.0</v>
      </c>
      <c r="B266" s="120"/>
      <c r="C266" s="110"/>
      <c r="D266" s="107"/>
      <c r="E266" s="107" t="s">
        <v>1554</v>
      </c>
      <c r="F266" s="108">
        <v>40.0</v>
      </c>
      <c r="G266" s="10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</row>
    <row r="267" ht="26.25" customHeight="1">
      <c r="A267" s="104">
        <v>10.0</v>
      </c>
      <c r="B267" s="120"/>
      <c r="C267" s="110"/>
      <c r="D267" s="107"/>
      <c r="E267" s="107" t="s">
        <v>1555</v>
      </c>
      <c r="F267" s="111" t="s">
        <v>840</v>
      </c>
      <c r="G267" s="10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</row>
    <row r="268" ht="26.25" customHeight="1">
      <c r="A268" s="104">
        <v>11.0</v>
      </c>
      <c r="B268" s="120"/>
      <c r="C268" s="110"/>
      <c r="D268" s="107"/>
      <c r="E268" s="107" t="s">
        <v>79</v>
      </c>
      <c r="F268" s="108" t="s">
        <v>1489</v>
      </c>
      <c r="G268" s="10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</row>
    <row r="269" ht="26.25" customHeight="1">
      <c r="A269" s="104">
        <v>12.0</v>
      </c>
      <c r="B269" s="120"/>
      <c r="C269" s="110"/>
      <c r="D269" s="107"/>
      <c r="E269" s="107" t="s">
        <v>1556</v>
      </c>
      <c r="F269" s="108" t="s">
        <v>1557</v>
      </c>
      <c r="G269" s="111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</row>
    <row r="270" ht="26.25" customHeight="1">
      <c r="A270" s="104">
        <v>13.0</v>
      </c>
      <c r="B270" s="120"/>
      <c r="C270" s="110"/>
      <c r="D270" s="107"/>
      <c r="E270" s="107" t="s">
        <v>187</v>
      </c>
      <c r="F270" s="129">
        <v>70.0</v>
      </c>
      <c r="G270" s="10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</row>
    <row r="271" ht="26.25" customHeight="1">
      <c r="A271" s="104">
        <v>14.0</v>
      </c>
      <c r="B271" s="120"/>
      <c r="C271" s="110"/>
      <c r="D271" s="107"/>
      <c r="E271" s="107" t="s">
        <v>727</v>
      </c>
      <c r="F271" s="108">
        <v>105.0</v>
      </c>
      <c r="G271" s="10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</row>
    <row r="272" ht="26.25" customHeight="1">
      <c r="A272" s="122">
        <v>15.0</v>
      </c>
      <c r="B272" s="123"/>
      <c r="C272" s="124"/>
      <c r="D272" s="107"/>
      <c r="E272" s="107" t="s">
        <v>1558</v>
      </c>
      <c r="F272" s="108">
        <v>50.0</v>
      </c>
      <c r="G272" s="10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</row>
    <row r="273" ht="26.25" customHeight="1">
      <c r="A273" s="112"/>
      <c r="B273" s="113"/>
      <c r="C273" s="114"/>
      <c r="D273" s="114"/>
      <c r="E273" s="99" t="s">
        <v>144</v>
      </c>
      <c r="F273" s="100">
        <v>2000.0</v>
      </c>
      <c r="G273" s="114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</row>
    <row r="274" ht="26.25" customHeight="1">
      <c r="A274" s="115"/>
      <c r="B274" s="113"/>
      <c r="C274" s="114"/>
      <c r="D274" s="114"/>
      <c r="E274" s="99" t="s">
        <v>145</v>
      </c>
      <c r="F274" s="100">
        <v>3060.0</v>
      </c>
      <c r="G274" s="114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</row>
    <row r="275" ht="26.25" customHeight="1">
      <c r="A275" s="115"/>
      <c r="B275" s="113"/>
      <c r="C275" s="114"/>
      <c r="D275" s="114"/>
      <c r="E275" s="99" t="s">
        <v>146</v>
      </c>
      <c r="F275" s="100">
        <v>850.0</v>
      </c>
      <c r="G275" s="114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</row>
    <row r="276" ht="26.25" customHeight="1">
      <c r="A276" s="115"/>
      <c r="B276" s="113"/>
      <c r="C276" s="114"/>
      <c r="D276" s="114"/>
      <c r="E276" s="99" t="s">
        <v>147</v>
      </c>
      <c r="F276" s="100">
        <v>635.0</v>
      </c>
      <c r="G276" s="114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</row>
    <row r="277" ht="26.25" customHeight="1">
      <c r="A277" s="115"/>
      <c r="B277" s="113"/>
      <c r="C277" s="114"/>
      <c r="D277" s="114"/>
      <c r="E277" s="99" t="s">
        <v>148</v>
      </c>
      <c r="F277" s="100">
        <v>2425.0</v>
      </c>
      <c r="G277" s="114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</row>
    <row r="278" ht="26.25" customHeight="1">
      <c r="A278" s="118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</row>
    <row r="279" ht="26.25" customHeight="1">
      <c r="A279" s="102" t="s">
        <v>4</v>
      </c>
      <c r="B279" s="102" t="s">
        <v>5</v>
      </c>
      <c r="C279" s="102" t="s">
        <v>126</v>
      </c>
      <c r="D279" s="102" t="s">
        <v>6</v>
      </c>
      <c r="E279" s="102" t="s">
        <v>7</v>
      </c>
      <c r="F279" s="102" t="s">
        <v>127</v>
      </c>
      <c r="G279" s="103" t="s">
        <v>128</v>
      </c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</row>
    <row r="280" ht="26.25" customHeight="1">
      <c r="A280" s="104">
        <v>1.0</v>
      </c>
      <c r="B280" s="105">
        <v>46099.0</v>
      </c>
      <c r="C280" s="106" t="s">
        <v>1502</v>
      </c>
      <c r="D280" s="107"/>
      <c r="E280" s="107" t="s">
        <v>1559</v>
      </c>
      <c r="F280" s="108">
        <v>60.0</v>
      </c>
      <c r="G280" s="10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</row>
    <row r="281" ht="26.25" customHeight="1">
      <c r="A281" s="104">
        <v>2.0</v>
      </c>
      <c r="B281" s="120"/>
      <c r="C281" s="110"/>
      <c r="D281" s="107"/>
      <c r="E281" s="107" t="s">
        <v>1560</v>
      </c>
      <c r="F281" s="108"/>
      <c r="G281" s="10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</row>
    <row r="282" ht="26.25" customHeight="1">
      <c r="A282" s="104">
        <v>3.0</v>
      </c>
      <c r="B282" s="120"/>
      <c r="C282" s="110"/>
      <c r="D282" s="107"/>
      <c r="E282" s="107" t="s">
        <v>1561</v>
      </c>
      <c r="F282" s="111"/>
      <c r="G282" s="10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</row>
    <row r="283" ht="26.25" customHeight="1">
      <c r="A283" s="104">
        <v>4.0</v>
      </c>
      <c r="B283" s="120"/>
      <c r="C283" s="110"/>
      <c r="D283" s="107"/>
      <c r="E283" s="107" t="s">
        <v>1562</v>
      </c>
      <c r="F283" s="108"/>
      <c r="G283" s="111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</row>
    <row r="284" ht="26.25" customHeight="1">
      <c r="A284" s="104">
        <v>5.0</v>
      </c>
      <c r="B284" s="120"/>
      <c r="C284" s="110"/>
      <c r="D284" s="107"/>
      <c r="E284" s="107" t="s">
        <v>1563</v>
      </c>
      <c r="F284" s="108">
        <v>70.0</v>
      </c>
      <c r="G284" s="10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</row>
    <row r="285" ht="26.25" customHeight="1">
      <c r="A285" s="104">
        <v>6.0</v>
      </c>
      <c r="B285" s="120"/>
      <c r="C285" s="110"/>
      <c r="D285" s="107"/>
      <c r="E285" s="107" t="s">
        <v>1564</v>
      </c>
      <c r="F285" s="108">
        <v>50.0</v>
      </c>
      <c r="G285" s="10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</row>
    <row r="286" ht="26.25" customHeight="1">
      <c r="A286" s="104">
        <v>7.0</v>
      </c>
      <c r="B286" s="120"/>
      <c r="C286" s="110"/>
      <c r="D286" s="107"/>
      <c r="E286" s="107" t="s">
        <v>1565</v>
      </c>
      <c r="F286" s="111" t="s">
        <v>154</v>
      </c>
      <c r="G286" s="10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</row>
    <row r="287" ht="26.25" customHeight="1">
      <c r="A287" s="104">
        <v>8.0</v>
      </c>
      <c r="B287" s="120"/>
      <c r="C287" s="106"/>
      <c r="D287" s="107"/>
      <c r="E287" s="107" t="s">
        <v>1566</v>
      </c>
      <c r="F287" s="111" t="s">
        <v>154</v>
      </c>
      <c r="G287" s="10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</row>
    <row r="288" ht="26.25" customHeight="1">
      <c r="A288" s="104">
        <v>9.0</v>
      </c>
      <c r="B288" s="120"/>
      <c r="C288" s="110"/>
      <c r="D288" s="107"/>
      <c r="E288" s="107" t="s">
        <v>1567</v>
      </c>
      <c r="F288" s="108">
        <v>80.0</v>
      </c>
      <c r="G288" s="10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</row>
    <row r="289" ht="26.25" customHeight="1">
      <c r="A289" s="104">
        <v>10.0</v>
      </c>
      <c r="B289" s="120"/>
      <c r="C289" s="110"/>
      <c r="D289" s="107"/>
      <c r="E289" s="107" t="s">
        <v>1568</v>
      </c>
      <c r="F289" s="108"/>
      <c r="G289" s="10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</row>
    <row r="290" ht="26.25" customHeight="1">
      <c r="A290" s="104">
        <v>11.0</v>
      </c>
      <c r="B290" s="120"/>
      <c r="C290" s="110"/>
      <c r="D290" s="107"/>
      <c r="E290" s="107" t="s">
        <v>1569</v>
      </c>
      <c r="F290" s="108"/>
      <c r="G290" s="10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</row>
    <row r="291" ht="26.25" customHeight="1">
      <c r="A291" s="104">
        <v>12.0</v>
      </c>
      <c r="B291" s="120"/>
      <c r="C291" s="110"/>
      <c r="D291" s="107"/>
      <c r="E291" s="107" t="s">
        <v>1570</v>
      </c>
      <c r="F291" s="109"/>
      <c r="G291" s="111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</row>
    <row r="292" ht="26.25" customHeight="1">
      <c r="A292" s="104">
        <v>13.0</v>
      </c>
      <c r="B292" s="120"/>
      <c r="C292" s="110"/>
      <c r="D292" s="107"/>
      <c r="E292" s="107" t="s">
        <v>1571</v>
      </c>
      <c r="F292" s="121"/>
      <c r="G292" s="10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</row>
    <row r="293" ht="26.25" customHeight="1">
      <c r="A293" s="104">
        <v>14.0</v>
      </c>
      <c r="B293" s="120"/>
      <c r="C293" s="110"/>
      <c r="D293" s="107"/>
      <c r="E293" s="107" t="s">
        <v>38</v>
      </c>
      <c r="F293" s="108">
        <v>40.0</v>
      </c>
      <c r="G293" s="10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</row>
    <row r="294" ht="26.25" customHeight="1">
      <c r="A294" s="122"/>
      <c r="B294" s="123"/>
      <c r="C294" s="124"/>
      <c r="D294" s="107"/>
      <c r="E294" s="107" t="s">
        <v>417</v>
      </c>
      <c r="F294" s="108">
        <v>50.0</v>
      </c>
      <c r="G294" s="10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</row>
    <row r="295" ht="26.25" customHeight="1">
      <c r="A295" s="122"/>
      <c r="B295" s="123"/>
      <c r="C295" s="124"/>
      <c r="D295" s="107"/>
      <c r="E295" s="107" t="s">
        <v>1572</v>
      </c>
      <c r="F295" s="109"/>
      <c r="G295" s="10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</row>
    <row r="296" ht="26.25" customHeight="1">
      <c r="A296" s="122"/>
      <c r="B296" s="123"/>
      <c r="C296" s="124"/>
      <c r="D296" s="107"/>
      <c r="E296" s="107" t="s">
        <v>1573</v>
      </c>
      <c r="F296" s="108">
        <v>50.0</v>
      </c>
      <c r="G296" s="10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</row>
    <row r="297" ht="26.25" customHeight="1">
      <c r="A297" s="122"/>
      <c r="B297" s="123"/>
      <c r="C297" s="124"/>
      <c r="D297" s="107"/>
      <c r="E297" s="107" t="s">
        <v>1574</v>
      </c>
      <c r="F297" s="109"/>
      <c r="G297" s="10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</row>
    <row r="298" ht="26.25" customHeight="1">
      <c r="A298" s="122"/>
      <c r="B298" s="123"/>
      <c r="C298" s="124"/>
      <c r="D298" s="107"/>
      <c r="E298" s="125"/>
      <c r="F298" s="109"/>
      <c r="G298" s="10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</row>
    <row r="299" ht="26.25" customHeight="1">
      <c r="A299" s="122"/>
      <c r="B299" s="123"/>
      <c r="C299" s="124"/>
      <c r="D299" s="107"/>
      <c r="E299" s="125"/>
      <c r="F299" s="109"/>
      <c r="G299" s="10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</row>
    <row r="300" ht="26.25" customHeight="1">
      <c r="A300" s="122"/>
      <c r="B300" s="123"/>
      <c r="C300" s="124"/>
      <c r="D300" s="107"/>
      <c r="E300" s="125"/>
      <c r="F300" s="109"/>
      <c r="G300" s="10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</row>
    <row r="301" ht="26.25" customHeight="1">
      <c r="A301" s="122">
        <v>15.0</v>
      </c>
      <c r="B301" s="123"/>
      <c r="C301" s="124"/>
      <c r="D301" s="107"/>
      <c r="E301" s="125"/>
      <c r="F301" s="109"/>
      <c r="G301" s="10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</row>
    <row r="302" ht="26.25" customHeight="1">
      <c r="A302" s="112"/>
      <c r="B302" s="113"/>
      <c r="C302" s="114"/>
      <c r="D302" s="114"/>
      <c r="E302" s="99" t="s">
        <v>1575</v>
      </c>
      <c r="F302" s="131"/>
      <c r="G302" s="114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</row>
    <row r="303" ht="26.25" customHeight="1">
      <c r="A303" s="115"/>
      <c r="B303" s="113"/>
      <c r="C303" s="114"/>
      <c r="D303" s="114"/>
      <c r="E303" s="99" t="s">
        <v>1576</v>
      </c>
      <c r="F303" s="100"/>
      <c r="G303" s="114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</row>
    <row r="304" ht="26.25" customHeight="1">
      <c r="A304" s="115"/>
      <c r="B304" s="113"/>
      <c r="C304" s="114"/>
      <c r="D304" s="114"/>
      <c r="E304" s="99" t="s">
        <v>1577</v>
      </c>
      <c r="F304" s="100"/>
      <c r="G304" s="114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</row>
    <row r="305" ht="26.25" customHeight="1">
      <c r="A305" s="115"/>
      <c r="B305" s="113"/>
      <c r="C305" s="114"/>
      <c r="D305" s="114"/>
      <c r="E305" s="99" t="s">
        <v>1578</v>
      </c>
      <c r="F305" s="100"/>
      <c r="G305" s="114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</row>
    <row r="306" ht="26.25" customHeight="1">
      <c r="A306" s="115"/>
      <c r="B306" s="113"/>
      <c r="C306" s="114"/>
      <c r="D306" s="114"/>
      <c r="E306" s="99" t="s">
        <v>1579</v>
      </c>
      <c r="F306" s="100"/>
      <c r="G306" s="114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</row>
    <row r="307" ht="26.25" customHeight="1">
      <c r="A307" s="290"/>
      <c r="B307" s="187"/>
      <c r="C307" s="188"/>
      <c r="D307" s="188"/>
      <c r="E307" s="291"/>
      <c r="F307" s="190" t="s">
        <v>1580</v>
      </c>
      <c r="G307" s="188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</row>
    <row r="308" ht="26.25" customHeight="1">
      <c r="A308" s="102" t="s">
        <v>4</v>
      </c>
      <c r="B308" s="102" t="s">
        <v>5</v>
      </c>
      <c r="C308" s="102" t="s">
        <v>126</v>
      </c>
      <c r="D308" s="102" t="s">
        <v>6</v>
      </c>
      <c r="E308" s="102" t="s">
        <v>7</v>
      </c>
      <c r="F308" s="102" t="s">
        <v>127</v>
      </c>
      <c r="G308" s="103" t="s">
        <v>128</v>
      </c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</row>
    <row r="309" ht="26.25" customHeight="1">
      <c r="A309" s="104">
        <v>1.0</v>
      </c>
      <c r="B309" s="105">
        <v>46100.0</v>
      </c>
      <c r="C309" s="106" t="s">
        <v>310</v>
      </c>
      <c r="D309" s="107" t="s">
        <v>1426</v>
      </c>
      <c r="E309" s="107" t="s">
        <v>1581</v>
      </c>
      <c r="F309" s="108" t="s">
        <v>1582</v>
      </c>
      <c r="G309" s="10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</row>
    <row r="310" ht="26.25" customHeight="1">
      <c r="A310" s="104">
        <v>2.0</v>
      </c>
      <c r="B310" s="120"/>
      <c r="C310" s="110"/>
      <c r="D310" s="107"/>
      <c r="E310" s="107" t="s">
        <v>1583</v>
      </c>
      <c r="F310" s="111" t="s">
        <v>1584</v>
      </c>
      <c r="G310" s="10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</row>
    <row r="311" ht="26.25" customHeight="1">
      <c r="A311" s="104">
        <v>3.0</v>
      </c>
      <c r="B311" s="120"/>
      <c r="C311" s="110"/>
      <c r="D311" s="107"/>
      <c r="E311" s="107" t="s">
        <v>1585</v>
      </c>
      <c r="F311" s="108">
        <v>30.0</v>
      </c>
      <c r="G311" s="111" t="s">
        <v>244</v>
      </c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</row>
    <row r="312" ht="26.25" customHeight="1">
      <c r="A312" s="104">
        <v>4.0</v>
      </c>
      <c r="B312" s="120"/>
      <c r="C312" s="110"/>
      <c r="D312" s="107"/>
      <c r="E312" s="107" t="s">
        <v>1586</v>
      </c>
      <c r="F312" s="108">
        <v>40.0</v>
      </c>
      <c r="G312" s="111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</row>
    <row r="313" ht="26.25" customHeight="1">
      <c r="A313" s="104">
        <v>5.0</v>
      </c>
      <c r="B313" s="120"/>
      <c r="C313" s="110"/>
      <c r="D313" s="107"/>
      <c r="E313" s="107" t="s">
        <v>1587</v>
      </c>
      <c r="F313" s="108">
        <v>40.0</v>
      </c>
      <c r="G313" s="10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</row>
    <row r="314" ht="26.25" customHeight="1">
      <c r="A314" s="104">
        <v>6.0</v>
      </c>
      <c r="B314" s="120"/>
      <c r="C314" s="110"/>
      <c r="D314" s="107"/>
      <c r="E314" s="107" t="s">
        <v>1588</v>
      </c>
      <c r="F314" s="111" t="s">
        <v>264</v>
      </c>
      <c r="G314" s="10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</row>
    <row r="315" ht="26.25" customHeight="1">
      <c r="A315" s="104">
        <v>7.0</v>
      </c>
      <c r="B315" s="120"/>
      <c r="C315" s="110"/>
      <c r="D315" s="107"/>
      <c r="E315" s="107" t="s">
        <v>1589</v>
      </c>
      <c r="F315" s="111" t="s">
        <v>1590</v>
      </c>
      <c r="G315" s="10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</row>
    <row r="316" ht="26.25" customHeight="1">
      <c r="A316" s="104">
        <v>8.0</v>
      </c>
      <c r="B316" s="120"/>
      <c r="C316" s="106"/>
      <c r="D316" s="107"/>
      <c r="E316" s="107" t="s">
        <v>409</v>
      </c>
      <c r="F316" s="108">
        <v>40.0</v>
      </c>
      <c r="G316" s="10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</row>
    <row r="317" ht="26.25" customHeight="1">
      <c r="A317" s="104">
        <v>9.0</v>
      </c>
      <c r="B317" s="120"/>
      <c r="C317" s="110"/>
      <c r="D317" s="107"/>
      <c r="E317" s="107" t="s">
        <v>1212</v>
      </c>
      <c r="F317" s="108">
        <v>35.0</v>
      </c>
      <c r="G317" s="10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</row>
    <row r="318" ht="26.25" customHeight="1">
      <c r="A318" s="104">
        <v>10.0</v>
      </c>
      <c r="B318" s="120"/>
      <c r="C318" s="110"/>
      <c r="D318" s="107"/>
      <c r="E318" s="107" t="s">
        <v>1591</v>
      </c>
      <c r="F318" s="108">
        <v>50.0</v>
      </c>
      <c r="G318" s="10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</row>
    <row r="319" ht="26.25" customHeight="1">
      <c r="A319" s="104">
        <v>11.0</v>
      </c>
      <c r="B319" s="120"/>
      <c r="C319" s="110"/>
      <c r="D319" s="107"/>
      <c r="E319" s="107" t="s">
        <v>1592</v>
      </c>
      <c r="F319" s="111" t="s">
        <v>1593</v>
      </c>
      <c r="G319" s="10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</row>
    <row r="320" ht="26.25" customHeight="1">
      <c r="A320" s="104">
        <v>12.0</v>
      </c>
      <c r="B320" s="120"/>
      <c r="C320" s="110"/>
      <c r="D320" s="107"/>
      <c r="E320" s="107" t="s">
        <v>1594</v>
      </c>
      <c r="F320" s="111" t="s">
        <v>1595</v>
      </c>
      <c r="G320" s="111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</row>
    <row r="321" ht="26.25" customHeight="1">
      <c r="A321" s="104">
        <v>13.0</v>
      </c>
      <c r="B321" s="120"/>
      <c r="C321" s="110"/>
      <c r="D321" s="107"/>
      <c r="E321" s="107" t="s">
        <v>1596</v>
      </c>
      <c r="F321" s="121"/>
      <c r="G321" s="10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</row>
    <row r="322" ht="26.25" customHeight="1">
      <c r="A322" s="104">
        <v>14.0</v>
      </c>
      <c r="B322" s="120"/>
      <c r="C322" s="110"/>
      <c r="D322" s="107"/>
      <c r="E322" s="107" t="s">
        <v>1597</v>
      </c>
      <c r="F322" s="111" t="s">
        <v>1598</v>
      </c>
      <c r="G322" s="10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</row>
    <row r="323" ht="26.25" customHeight="1">
      <c r="A323" s="122">
        <v>15.0</v>
      </c>
      <c r="B323" s="123"/>
      <c r="C323" s="124"/>
      <c r="D323" s="107"/>
      <c r="E323" s="125"/>
      <c r="F323" s="109"/>
      <c r="G323" s="10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</row>
    <row r="324" ht="26.25" customHeight="1">
      <c r="A324" s="112"/>
      <c r="B324" s="113"/>
      <c r="C324" s="114"/>
      <c r="D324" s="114"/>
      <c r="E324" s="99" t="s">
        <v>144</v>
      </c>
      <c r="F324" s="131"/>
      <c r="G324" s="114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</row>
    <row r="325" ht="26.25" customHeight="1">
      <c r="A325" s="115"/>
      <c r="B325" s="113"/>
      <c r="C325" s="114"/>
      <c r="D325" s="114"/>
      <c r="E325" s="99" t="s">
        <v>145</v>
      </c>
      <c r="F325" s="100">
        <v>705.0</v>
      </c>
      <c r="G325" s="114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</row>
    <row r="326" ht="26.25" customHeight="1">
      <c r="A326" s="115"/>
      <c r="B326" s="113"/>
      <c r="C326" s="114"/>
      <c r="D326" s="114"/>
      <c r="E326" s="99" t="s">
        <v>146</v>
      </c>
      <c r="F326" s="100">
        <v>635.0</v>
      </c>
      <c r="G326" s="114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</row>
    <row r="327" ht="26.25" customHeight="1">
      <c r="A327" s="115"/>
      <c r="B327" s="113"/>
      <c r="C327" s="114"/>
      <c r="D327" s="114"/>
      <c r="E327" s="99" t="s">
        <v>147</v>
      </c>
      <c r="F327" s="100">
        <v>475.0</v>
      </c>
      <c r="G327" s="114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</row>
    <row r="328" ht="26.25" customHeight="1">
      <c r="A328" s="115"/>
      <c r="B328" s="113"/>
      <c r="C328" s="114"/>
      <c r="D328" s="114"/>
      <c r="E328" s="99" t="s">
        <v>148</v>
      </c>
      <c r="F328" s="100">
        <v>230.0</v>
      </c>
      <c r="G328" s="114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</row>
    <row r="329" ht="26.25" customHeight="1">
      <c r="A329" s="296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</row>
    <row r="330" ht="26.25" customHeight="1">
      <c r="A330" s="102" t="s">
        <v>4</v>
      </c>
      <c r="B330" s="102" t="s">
        <v>5</v>
      </c>
      <c r="C330" s="102" t="s">
        <v>126</v>
      </c>
      <c r="D330" s="102" t="s">
        <v>6</v>
      </c>
      <c r="E330" s="102" t="s">
        <v>7</v>
      </c>
      <c r="F330" s="102" t="s">
        <v>127</v>
      </c>
      <c r="G330" s="103" t="s">
        <v>128</v>
      </c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</row>
    <row r="331" ht="26.25" customHeight="1">
      <c r="A331" s="104">
        <v>1.0</v>
      </c>
      <c r="B331" s="105">
        <v>46107.0</v>
      </c>
      <c r="C331" s="106" t="s">
        <v>310</v>
      </c>
      <c r="D331" s="107" t="s">
        <v>1426</v>
      </c>
      <c r="E331" s="107" t="s">
        <v>1599</v>
      </c>
      <c r="F331" s="108"/>
      <c r="G331" s="10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</row>
    <row r="332" ht="26.25" customHeight="1">
      <c r="A332" s="104">
        <v>2.0</v>
      </c>
      <c r="B332" s="120"/>
      <c r="C332" s="110"/>
      <c r="D332" s="107"/>
      <c r="E332" s="107" t="s">
        <v>1600</v>
      </c>
      <c r="F332" s="108"/>
      <c r="G332" s="10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</row>
    <row r="333" ht="26.25" customHeight="1">
      <c r="A333" s="104">
        <v>3.0</v>
      </c>
      <c r="B333" s="120"/>
      <c r="C333" s="110"/>
      <c r="D333" s="107"/>
      <c r="E333" s="107" t="s">
        <v>1289</v>
      </c>
      <c r="F333" s="108">
        <v>40.0</v>
      </c>
      <c r="G333" s="10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</row>
    <row r="334" ht="26.25" customHeight="1">
      <c r="A334" s="112"/>
      <c r="B334" s="113"/>
      <c r="C334" s="114"/>
      <c r="D334" s="114"/>
      <c r="E334" s="99" t="s">
        <v>144</v>
      </c>
      <c r="F334" s="100">
        <v>500.0</v>
      </c>
      <c r="G334" s="114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</row>
    <row r="335" ht="26.25" customHeight="1">
      <c r="A335" s="115"/>
      <c r="B335" s="113"/>
      <c r="C335" s="114"/>
      <c r="D335" s="114"/>
      <c r="E335" s="99" t="s">
        <v>145</v>
      </c>
      <c r="F335" s="100">
        <f>500-120-125-100+40</f>
        <v>195</v>
      </c>
      <c r="G335" s="114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</row>
    <row r="336" ht="26.25" customHeight="1">
      <c r="A336" s="115"/>
      <c r="B336" s="113"/>
      <c r="C336" s="114"/>
      <c r="D336" s="114"/>
      <c r="E336" s="99" t="s">
        <v>146</v>
      </c>
      <c r="F336" s="100">
        <f>70+35+40</f>
        <v>145</v>
      </c>
      <c r="G336" s="114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</row>
    <row r="337" ht="26.25" customHeight="1">
      <c r="A337" s="115"/>
      <c r="B337" s="113"/>
      <c r="C337" s="114"/>
      <c r="D337" s="114"/>
      <c r="E337" s="99" t="s">
        <v>147</v>
      </c>
      <c r="F337" s="100">
        <v>110.0</v>
      </c>
      <c r="G337" s="114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</row>
    <row r="338" ht="26.25" customHeight="1">
      <c r="A338" s="115"/>
      <c r="B338" s="113"/>
      <c r="C338" s="114"/>
      <c r="D338" s="114"/>
      <c r="E338" s="99" t="s">
        <v>148</v>
      </c>
      <c r="F338" s="100">
        <f>F335-F337</f>
        <v>85</v>
      </c>
      <c r="G338" s="114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</row>
    <row r="339" ht="26.25" customHeight="1">
      <c r="A339" s="118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</row>
    <row r="340" ht="26.25" customHeight="1">
      <c r="A340" s="102" t="s">
        <v>4</v>
      </c>
      <c r="B340" s="102" t="s">
        <v>5</v>
      </c>
      <c r="C340" s="102" t="s">
        <v>126</v>
      </c>
      <c r="D340" s="102" t="s">
        <v>6</v>
      </c>
      <c r="E340" s="102" t="s">
        <v>7</v>
      </c>
      <c r="F340" s="102" t="s">
        <v>127</v>
      </c>
      <c r="G340" s="103" t="s">
        <v>128</v>
      </c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</row>
    <row r="341" ht="26.25" customHeight="1">
      <c r="A341" s="104">
        <v>1.0</v>
      </c>
      <c r="B341" s="105">
        <v>46109.0</v>
      </c>
      <c r="C341" s="106" t="s">
        <v>1041</v>
      </c>
      <c r="D341" s="107"/>
      <c r="E341" s="107" t="s">
        <v>1138</v>
      </c>
      <c r="F341" s="108">
        <v>40.0</v>
      </c>
      <c r="G341" s="10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</row>
    <row r="342" ht="26.25" customHeight="1">
      <c r="A342" s="104">
        <v>2.0</v>
      </c>
      <c r="B342" s="120"/>
      <c r="C342" s="110"/>
      <c r="D342" s="107"/>
      <c r="E342" s="107" t="s">
        <v>1358</v>
      </c>
      <c r="F342" s="108">
        <v>100.0</v>
      </c>
      <c r="G342" s="10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</row>
    <row r="343" ht="26.25" customHeight="1">
      <c r="A343" s="104">
        <v>3.0</v>
      </c>
      <c r="B343" s="120"/>
      <c r="C343" s="110"/>
      <c r="D343" s="107"/>
      <c r="E343" s="107" t="s">
        <v>572</v>
      </c>
      <c r="F343" s="111" t="s">
        <v>1601</v>
      </c>
      <c r="G343" s="10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</row>
    <row r="344" ht="26.25" customHeight="1">
      <c r="A344" s="104">
        <v>4.0</v>
      </c>
      <c r="B344" s="120"/>
      <c r="C344" s="110"/>
      <c r="D344" s="107"/>
      <c r="E344" s="107" t="s">
        <v>1602</v>
      </c>
      <c r="F344" s="108">
        <v>35.0</v>
      </c>
      <c r="G344" s="111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</row>
    <row r="345" ht="26.25" customHeight="1">
      <c r="A345" s="104">
        <v>5.0</v>
      </c>
      <c r="B345" s="120"/>
      <c r="C345" s="110"/>
      <c r="D345" s="107"/>
      <c r="E345" s="107" t="s">
        <v>69</v>
      </c>
      <c r="F345" s="108" t="s">
        <v>1603</v>
      </c>
      <c r="G345" s="10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</row>
    <row r="346" ht="26.25" customHeight="1">
      <c r="A346" s="104">
        <v>6.0</v>
      </c>
      <c r="B346" s="120"/>
      <c r="C346" s="110"/>
      <c r="D346" s="107"/>
      <c r="E346" s="107" t="s">
        <v>1358</v>
      </c>
      <c r="F346" s="108">
        <v>50.0</v>
      </c>
      <c r="G346" s="10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</row>
    <row r="347" ht="26.25" customHeight="1">
      <c r="A347" s="104">
        <v>7.0</v>
      </c>
      <c r="B347" s="120"/>
      <c r="C347" s="110"/>
      <c r="D347" s="107"/>
      <c r="E347" s="107" t="s">
        <v>1604</v>
      </c>
      <c r="F347" s="108">
        <v>50.0</v>
      </c>
      <c r="G347" s="10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</row>
    <row r="348" ht="26.25" customHeight="1">
      <c r="A348" s="104">
        <v>8.0</v>
      </c>
      <c r="B348" s="120"/>
      <c r="C348" s="106"/>
      <c r="D348" s="107"/>
      <c r="E348" s="107" t="s">
        <v>1605</v>
      </c>
      <c r="F348" s="108">
        <v>40.0</v>
      </c>
      <c r="G348" s="10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</row>
    <row r="349" ht="26.25" customHeight="1">
      <c r="A349" s="104">
        <v>9.0</v>
      </c>
      <c r="B349" s="120"/>
      <c r="C349" s="110"/>
      <c r="D349" s="107"/>
      <c r="E349" s="107" t="s">
        <v>1606</v>
      </c>
      <c r="F349" s="108" t="s">
        <v>1607</v>
      </c>
      <c r="G349" s="10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</row>
    <row r="350" ht="26.25" customHeight="1">
      <c r="A350" s="104">
        <v>10.0</v>
      </c>
      <c r="B350" s="120"/>
      <c r="C350" s="110"/>
      <c r="D350" s="107"/>
      <c r="E350" s="107" t="s">
        <v>796</v>
      </c>
      <c r="F350" s="111" t="s">
        <v>1608</v>
      </c>
      <c r="G350" s="10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</row>
    <row r="351" ht="26.25" customHeight="1">
      <c r="A351" s="112"/>
      <c r="B351" s="113"/>
      <c r="C351" s="114"/>
      <c r="D351" s="114"/>
      <c r="E351" s="99" t="s">
        <v>144</v>
      </c>
      <c r="F351" s="100">
        <v>0.0</v>
      </c>
      <c r="G351" s="114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</row>
    <row r="352" ht="26.25" customHeight="1">
      <c r="A352" s="115"/>
      <c r="B352" s="113"/>
      <c r="C352" s="114"/>
      <c r="D352" s="114"/>
      <c r="E352" s="99" t="s">
        <v>145</v>
      </c>
      <c r="F352" s="100">
        <f>40+100+35+540+100+40+1100+35-210</f>
        <v>1780</v>
      </c>
      <c r="G352" s="114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</row>
    <row r="353" ht="26.25" customHeight="1">
      <c r="A353" s="115"/>
      <c r="B353" s="113"/>
      <c r="C353" s="114"/>
      <c r="D353" s="114"/>
      <c r="E353" s="99" t="s">
        <v>146</v>
      </c>
      <c r="F353" s="100">
        <f>40+100+40+35+40+140+35+40</f>
        <v>470</v>
      </c>
      <c r="G353" s="114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</row>
    <row r="354" ht="26.25" customHeight="1">
      <c r="A354" s="115"/>
      <c r="B354" s="113"/>
      <c r="C354" s="114"/>
      <c r="D354" s="114"/>
      <c r="E354" s="99" t="s">
        <v>147</v>
      </c>
      <c r="F354" s="100">
        <v>350.0</v>
      </c>
      <c r="G354" s="114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</row>
    <row r="355" ht="26.25" customHeight="1">
      <c r="A355" s="115"/>
      <c r="B355" s="113"/>
      <c r="C355" s="114"/>
      <c r="D355" s="114"/>
      <c r="E355" s="99" t="s">
        <v>148</v>
      </c>
      <c r="F355" s="100">
        <f>F352-F354</f>
        <v>1430</v>
      </c>
      <c r="G355" s="114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</row>
    <row r="356" ht="26.25" customHeight="1">
      <c r="A356" s="118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</row>
    <row r="357" ht="26.25" customHeight="1">
      <c r="A357" s="102" t="s">
        <v>4</v>
      </c>
      <c r="B357" s="102" t="s">
        <v>5</v>
      </c>
      <c r="C357" s="102" t="s">
        <v>126</v>
      </c>
      <c r="D357" s="102" t="s">
        <v>6</v>
      </c>
      <c r="E357" s="102" t="s">
        <v>7</v>
      </c>
      <c r="F357" s="102" t="s">
        <v>127</v>
      </c>
      <c r="G357" s="103" t="s">
        <v>128</v>
      </c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</row>
    <row r="358" ht="26.25" customHeight="1">
      <c r="A358" s="104">
        <v>1.0</v>
      </c>
      <c r="B358" s="105">
        <v>46110.0</v>
      </c>
      <c r="C358" s="106" t="s">
        <v>561</v>
      </c>
      <c r="D358" s="107" t="s">
        <v>1609</v>
      </c>
      <c r="E358" s="107" t="s">
        <v>421</v>
      </c>
      <c r="F358" s="108"/>
      <c r="G358" s="10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</row>
    <row r="359" ht="26.25" customHeight="1">
      <c r="A359" s="104">
        <v>2.0</v>
      </c>
      <c r="B359" s="120"/>
      <c r="C359" s="110"/>
      <c r="D359" s="107"/>
      <c r="E359" s="107" t="s">
        <v>1610</v>
      </c>
      <c r="F359" s="108"/>
      <c r="G359" s="10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</row>
    <row r="360" ht="26.25" customHeight="1">
      <c r="A360" s="104">
        <v>3.0</v>
      </c>
      <c r="B360" s="120"/>
      <c r="C360" s="110"/>
      <c r="D360" s="107"/>
      <c r="E360" s="107" t="s">
        <v>1611</v>
      </c>
      <c r="F360" s="111"/>
      <c r="G360" s="10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</row>
    <row r="361" ht="26.25" customHeight="1">
      <c r="A361" s="104">
        <v>4.0</v>
      </c>
      <c r="B361" s="120"/>
      <c r="C361" s="110"/>
      <c r="D361" s="107"/>
      <c r="E361" s="107" t="s">
        <v>1612</v>
      </c>
      <c r="F361" s="108"/>
      <c r="G361" s="111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</row>
    <row r="362" ht="26.25" customHeight="1">
      <c r="A362" s="104">
        <v>5.0</v>
      </c>
      <c r="B362" s="120"/>
      <c r="C362" s="110"/>
      <c r="D362" s="107"/>
      <c r="E362" s="107" t="s">
        <v>1613</v>
      </c>
      <c r="F362" s="108"/>
      <c r="G362" s="10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</row>
    <row r="363" ht="26.25" customHeight="1">
      <c r="A363" s="104">
        <v>6.0</v>
      </c>
      <c r="B363" s="120"/>
      <c r="C363" s="110"/>
      <c r="D363" s="107"/>
      <c r="E363" s="107" t="s">
        <v>1614</v>
      </c>
      <c r="F363" s="108"/>
      <c r="G363" s="10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</row>
    <row r="364" ht="26.25" customHeight="1">
      <c r="A364" s="104">
        <v>7.0</v>
      </c>
      <c r="B364" s="120"/>
      <c r="C364" s="110"/>
      <c r="D364" s="107"/>
      <c r="E364" s="107" t="s">
        <v>1615</v>
      </c>
      <c r="F364" s="108"/>
      <c r="G364" s="10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</row>
    <row r="365" ht="26.25" customHeight="1">
      <c r="A365" s="104">
        <v>8.0</v>
      </c>
      <c r="B365" s="120"/>
      <c r="C365" s="106"/>
      <c r="D365" s="107"/>
      <c r="E365" s="107" t="s">
        <v>1616</v>
      </c>
      <c r="F365" s="108"/>
      <c r="G365" s="10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</row>
    <row r="366" ht="26.25" customHeight="1">
      <c r="A366" s="104">
        <v>9.0</v>
      </c>
      <c r="B366" s="120"/>
      <c r="C366" s="110"/>
      <c r="D366" s="107"/>
      <c r="E366" s="107" t="s">
        <v>1617</v>
      </c>
      <c r="F366" s="108"/>
      <c r="G366" s="10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</row>
    <row r="367" ht="26.25" customHeight="1">
      <c r="A367" s="104">
        <v>10.0</v>
      </c>
      <c r="B367" s="120"/>
      <c r="C367" s="110"/>
      <c r="D367" s="107"/>
      <c r="E367" s="107" t="s">
        <v>1618</v>
      </c>
      <c r="F367" s="108"/>
      <c r="G367" s="10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</row>
    <row r="368" ht="26.25" customHeight="1">
      <c r="A368" s="104">
        <v>11.0</v>
      </c>
      <c r="B368" s="120"/>
      <c r="C368" s="110"/>
      <c r="D368" s="107"/>
      <c r="E368" s="107" t="s">
        <v>1619</v>
      </c>
      <c r="F368" s="108"/>
      <c r="G368" s="10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</row>
    <row r="369" ht="26.25" customHeight="1">
      <c r="A369" s="104">
        <v>12.0</v>
      </c>
      <c r="B369" s="120"/>
      <c r="C369" s="110"/>
      <c r="D369" s="107"/>
      <c r="E369" s="107"/>
      <c r="F369" s="109"/>
      <c r="G369" s="111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</row>
    <row r="370" ht="26.25" customHeight="1">
      <c r="A370" s="104">
        <v>13.0</v>
      </c>
      <c r="B370" s="120"/>
      <c r="C370" s="110"/>
      <c r="D370" s="107"/>
      <c r="E370" s="107"/>
      <c r="F370" s="121"/>
      <c r="G370" s="10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</row>
    <row r="371" ht="26.25" customHeight="1">
      <c r="A371" s="104">
        <v>14.0</v>
      </c>
      <c r="B371" s="120"/>
      <c r="C371" s="110"/>
      <c r="D371" s="107"/>
      <c r="E371" s="107"/>
      <c r="F371" s="108"/>
      <c r="G371" s="10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</row>
    <row r="372" ht="26.25" customHeight="1">
      <c r="A372" s="122">
        <v>15.0</v>
      </c>
      <c r="B372" s="123"/>
      <c r="C372" s="124"/>
      <c r="D372" s="107"/>
      <c r="E372" s="125"/>
      <c r="F372" s="109"/>
      <c r="G372" s="10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</row>
    <row r="373" ht="26.25" customHeight="1">
      <c r="A373" s="112"/>
      <c r="B373" s="113"/>
      <c r="C373" s="114"/>
      <c r="D373" s="114"/>
      <c r="E373" s="99" t="s">
        <v>144</v>
      </c>
      <c r="F373" s="131"/>
      <c r="G373" s="114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</row>
    <row r="374" ht="26.25" customHeight="1">
      <c r="A374" s="115"/>
      <c r="B374" s="113"/>
      <c r="C374" s="114"/>
      <c r="D374" s="114"/>
      <c r="E374" s="99" t="s">
        <v>145</v>
      </c>
      <c r="F374" s="100">
        <v>3425.0</v>
      </c>
      <c r="G374" s="114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</row>
    <row r="375" ht="26.25" customHeight="1">
      <c r="A375" s="115"/>
      <c r="B375" s="113"/>
      <c r="C375" s="114"/>
      <c r="D375" s="114"/>
      <c r="E375" s="99" t="s">
        <v>146</v>
      </c>
      <c r="F375" s="100">
        <v>630.0</v>
      </c>
      <c r="G375" s="114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</row>
    <row r="376" ht="26.25" customHeight="1">
      <c r="A376" s="115"/>
      <c r="B376" s="113"/>
      <c r="C376" s="114"/>
      <c r="D376" s="114"/>
      <c r="E376" s="99" t="s">
        <v>147</v>
      </c>
      <c r="F376" s="100">
        <v>470.0</v>
      </c>
      <c r="G376" s="114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</row>
    <row r="377" ht="26.25" customHeight="1">
      <c r="A377" s="115"/>
      <c r="B377" s="113"/>
      <c r="C377" s="114"/>
      <c r="D377" s="114"/>
      <c r="E377" s="99" t="s">
        <v>148</v>
      </c>
      <c r="F377" s="100">
        <v>2955.0</v>
      </c>
      <c r="G377" s="114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</row>
    <row r="378" ht="26.25" customHeight="1">
      <c r="A378" s="290"/>
      <c r="B378" s="187"/>
      <c r="C378" s="188"/>
      <c r="D378" s="188"/>
      <c r="E378" s="291"/>
      <c r="F378" s="190" t="s">
        <v>1288</v>
      </c>
      <c r="G378" s="188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</row>
    <row r="379" ht="26.25" customHeight="1">
      <c r="A379" s="102" t="s">
        <v>4</v>
      </c>
      <c r="B379" s="102" t="s">
        <v>5</v>
      </c>
      <c r="C379" s="102" t="s">
        <v>126</v>
      </c>
      <c r="D379" s="102" t="s">
        <v>6</v>
      </c>
      <c r="E379" s="102" t="s">
        <v>7</v>
      </c>
      <c r="F379" s="102" t="s">
        <v>127</v>
      </c>
      <c r="G379" s="102" t="s">
        <v>128</v>
      </c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</row>
    <row r="380" ht="26.25" customHeight="1">
      <c r="A380" s="102">
        <v>1.0</v>
      </c>
      <c r="B380" s="147">
        <v>46111.0</v>
      </c>
      <c r="C380" s="148" t="s">
        <v>149</v>
      </c>
      <c r="D380" s="107" t="s">
        <v>1426</v>
      </c>
      <c r="E380" s="107" t="s">
        <v>1620</v>
      </c>
      <c r="F380" s="108"/>
      <c r="G380" s="108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</row>
    <row r="381" ht="26.25" customHeight="1">
      <c r="A381" s="102">
        <v>2.0</v>
      </c>
      <c r="B381" s="123"/>
      <c r="C381" s="123"/>
      <c r="D381" s="107"/>
      <c r="E381" s="107" t="s">
        <v>1621</v>
      </c>
      <c r="F381" s="108"/>
      <c r="G381" s="108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</row>
    <row r="382" ht="26.25" customHeight="1">
      <c r="A382" s="102">
        <v>3.0</v>
      </c>
      <c r="B382" s="123"/>
      <c r="C382" s="123"/>
      <c r="D382" s="107"/>
      <c r="E382" s="107" t="s">
        <v>1622</v>
      </c>
      <c r="F382" s="108"/>
      <c r="G382" s="108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</row>
    <row r="383" ht="26.25" customHeight="1">
      <c r="A383" s="102">
        <v>4.0</v>
      </c>
      <c r="B383" s="123"/>
      <c r="C383" s="123"/>
      <c r="D383" s="107"/>
      <c r="E383" s="107" t="s">
        <v>1623</v>
      </c>
      <c r="F383" s="108"/>
      <c r="G383" s="108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</row>
    <row r="384" ht="26.25" customHeight="1">
      <c r="A384" s="102">
        <v>5.0</v>
      </c>
      <c r="B384" s="123"/>
      <c r="C384" s="123"/>
      <c r="D384" s="107"/>
      <c r="E384" s="107" t="s">
        <v>1624</v>
      </c>
      <c r="F384" s="108"/>
      <c r="G384" s="108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</row>
    <row r="385" ht="26.25" customHeight="1">
      <c r="A385" s="102">
        <v>6.0</v>
      </c>
      <c r="B385" s="123"/>
      <c r="C385" s="123"/>
      <c r="D385" s="107"/>
      <c r="E385" s="107" t="s">
        <v>1625</v>
      </c>
      <c r="F385" s="108"/>
      <c r="G385" s="108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</row>
    <row r="386" ht="26.25" customHeight="1">
      <c r="A386" s="102">
        <v>7.0</v>
      </c>
      <c r="B386" s="123"/>
      <c r="C386" s="123"/>
      <c r="D386" s="107"/>
      <c r="E386" s="107"/>
      <c r="F386" s="108"/>
      <c r="G386" s="108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</row>
    <row r="387" ht="26.25" customHeight="1">
      <c r="A387" s="102">
        <v>8.0</v>
      </c>
      <c r="B387" s="123"/>
      <c r="C387" s="123"/>
      <c r="D387" s="107"/>
      <c r="E387" s="107"/>
      <c r="F387" s="108"/>
      <c r="G387" s="108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</row>
    <row r="388" ht="26.25" customHeight="1">
      <c r="A388" s="102">
        <v>9.0</v>
      </c>
      <c r="B388" s="123"/>
      <c r="C388" s="123"/>
      <c r="D388" s="107"/>
      <c r="E388" s="107"/>
      <c r="F388" s="108"/>
      <c r="G388" s="108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</row>
    <row r="389" ht="26.25" customHeight="1">
      <c r="A389" s="102">
        <v>10.0</v>
      </c>
      <c r="B389" s="123"/>
      <c r="C389" s="123"/>
      <c r="D389" s="107"/>
      <c r="E389" s="107"/>
      <c r="F389" s="108"/>
      <c r="G389" s="108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</row>
    <row r="390" ht="26.25" customHeight="1">
      <c r="A390" s="102">
        <v>11.0</v>
      </c>
      <c r="B390" s="123"/>
      <c r="C390" s="123"/>
      <c r="D390" s="107"/>
      <c r="E390" s="107"/>
      <c r="F390" s="108"/>
      <c r="G390" s="108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</row>
    <row r="391" ht="26.25" customHeight="1">
      <c r="A391" s="102">
        <v>12.0</v>
      </c>
      <c r="B391" s="123"/>
      <c r="C391" s="123"/>
      <c r="D391" s="107"/>
      <c r="E391" s="107"/>
      <c r="F391" s="108"/>
      <c r="G391" s="108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</row>
    <row r="392" ht="26.25" customHeight="1">
      <c r="A392" s="102">
        <v>13.0</v>
      </c>
      <c r="B392" s="123"/>
      <c r="C392" s="123"/>
      <c r="D392" s="107"/>
      <c r="E392" s="107"/>
      <c r="F392" s="108"/>
      <c r="G392" s="108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</row>
    <row r="393" ht="26.25" customHeight="1">
      <c r="A393" s="102">
        <v>14.0</v>
      </c>
      <c r="B393" s="123"/>
      <c r="C393" s="123"/>
      <c r="D393" s="107"/>
      <c r="E393" s="107"/>
      <c r="F393" s="108"/>
      <c r="G393" s="108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</row>
    <row r="394" ht="26.25" customHeight="1">
      <c r="A394" s="102">
        <v>15.0</v>
      </c>
      <c r="B394" s="123"/>
      <c r="C394" s="123"/>
      <c r="D394" s="107"/>
      <c r="E394" s="107"/>
      <c r="F394" s="108"/>
      <c r="G394" s="108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</row>
    <row r="395" ht="26.25" customHeight="1">
      <c r="A395" s="58"/>
      <c r="B395" s="149"/>
      <c r="C395" s="58"/>
      <c r="D395" s="58"/>
      <c r="E395" s="102" t="s">
        <v>144</v>
      </c>
      <c r="F395" s="102"/>
      <c r="G395" s="58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</row>
    <row r="396" ht="26.25" customHeight="1">
      <c r="A396" s="58"/>
      <c r="B396" s="149"/>
      <c r="C396" s="58"/>
      <c r="D396" s="58"/>
      <c r="E396" s="102" t="s">
        <v>145</v>
      </c>
      <c r="F396" s="150">
        <v>3055.0</v>
      </c>
      <c r="G396" s="58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</row>
    <row r="397" ht="26.25" customHeight="1">
      <c r="A397" s="58"/>
      <c r="B397" s="149"/>
      <c r="C397" s="58"/>
      <c r="D397" s="58"/>
      <c r="E397" s="102" t="s">
        <v>146</v>
      </c>
      <c r="F397" s="150">
        <v>280.0</v>
      </c>
      <c r="G397" s="58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</row>
    <row r="398" ht="26.25" customHeight="1">
      <c r="A398" s="58"/>
      <c r="B398" s="149"/>
      <c r="C398" s="58"/>
      <c r="D398" s="58"/>
      <c r="E398" s="102" t="s">
        <v>147</v>
      </c>
      <c r="F398" s="150">
        <v>210.0</v>
      </c>
      <c r="G398" s="58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</row>
    <row r="399" ht="26.25" customHeight="1">
      <c r="A399" s="58"/>
      <c r="B399" s="149"/>
      <c r="C399" s="58"/>
      <c r="D399" s="58"/>
      <c r="E399" s="102" t="s">
        <v>148</v>
      </c>
      <c r="F399" s="150">
        <v>2845.0</v>
      </c>
      <c r="G399" s="58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</row>
    <row r="400" ht="26.25" customHeight="1">
      <c r="A400" s="115"/>
      <c r="B400" s="113"/>
      <c r="C400" s="114"/>
      <c r="D400" s="114"/>
      <c r="E400" s="146"/>
      <c r="F400" s="146"/>
      <c r="G400" s="114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</row>
    <row r="401" ht="26.25" customHeight="1">
      <c r="A401" s="102" t="s">
        <v>4</v>
      </c>
      <c r="B401" s="102" t="s">
        <v>5</v>
      </c>
      <c r="C401" s="102" t="s">
        <v>126</v>
      </c>
      <c r="D401" s="102" t="s">
        <v>6</v>
      </c>
      <c r="E401" s="102" t="s">
        <v>7</v>
      </c>
      <c r="F401" s="102" t="s">
        <v>127</v>
      </c>
      <c r="G401" s="102" t="s">
        <v>128</v>
      </c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</row>
    <row r="402" ht="26.25" customHeight="1">
      <c r="A402" s="102">
        <v>1.0</v>
      </c>
      <c r="B402" s="147">
        <v>46112.0</v>
      </c>
      <c r="C402" s="148" t="s">
        <v>169</v>
      </c>
      <c r="D402" s="107"/>
      <c r="E402" s="107" t="s">
        <v>1626</v>
      </c>
      <c r="F402" s="108" t="s">
        <v>1627</v>
      </c>
      <c r="G402" s="108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</row>
    <row r="403" ht="26.25" customHeight="1">
      <c r="A403" s="102">
        <v>2.0</v>
      </c>
      <c r="B403" s="123"/>
      <c r="C403" s="123"/>
      <c r="D403" s="107"/>
      <c r="E403" s="107" t="s">
        <v>1628</v>
      </c>
      <c r="F403" s="108"/>
      <c r="G403" s="108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</row>
    <row r="404" ht="26.25" customHeight="1">
      <c r="A404" s="102">
        <v>3.0</v>
      </c>
      <c r="B404" s="123"/>
      <c r="C404" s="123"/>
      <c r="D404" s="107"/>
      <c r="E404" s="107" t="s">
        <v>1629</v>
      </c>
      <c r="F404" s="108"/>
      <c r="G404" s="108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</row>
    <row r="405" ht="26.25" customHeight="1">
      <c r="A405" s="102">
        <v>4.0</v>
      </c>
      <c r="B405" s="123"/>
      <c r="C405" s="123"/>
      <c r="D405" s="107"/>
      <c r="E405" s="107" t="s">
        <v>1630</v>
      </c>
      <c r="F405" s="108"/>
      <c r="G405" s="108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</row>
    <row r="406" ht="26.25" customHeight="1">
      <c r="A406" s="102">
        <v>5.0</v>
      </c>
      <c r="B406" s="123"/>
      <c r="C406" s="123"/>
      <c r="D406" s="107"/>
      <c r="E406" s="107"/>
      <c r="F406" s="108"/>
      <c r="G406" s="108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</row>
    <row r="407" ht="26.25" customHeight="1">
      <c r="A407" s="102">
        <v>6.0</v>
      </c>
      <c r="B407" s="123"/>
      <c r="C407" s="123"/>
      <c r="D407" s="107"/>
      <c r="E407" s="107"/>
      <c r="F407" s="108"/>
      <c r="G407" s="108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</row>
    <row r="408" ht="26.25" customHeight="1">
      <c r="A408" s="102">
        <v>7.0</v>
      </c>
      <c r="B408" s="123"/>
      <c r="C408" s="123"/>
      <c r="D408" s="107"/>
      <c r="E408" s="107"/>
      <c r="F408" s="108"/>
      <c r="G408" s="108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</row>
    <row r="409" ht="26.25" customHeight="1">
      <c r="A409" s="102">
        <v>8.0</v>
      </c>
      <c r="B409" s="123"/>
      <c r="C409" s="123"/>
      <c r="D409" s="107"/>
      <c r="E409" s="107"/>
      <c r="F409" s="108"/>
      <c r="G409" s="108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</row>
    <row r="410" ht="26.25" customHeight="1">
      <c r="A410" s="102">
        <v>9.0</v>
      </c>
      <c r="B410" s="123"/>
      <c r="C410" s="123"/>
      <c r="D410" s="107"/>
      <c r="E410" s="107"/>
      <c r="F410" s="108"/>
      <c r="G410" s="108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</row>
    <row r="411" ht="26.25" customHeight="1">
      <c r="A411" s="102">
        <v>10.0</v>
      </c>
      <c r="B411" s="123"/>
      <c r="C411" s="123"/>
      <c r="D411" s="107"/>
      <c r="E411" s="107"/>
      <c r="F411" s="108"/>
      <c r="G411" s="108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</row>
    <row r="412" ht="26.25" customHeight="1">
      <c r="A412" s="102">
        <v>11.0</v>
      </c>
      <c r="B412" s="123"/>
      <c r="C412" s="123"/>
      <c r="D412" s="107"/>
      <c r="E412" s="107"/>
      <c r="F412" s="108"/>
      <c r="G412" s="108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</row>
    <row r="413" ht="26.25" customHeight="1">
      <c r="A413" s="102">
        <v>12.0</v>
      </c>
      <c r="B413" s="123"/>
      <c r="C413" s="123"/>
      <c r="D413" s="107"/>
      <c r="E413" s="107"/>
      <c r="F413" s="108"/>
      <c r="G413" s="108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</row>
    <row r="414" ht="26.25" customHeight="1">
      <c r="A414" s="102">
        <v>13.0</v>
      </c>
      <c r="B414" s="123"/>
      <c r="C414" s="123"/>
      <c r="D414" s="107"/>
      <c r="E414" s="107"/>
      <c r="F414" s="108"/>
      <c r="G414" s="108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</row>
    <row r="415" ht="26.25" customHeight="1">
      <c r="A415" s="102">
        <v>14.0</v>
      </c>
      <c r="B415" s="123"/>
      <c r="C415" s="123"/>
      <c r="D415" s="107"/>
      <c r="E415" s="107"/>
      <c r="F415" s="108"/>
      <c r="G415" s="108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</row>
    <row r="416" ht="26.25" customHeight="1">
      <c r="A416" s="102">
        <v>15.0</v>
      </c>
      <c r="B416" s="123"/>
      <c r="C416" s="123"/>
      <c r="D416" s="107"/>
      <c r="E416" s="107"/>
      <c r="F416" s="108"/>
      <c r="G416" s="108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</row>
    <row r="417" ht="26.25" customHeight="1">
      <c r="A417" s="58"/>
      <c r="B417" s="149"/>
      <c r="C417" s="58"/>
      <c r="D417" s="58"/>
      <c r="E417" s="102" t="s">
        <v>144</v>
      </c>
      <c r="F417" s="102"/>
      <c r="G417" s="58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</row>
    <row r="418" ht="26.25" customHeight="1">
      <c r="A418" s="58"/>
      <c r="B418" s="149"/>
      <c r="C418" s="58"/>
      <c r="D418" s="58"/>
      <c r="E418" s="102" t="s">
        <v>145</v>
      </c>
      <c r="F418" s="150">
        <v>2325.0</v>
      </c>
      <c r="G418" s="58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</row>
    <row r="419" ht="26.25" customHeight="1">
      <c r="A419" s="58"/>
      <c r="B419" s="149"/>
      <c r="C419" s="58"/>
      <c r="D419" s="58"/>
      <c r="E419" s="102" t="s">
        <v>146</v>
      </c>
      <c r="F419" s="150">
        <v>405.0</v>
      </c>
      <c r="G419" s="58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</row>
    <row r="420" ht="26.25" customHeight="1">
      <c r="A420" s="58"/>
      <c r="B420" s="149"/>
      <c r="C420" s="58"/>
      <c r="D420" s="58"/>
      <c r="E420" s="102" t="s">
        <v>147</v>
      </c>
      <c r="F420" s="150">
        <v>305.0</v>
      </c>
      <c r="G420" s="58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</row>
    <row r="421" ht="26.25" customHeight="1">
      <c r="A421" s="58"/>
      <c r="B421" s="149"/>
      <c r="C421" s="58"/>
      <c r="D421" s="58"/>
      <c r="E421" s="102" t="s">
        <v>148</v>
      </c>
      <c r="F421" s="150">
        <v>2020.0</v>
      </c>
      <c r="G421" s="58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</row>
    <row r="422" ht="26.25" customHeight="1">
      <c r="A422" s="298"/>
      <c r="B422" s="299"/>
      <c r="C422" s="299"/>
      <c r="D422" s="299"/>
      <c r="E422" s="217"/>
      <c r="F422" s="216" t="s">
        <v>1631</v>
      </c>
      <c r="G422" s="29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</row>
    <row r="423" ht="26.25" customHeight="1">
      <c r="A423" s="102" t="s">
        <v>4</v>
      </c>
      <c r="B423" s="102" t="s">
        <v>5</v>
      </c>
      <c r="C423" s="102" t="s">
        <v>126</v>
      </c>
      <c r="D423" s="102" t="s">
        <v>6</v>
      </c>
      <c r="E423" s="102" t="s">
        <v>7</v>
      </c>
      <c r="F423" s="102" t="s">
        <v>127</v>
      </c>
      <c r="G423" s="102" t="s">
        <v>128</v>
      </c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</row>
    <row r="424" ht="26.25" customHeight="1">
      <c r="A424" s="102">
        <v>1.0</v>
      </c>
      <c r="B424" s="147">
        <v>46113.0</v>
      </c>
      <c r="C424" s="148" t="s">
        <v>588</v>
      </c>
      <c r="D424" s="107"/>
      <c r="E424" s="107" t="s">
        <v>1358</v>
      </c>
      <c r="F424" s="108">
        <v>100.0</v>
      </c>
      <c r="G424" s="108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</row>
    <row r="425" ht="26.25" customHeight="1">
      <c r="A425" s="102">
        <v>2.0</v>
      </c>
      <c r="B425" s="123"/>
      <c r="C425" s="123"/>
      <c r="D425" s="107"/>
      <c r="E425" s="107" t="s">
        <v>406</v>
      </c>
      <c r="F425" s="108">
        <v>50.0</v>
      </c>
      <c r="G425" s="108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</row>
    <row r="426" ht="26.25" customHeight="1">
      <c r="A426" s="102">
        <v>3.0</v>
      </c>
      <c r="B426" s="123"/>
      <c r="C426" s="123"/>
      <c r="D426" s="107"/>
      <c r="E426" s="107" t="s">
        <v>563</v>
      </c>
      <c r="F426" s="108">
        <v>40.0</v>
      </c>
      <c r="G426" s="108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</row>
    <row r="427" ht="26.25" customHeight="1">
      <c r="A427" s="102">
        <v>4.0</v>
      </c>
      <c r="B427" s="123"/>
      <c r="C427" s="123"/>
      <c r="D427" s="107"/>
      <c r="E427" s="107" t="s">
        <v>1632</v>
      </c>
      <c r="F427" s="108">
        <v>40.0</v>
      </c>
      <c r="G427" s="108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</row>
    <row r="428" ht="26.25" customHeight="1">
      <c r="A428" s="102">
        <v>5.0</v>
      </c>
      <c r="B428" s="123"/>
      <c r="C428" s="123"/>
      <c r="D428" s="107"/>
      <c r="E428" s="107" t="s">
        <v>1633</v>
      </c>
      <c r="F428" s="108">
        <v>35.0</v>
      </c>
      <c r="G428" s="108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</row>
    <row r="429" ht="26.25" customHeight="1">
      <c r="A429" s="102">
        <v>6.0</v>
      </c>
      <c r="B429" s="123"/>
      <c r="C429" s="123"/>
      <c r="D429" s="107"/>
      <c r="E429" s="107"/>
      <c r="F429" s="108"/>
      <c r="G429" s="108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</row>
    <row r="430" ht="26.25" customHeight="1">
      <c r="A430" s="102">
        <v>7.0</v>
      </c>
      <c r="B430" s="123"/>
      <c r="C430" s="123"/>
      <c r="D430" s="107"/>
      <c r="E430" s="107"/>
      <c r="F430" s="108"/>
      <c r="G430" s="108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</row>
    <row r="431" ht="26.25" customHeight="1">
      <c r="A431" s="102">
        <v>8.0</v>
      </c>
      <c r="B431" s="123"/>
      <c r="C431" s="123"/>
      <c r="D431" s="107"/>
      <c r="E431" s="107"/>
      <c r="F431" s="108"/>
      <c r="G431" s="108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</row>
    <row r="432" ht="26.25" customHeight="1">
      <c r="A432" s="102">
        <v>9.0</v>
      </c>
      <c r="B432" s="123"/>
      <c r="C432" s="123"/>
      <c r="D432" s="107"/>
      <c r="E432" s="107"/>
      <c r="F432" s="108"/>
      <c r="G432" s="108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</row>
    <row r="433" ht="26.25" customHeight="1">
      <c r="A433" s="102">
        <v>10.0</v>
      </c>
      <c r="B433" s="123"/>
      <c r="C433" s="123"/>
      <c r="D433" s="107"/>
      <c r="E433" s="107"/>
      <c r="F433" s="108"/>
      <c r="G433" s="108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</row>
    <row r="434" ht="26.25" customHeight="1">
      <c r="A434" s="102">
        <v>11.0</v>
      </c>
      <c r="B434" s="123"/>
      <c r="C434" s="123"/>
      <c r="D434" s="107"/>
      <c r="E434" s="107"/>
      <c r="F434" s="108"/>
      <c r="G434" s="108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</row>
    <row r="435" ht="26.25" customHeight="1">
      <c r="A435" s="102">
        <v>12.0</v>
      </c>
      <c r="B435" s="123"/>
      <c r="C435" s="123"/>
      <c r="D435" s="107"/>
      <c r="E435" s="107"/>
      <c r="F435" s="108"/>
      <c r="G435" s="108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</row>
    <row r="436" ht="26.25" customHeight="1">
      <c r="A436" s="102">
        <v>13.0</v>
      </c>
      <c r="B436" s="123"/>
      <c r="C436" s="123"/>
      <c r="D436" s="107"/>
      <c r="E436" s="107"/>
      <c r="F436" s="108"/>
      <c r="G436" s="108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</row>
    <row r="437" ht="26.25" customHeight="1">
      <c r="A437" s="102">
        <v>14.0</v>
      </c>
      <c r="B437" s="123"/>
      <c r="C437" s="123"/>
      <c r="D437" s="107"/>
      <c r="E437" s="107"/>
      <c r="F437" s="108"/>
      <c r="G437" s="108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</row>
    <row r="438" ht="26.25" customHeight="1">
      <c r="A438" s="102">
        <v>15.0</v>
      </c>
      <c r="B438" s="123"/>
      <c r="C438" s="123"/>
      <c r="D438" s="107"/>
      <c r="E438" s="107"/>
      <c r="F438" s="108"/>
      <c r="G438" s="108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</row>
    <row r="439" ht="26.25" customHeight="1">
      <c r="A439" s="58"/>
      <c r="B439" s="149"/>
      <c r="C439" s="58"/>
      <c r="D439" s="58"/>
      <c r="E439" s="102" t="s">
        <v>144</v>
      </c>
      <c r="F439" s="150">
        <v>1000.0</v>
      </c>
      <c r="G439" s="58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</row>
    <row r="440" ht="26.25" customHeight="1">
      <c r="A440" s="58"/>
      <c r="B440" s="149"/>
      <c r="C440" s="58"/>
      <c r="D440" s="58"/>
      <c r="E440" s="102" t="s">
        <v>145</v>
      </c>
      <c r="F440" s="150">
        <v>1265.0</v>
      </c>
      <c r="G440" s="58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</row>
    <row r="441" ht="26.25" customHeight="1">
      <c r="A441" s="58"/>
      <c r="B441" s="149"/>
      <c r="C441" s="58"/>
      <c r="D441" s="58"/>
      <c r="E441" s="102" t="s">
        <v>146</v>
      </c>
      <c r="F441" s="150">
        <v>265.0</v>
      </c>
      <c r="G441" s="58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</row>
    <row r="442" ht="26.25" customHeight="1">
      <c r="A442" s="58"/>
      <c r="B442" s="149"/>
      <c r="C442" s="58"/>
      <c r="D442" s="58"/>
      <c r="E442" s="102" t="s">
        <v>147</v>
      </c>
      <c r="F442" s="150">
        <v>200.0</v>
      </c>
      <c r="G442" s="58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</row>
    <row r="443" ht="26.25" customHeight="1">
      <c r="A443" s="58"/>
      <c r="B443" s="149"/>
      <c r="C443" s="58"/>
      <c r="D443" s="58"/>
      <c r="E443" s="102" t="s">
        <v>148</v>
      </c>
      <c r="F443" s="150">
        <v>1065.0</v>
      </c>
      <c r="G443" s="101" t="s">
        <v>629</v>
      </c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</row>
    <row r="444" ht="26.25" customHeight="1">
      <c r="A444" s="102" t="s">
        <v>4</v>
      </c>
      <c r="B444" s="102" t="s">
        <v>5</v>
      </c>
      <c r="C444" s="102" t="s">
        <v>126</v>
      </c>
      <c r="D444" s="102" t="s">
        <v>6</v>
      </c>
      <c r="E444" s="102" t="s">
        <v>7</v>
      </c>
      <c r="F444" s="102" t="s">
        <v>127</v>
      </c>
      <c r="G444" s="102" t="s">
        <v>128</v>
      </c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</row>
    <row r="445" ht="26.25" customHeight="1">
      <c r="A445" s="102">
        <v>1.0</v>
      </c>
      <c r="B445" s="147">
        <v>46114.0</v>
      </c>
      <c r="C445" s="148" t="s">
        <v>211</v>
      </c>
      <c r="D445" s="107"/>
      <c r="E445" s="107" t="s">
        <v>1634</v>
      </c>
      <c r="F445" s="111" t="s">
        <v>1635</v>
      </c>
      <c r="G445" s="111" t="s">
        <v>1636</v>
      </c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</row>
    <row r="446" ht="26.25" customHeight="1">
      <c r="A446" s="102">
        <v>2.0</v>
      </c>
      <c r="B446" s="123"/>
      <c r="C446" s="123"/>
      <c r="D446" s="107"/>
      <c r="E446" s="107" t="s">
        <v>1637</v>
      </c>
      <c r="F446" s="108">
        <v>50.0</v>
      </c>
      <c r="G446" s="108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</row>
    <row r="447" ht="26.25" customHeight="1">
      <c r="A447" s="102">
        <v>3.0</v>
      </c>
      <c r="B447" s="123"/>
      <c r="C447" s="123"/>
      <c r="D447" s="107"/>
      <c r="E447" s="107" t="s">
        <v>1638</v>
      </c>
      <c r="F447" s="108" t="s">
        <v>1639</v>
      </c>
      <c r="G447" s="108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</row>
    <row r="448" ht="26.25" customHeight="1">
      <c r="A448" s="102">
        <v>4.0</v>
      </c>
      <c r="B448" s="123"/>
      <c r="C448" s="123"/>
      <c r="D448" s="107"/>
      <c r="E448" s="107" t="s">
        <v>1640</v>
      </c>
      <c r="F448" s="108"/>
      <c r="G448" s="108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</row>
    <row r="449" ht="26.25" customHeight="1">
      <c r="A449" s="102">
        <v>5.0</v>
      </c>
      <c r="B449" s="123"/>
      <c r="C449" s="123"/>
      <c r="D449" s="107"/>
      <c r="E449" s="107" t="s">
        <v>1641</v>
      </c>
      <c r="F449" s="111" t="s">
        <v>269</v>
      </c>
      <c r="G449" s="108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</row>
    <row r="450" ht="26.25" customHeight="1">
      <c r="A450" s="102">
        <v>6.0</v>
      </c>
      <c r="B450" s="123"/>
      <c r="C450" s="123"/>
      <c r="D450" s="107"/>
      <c r="E450" s="107" t="s">
        <v>1642</v>
      </c>
      <c r="F450" s="108">
        <v>50.0</v>
      </c>
      <c r="G450" s="108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</row>
    <row r="451" ht="26.25" customHeight="1">
      <c r="A451" s="102">
        <v>7.0</v>
      </c>
      <c r="B451" s="123"/>
      <c r="C451" s="123"/>
      <c r="D451" s="107"/>
      <c r="E451" s="107" t="s">
        <v>1643</v>
      </c>
      <c r="F451" s="108">
        <v>50.0</v>
      </c>
      <c r="G451" s="108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</row>
    <row r="452" ht="26.25" customHeight="1">
      <c r="A452" s="102">
        <v>8.0</v>
      </c>
      <c r="B452" s="123"/>
      <c r="C452" s="123"/>
      <c r="D452" s="107"/>
      <c r="E452" s="107" t="s">
        <v>1644</v>
      </c>
      <c r="F452" s="108"/>
      <c r="G452" s="108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</row>
    <row r="453" ht="26.25" customHeight="1">
      <c r="A453" s="102">
        <v>9.0</v>
      </c>
      <c r="B453" s="123"/>
      <c r="C453" s="123"/>
      <c r="D453" s="107"/>
      <c r="E453" s="107"/>
      <c r="F453" s="108"/>
      <c r="G453" s="108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</row>
    <row r="454" ht="26.25" customHeight="1">
      <c r="A454" s="102">
        <v>10.0</v>
      </c>
      <c r="B454" s="123"/>
      <c r="C454" s="123"/>
      <c r="D454" s="107"/>
      <c r="E454" s="107"/>
      <c r="F454" s="108"/>
      <c r="G454" s="108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</row>
    <row r="455" ht="26.25" customHeight="1">
      <c r="A455" s="102">
        <v>11.0</v>
      </c>
      <c r="B455" s="123"/>
      <c r="C455" s="123"/>
      <c r="D455" s="107"/>
      <c r="E455" s="107"/>
      <c r="F455" s="108"/>
      <c r="G455" s="108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</row>
    <row r="456" ht="26.25" customHeight="1">
      <c r="A456" s="102">
        <v>12.0</v>
      </c>
      <c r="B456" s="123"/>
      <c r="C456" s="123"/>
      <c r="D456" s="107"/>
      <c r="E456" s="107"/>
      <c r="F456" s="108"/>
      <c r="G456" s="108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</row>
    <row r="457" ht="26.25" customHeight="1">
      <c r="A457" s="102">
        <v>13.0</v>
      </c>
      <c r="B457" s="123"/>
      <c r="C457" s="123"/>
      <c r="D457" s="107"/>
      <c r="E457" s="107"/>
      <c r="F457" s="108"/>
      <c r="G457" s="108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</row>
    <row r="458" ht="26.25" customHeight="1">
      <c r="A458" s="102">
        <v>14.0</v>
      </c>
      <c r="B458" s="123"/>
      <c r="C458" s="123"/>
      <c r="D458" s="107"/>
      <c r="E458" s="107"/>
      <c r="F458" s="108"/>
      <c r="G458" s="108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</row>
    <row r="459" ht="26.25" customHeight="1">
      <c r="A459" s="102">
        <v>15.0</v>
      </c>
      <c r="B459" s="123"/>
      <c r="C459" s="123"/>
      <c r="D459" s="107"/>
      <c r="E459" s="107"/>
      <c r="F459" s="108"/>
      <c r="G459" s="108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</row>
    <row r="460" ht="26.25" customHeight="1">
      <c r="A460" s="58"/>
      <c r="B460" s="149"/>
      <c r="C460" s="58"/>
      <c r="D460" s="58"/>
      <c r="E460" s="102" t="s">
        <v>144</v>
      </c>
      <c r="F460" s="150">
        <v>1065.0</v>
      </c>
      <c r="G460" s="58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</row>
    <row r="461" ht="26.25" customHeight="1">
      <c r="A461" s="58"/>
      <c r="B461" s="149"/>
      <c r="C461" s="58"/>
      <c r="D461" s="58"/>
      <c r="E461" s="102" t="s">
        <v>145</v>
      </c>
      <c r="F461" s="150">
        <v>885.0</v>
      </c>
      <c r="G461" s="58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</row>
    <row r="462" ht="26.25" customHeight="1">
      <c r="A462" s="58"/>
      <c r="B462" s="149"/>
      <c r="C462" s="58"/>
      <c r="D462" s="58"/>
      <c r="E462" s="102" t="s">
        <v>146</v>
      </c>
      <c r="F462" s="150">
        <v>530.0</v>
      </c>
      <c r="G462" s="58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</row>
    <row r="463" ht="26.25" customHeight="1">
      <c r="A463" s="58"/>
      <c r="B463" s="149"/>
      <c r="C463" s="58"/>
      <c r="D463" s="58"/>
      <c r="E463" s="102" t="s">
        <v>147</v>
      </c>
      <c r="F463" s="150">
        <v>400.0</v>
      </c>
      <c r="G463" s="58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</row>
    <row r="464" ht="26.25" customHeight="1">
      <c r="A464" s="58"/>
      <c r="B464" s="149"/>
      <c r="C464" s="58"/>
      <c r="D464" s="58"/>
      <c r="E464" s="102" t="s">
        <v>148</v>
      </c>
      <c r="F464" s="151" t="s">
        <v>1645</v>
      </c>
      <c r="G464" s="101" t="s">
        <v>629</v>
      </c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</row>
    <row r="465" ht="26.25" customHeight="1">
      <c r="A465" s="102" t="s">
        <v>4</v>
      </c>
      <c r="B465" s="102" t="s">
        <v>5</v>
      </c>
      <c r="C465" s="102" t="s">
        <v>126</v>
      </c>
      <c r="D465" s="102" t="s">
        <v>6</v>
      </c>
      <c r="E465" s="102" t="s">
        <v>7</v>
      </c>
      <c r="F465" s="102" t="s">
        <v>127</v>
      </c>
      <c r="G465" s="102" t="s">
        <v>128</v>
      </c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</row>
    <row r="466" ht="26.25" customHeight="1">
      <c r="A466" s="102">
        <v>1.0</v>
      </c>
      <c r="B466" s="147">
        <v>46116.0</v>
      </c>
      <c r="C466" s="148" t="s">
        <v>1041</v>
      </c>
      <c r="D466" s="107"/>
      <c r="E466" s="107" t="s">
        <v>1646</v>
      </c>
      <c r="F466" s="111"/>
      <c r="G466" s="111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</row>
    <row r="467" ht="26.25" customHeight="1">
      <c r="A467" s="102">
        <v>2.0</v>
      </c>
      <c r="B467" s="123"/>
      <c r="C467" s="123"/>
      <c r="D467" s="107"/>
      <c r="E467" s="107" t="s">
        <v>421</v>
      </c>
      <c r="F467" s="108"/>
      <c r="G467" s="108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</row>
    <row r="468" ht="26.25" customHeight="1">
      <c r="A468" s="102">
        <v>3.0</v>
      </c>
      <c r="B468" s="123"/>
      <c r="C468" s="123"/>
      <c r="D468" s="107"/>
      <c r="E468" s="107" t="s">
        <v>1647</v>
      </c>
      <c r="F468" s="108"/>
      <c r="G468" s="108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</row>
    <row r="469" ht="26.25" customHeight="1">
      <c r="A469" s="102">
        <v>4.0</v>
      </c>
      <c r="B469" s="123"/>
      <c r="C469" s="123"/>
      <c r="D469" s="107"/>
      <c r="E469" s="107" t="s">
        <v>1648</v>
      </c>
      <c r="F469" s="108"/>
      <c r="G469" s="108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</row>
    <row r="470" ht="26.25" customHeight="1">
      <c r="A470" s="102">
        <v>5.0</v>
      </c>
      <c r="B470" s="123"/>
      <c r="C470" s="123"/>
      <c r="D470" s="107"/>
      <c r="E470" s="107" t="s">
        <v>1649</v>
      </c>
      <c r="F470" s="111"/>
      <c r="G470" s="108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</row>
    <row r="471" ht="26.25" customHeight="1">
      <c r="A471" s="102">
        <v>6.0</v>
      </c>
      <c r="B471" s="123"/>
      <c r="C471" s="123"/>
      <c r="D471" s="107"/>
      <c r="E471" s="107"/>
      <c r="F471" s="108"/>
      <c r="G471" s="108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</row>
    <row r="472" ht="26.25" customHeight="1">
      <c r="A472" s="102">
        <v>7.0</v>
      </c>
      <c r="B472" s="123"/>
      <c r="C472" s="123"/>
      <c r="D472" s="107"/>
      <c r="E472" s="107"/>
      <c r="F472" s="108"/>
      <c r="G472" s="108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</row>
    <row r="473" ht="26.25" customHeight="1">
      <c r="A473" s="102">
        <v>8.0</v>
      </c>
      <c r="B473" s="123"/>
      <c r="C473" s="123"/>
      <c r="D473" s="107"/>
      <c r="E473" s="107"/>
      <c r="F473" s="108"/>
      <c r="G473" s="108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</row>
    <row r="474" ht="26.25" customHeight="1">
      <c r="A474" s="102">
        <v>9.0</v>
      </c>
      <c r="B474" s="123"/>
      <c r="C474" s="123"/>
      <c r="D474" s="107"/>
      <c r="E474" s="107"/>
      <c r="F474" s="108"/>
      <c r="G474" s="108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</row>
    <row r="475" ht="26.25" customHeight="1">
      <c r="A475" s="102">
        <v>10.0</v>
      </c>
      <c r="B475" s="123"/>
      <c r="C475" s="123"/>
      <c r="D475" s="107"/>
      <c r="E475" s="107"/>
      <c r="F475" s="108"/>
      <c r="G475" s="108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</row>
    <row r="476" ht="26.25" customHeight="1">
      <c r="A476" s="102">
        <v>11.0</v>
      </c>
      <c r="B476" s="123"/>
      <c r="C476" s="123"/>
      <c r="D476" s="107"/>
      <c r="E476" s="107"/>
      <c r="F476" s="108"/>
      <c r="G476" s="108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</row>
    <row r="477" ht="26.25" customHeight="1">
      <c r="A477" s="102">
        <v>12.0</v>
      </c>
      <c r="B477" s="123"/>
      <c r="C477" s="123"/>
      <c r="D477" s="107"/>
      <c r="E477" s="107"/>
      <c r="F477" s="108"/>
      <c r="G477" s="108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</row>
    <row r="478" ht="26.25" customHeight="1">
      <c r="A478" s="102">
        <v>13.0</v>
      </c>
      <c r="B478" s="123"/>
      <c r="C478" s="123"/>
      <c r="D478" s="107"/>
      <c r="E478" s="107"/>
      <c r="F478" s="108"/>
      <c r="G478" s="108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</row>
    <row r="479" ht="26.25" customHeight="1">
      <c r="A479" s="102">
        <v>14.0</v>
      </c>
      <c r="B479" s="123"/>
      <c r="C479" s="123"/>
      <c r="D479" s="107"/>
      <c r="E479" s="107"/>
      <c r="F479" s="108"/>
      <c r="G479" s="108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</row>
    <row r="480" ht="26.25" customHeight="1">
      <c r="A480" s="102">
        <v>15.0</v>
      </c>
      <c r="B480" s="123"/>
      <c r="C480" s="123"/>
      <c r="D480" s="107"/>
      <c r="E480" s="107"/>
      <c r="F480" s="108"/>
      <c r="G480" s="108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</row>
    <row r="481" ht="26.25" customHeight="1">
      <c r="A481" s="58"/>
      <c r="B481" s="149"/>
      <c r="C481" s="58"/>
      <c r="D481" s="58"/>
      <c r="E481" s="102" t="s">
        <v>144</v>
      </c>
      <c r="F481" s="150"/>
      <c r="G481" s="58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</row>
    <row r="482" ht="26.25" customHeight="1">
      <c r="A482" s="58"/>
      <c r="B482" s="149"/>
      <c r="C482" s="58"/>
      <c r="D482" s="58"/>
      <c r="E482" s="102" t="s">
        <v>145</v>
      </c>
      <c r="F482" s="150">
        <v>580.0</v>
      </c>
      <c r="G482" s="58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</row>
    <row r="483" ht="26.25" customHeight="1">
      <c r="A483" s="58"/>
      <c r="B483" s="149"/>
      <c r="C483" s="58"/>
      <c r="D483" s="58"/>
      <c r="E483" s="102" t="s">
        <v>146</v>
      </c>
      <c r="F483" s="150">
        <v>685.0</v>
      </c>
      <c r="G483" s="58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</row>
    <row r="484" ht="26.25" customHeight="1">
      <c r="A484" s="58"/>
      <c r="B484" s="149"/>
      <c r="C484" s="58"/>
      <c r="D484" s="58"/>
      <c r="E484" s="102" t="s">
        <v>147</v>
      </c>
      <c r="F484" s="150">
        <v>550.0</v>
      </c>
      <c r="G484" s="58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</row>
    <row r="485" ht="26.25" customHeight="1">
      <c r="A485" s="58"/>
      <c r="B485" s="149"/>
      <c r="C485" s="58"/>
      <c r="D485" s="58"/>
      <c r="E485" s="102" t="s">
        <v>148</v>
      </c>
      <c r="F485" s="151" t="s">
        <v>1650</v>
      </c>
      <c r="G485" s="101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</row>
    <row r="486" ht="26.25" customHeight="1">
      <c r="A486" s="102" t="s">
        <v>4</v>
      </c>
      <c r="B486" s="102" t="s">
        <v>5</v>
      </c>
      <c r="C486" s="102" t="s">
        <v>126</v>
      </c>
      <c r="D486" s="102" t="s">
        <v>6</v>
      </c>
      <c r="E486" s="102" t="s">
        <v>7</v>
      </c>
      <c r="F486" s="102" t="s">
        <v>127</v>
      </c>
      <c r="G486" s="103" t="s">
        <v>128</v>
      </c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</row>
    <row r="487" ht="26.25" customHeight="1">
      <c r="A487" s="104">
        <v>1.0</v>
      </c>
      <c r="B487" s="105">
        <v>46121.0</v>
      </c>
      <c r="C487" s="106" t="s">
        <v>310</v>
      </c>
      <c r="D487" s="107" t="s">
        <v>1426</v>
      </c>
      <c r="E487" s="107" t="s">
        <v>1651</v>
      </c>
      <c r="F487" s="108"/>
      <c r="G487" s="10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</row>
    <row r="488" ht="26.25" customHeight="1">
      <c r="A488" s="104">
        <v>2.0</v>
      </c>
      <c r="B488" s="120"/>
      <c r="C488" s="110"/>
      <c r="D488" s="107"/>
      <c r="E488" s="107" t="s">
        <v>1652</v>
      </c>
      <c r="F488" s="108"/>
      <c r="G488" s="10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</row>
    <row r="489" ht="26.25" customHeight="1">
      <c r="A489" s="104">
        <v>3.0</v>
      </c>
      <c r="B489" s="120"/>
      <c r="C489" s="110"/>
      <c r="D489" s="107"/>
      <c r="E489" s="107" t="s">
        <v>1653</v>
      </c>
      <c r="F489" s="108"/>
      <c r="G489" s="10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</row>
    <row r="490" ht="26.25" customHeight="1">
      <c r="A490" s="104">
        <v>4.0</v>
      </c>
      <c r="B490" s="120"/>
      <c r="C490" s="110"/>
      <c r="D490" s="107"/>
      <c r="E490" s="107" t="s">
        <v>1654</v>
      </c>
      <c r="F490" s="108"/>
      <c r="G490" s="10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</row>
    <row r="491" ht="26.25" customHeight="1">
      <c r="A491" s="104">
        <v>5.0</v>
      </c>
      <c r="B491" s="120"/>
      <c r="C491" s="110"/>
      <c r="D491" s="107"/>
      <c r="E491" s="107" t="s">
        <v>1655</v>
      </c>
      <c r="F491" s="108"/>
      <c r="G491" s="10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</row>
    <row r="492" ht="26.25" customHeight="1">
      <c r="A492" s="104">
        <v>6.0</v>
      </c>
      <c r="B492" s="120"/>
      <c r="C492" s="110"/>
      <c r="D492" s="107"/>
      <c r="E492" s="107" t="s">
        <v>1656</v>
      </c>
      <c r="F492" s="109"/>
      <c r="G492" s="10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</row>
    <row r="493" ht="26.25" customHeight="1">
      <c r="A493" s="104">
        <v>7.0</v>
      </c>
      <c r="B493" s="120"/>
      <c r="C493" s="110"/>
      <c r="D493" s="107"/>
      <c r="E493" s="107" t="s">
        <v>1657</v>
      </c>
      <c r="F493" s="109"/>
      <c r="G493" s="10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</row>
    <row r="494" ht="26.25" customHeight="1">
      <c r="A494" s="104">
        <v>8.0</v>
      </c>
      <c r="B494" s="120"/>
      <c r="C494" s="110"/>
      <c r="D494" s="107"/>
      <c r="E494" s="107" t="s">
        <v>1658</v>
      </c>
      <c r="F494" s="109"/>
      <c r="G494" s="10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</row>
    <row r="495" ht="26.25" customHeight="1">
      <c r="A495" s="104">
        <v>9.0</v>
      </c>
      <c r="B495" s="120"/>
      <c r="C495" s="110"/>
      <c r="D495" s="107"/>
      <c r="E495" s="107" t="s">
        <v>1659</v>
      </c>
      <c r="F495" s="109"/>
      <c r="G495" s="10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</row>
    <row r="496" ht="26.25" customHeight="1">
      <c r="A496" s="104">
        <v>10.0</v>
      </c>
      <c r="B496" s="120"/>
      <c r="C496" s="110"/>
      <c r="D496" s="107"/>
      <c r="E496" s="125"/>
      <c r="F496" s="109"/>
      <c r="G496" s="10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</row>
    <row r="497" ht="26.25" customHeight="1">
      <c r="A497" s="104">
        <v>11.0</v>
      </c>
      <c r="B497" s="120"/>
      <c r="C497" s="110"/>
      <c r="D497" s="107"/>
      <c r="E497" s="125"/>
      <c r="F497" s="109"/>
      <c r="G497" s="10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</row>
    <row r="498" ht="26.25" customHeight="1">
      <c r="A498" s="104">
        <v>12.0</v>
      </c>
      <c r="B498" s="120"/>
      <c r="C498" s="110"/>
      <c r="D498" s="107"/>
      <c r="E498" s="125"/>
      <c r="F498" s="109"/>
      <c r="G498" s="10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</row>
    <row r="499" ht="26.25" customHeight="1">
      <c r="A499" s="104">
        <v>13.0</v>
      </c>
      <c r="B499" s="120"/>
      <c r="C499" s="110"/>
      <c r="D499" s="107"/>
      <c r="E499" s="125"/>
      <c r="F499" s="109"/>
      <c r="G499" s="10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</row>
    <row r="500" ht="26.25" customHeight="1">
      <c r="A500" s="104">
        <v>14.0</v>
      </c>
      <c r="B500" s="120"/>
      <c r="C500" s="110"/>
      <c r="D500" s="107"/>
      <c r="E500" s="125"/>
      <c r="F500" s="109"/>
      <c r="G500" s="10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</row>
    <row r="501" ht="26.25" customHeight="1">
      <c r="A501" s="122">
        <v>15.0</v>
      </c>
      <c r="B501" s="123"/>
      <c r="C501" s="124"/>
      <c r="D501" s="107"/>
      <c r="E501" s="125"/>
      <c r="F501" s="109"/>
      <c r="G501" s="10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</row>
    <row r="502" ht="26.25" customHeight="1">
      <c r="A502" s="112"/>
      <c r="B502" s="113"/>
      <c r="C502" s="114"/>
      <c r="D502" s="114"/>
      <c r="E502" s="280" t="s">
        <v>144</v>
      </c>
      <c r="F502" s="100">
        <v>2000.0</v>
      </c>
      <c r="G502" s="114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</row>
    <row r="503" ht="26.25" customHeight="1">
      <c r="A503" s="115"/>
      <c r="B503" s="113"/>
      <c r="C503" s="114"/>
      <c r="D503" s="114"/>
      <c r="E503" s="99" t="s">
        <v>978</v>
      </c>
      <c r="F503" s="100">
        <v>2655.0</v>
      </c>
      <c r="G503" s="114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</row>
    <row r="504" ht="26.25" customHeight="1">
      <c r="A504" s="115"/>
      <c r="B504" s="113"/>
      <c r="C504" s="114"/>
      <c r="D504" s="114"/>
      <c r="E504" s="99" t="s">
        <v>1381</v>
      </c>
      <c r="F504" s="100">
        <v>670.0</v>
      </c>
      <c r="G504" s="114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</row>
    <row r="505" ht="26.25" customHeight="1">
      <c r="A505" s="115"/>
      <c r="B505" s="113"/>
      <c r="C505" s="114"/>
      <c r="D505" s="114"/>
      <c r="E505" s="99" t="s">
        <v>147</v>
      </c>
      <c r="F505" s="100">
        <v>500.0</v>
      </c>
      <c r="G505" s="114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</row>
    <row r="506" ht="26.25" customHeight="1">
      <c r="A506" s="115"/>
      <c r="B506" s="113"/>
      <c r="C506" s="114"/>
      <c r="D506" s="114"/>
      <c r="E506" s="99" t="s">
        <v>1382</v>
      </c>
      <c r="F506" s="100">
        <v>2155.0</v>
      </c>
      <c r="G506" s="114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</row>
    <row r="507" ht="26.25" customHeight="1">
      <c r="A507" s="58"/>
      <c r="B507" s="149"/>
      <c r="C507" s="58"/>
      <c r="D507" s="58"/>
      <c r="E507" s="58"/>
      <c r="F507" s="212" t="s">
        <v>1660</v>
      </c>
      <c r="G507" s="101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</row>
    <row r="508" ht="26.25" customHeight="1">
      <c r="A508" s="102" t="s">
        <v>4</v>
      </c>
      <c r="B508" s="102" t="s">
        <v>5</v>
      </c>
      <c r="C508" s="102" t="s">
        <v>126</v>
      </c>
      <c r="D508" s="102" t="s">
        <v>6</v>
      </c>
      <c r="E508" s="102" t="s">
        <v>7</v>
      </c>
      <c r="F508" s="102" t="s">
        <v>127</v>
      </c>
      <c r="G508" s="103" t="s">
        <v>128</v>
      </c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</row>
    <row r="509" ht="26.25" customHeight="1">
      <c r="A509" s="104">
        <v>1.0</v>
      </c>
      <c r="B509" s="105">
        <v>46123.0</v>
      </c>
      <c r="C509" s="106" t="s">
        <v>1041</v>
      </c>
      <c r="D509" s="107" t="s">
        <v>1426</v>
      </c>
      <c r="E509" s="107" t="s">
        <v>1653</v>
      </c>
      <c r="F509" s="108"/>
      <c r="G509" s="10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</row>
    <row r="510" ht="26.25" customHeight="1">
      <c r="A510" s="104">
        <v>2.0</v>
      </c>
      <c r="B510" s="120"/>
      <c r="C510" s="110"/>
      <c r="D510" s="107"/>
      <c r="E510" s="107" t="s">
        <v>1661</v>
      </c>
      <c r="F510" s="108"/>
      <c r="G510" s="10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</row>
    <row r="511" ht="26.25" customHeight="1">
      <c r="A511" s="104">
        <v>3.0</v>
      </c>
      <c r="B511" s="120"/>
      <c r="C511" s="110"/>
      <c r="D511" s="107"/>
      <c r="E511" s="107" t="s">
        <v>1662</v>
      </c>
      <c r="F511" s="108"/>
      <c r="G511" s="10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</row>
    <row r="512" ht="26.25" customHeight="1">
      <c r="A512" s="104">
        <v>4.0</v>
      </c>
      <c r="B512" s="120"/>
      <c r="C512" s="110"/>
      <c r="D512" s="107"/>
      <c r="E512" s="107" t="s">
        <v>1663</v>
      </c>
      <c r="F512" s="108"/>
      <c r="G512" s="10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</row>
    <row r="513" ht="26.25" customHeight="1">
      <c r="A513" s="104">
        <v>5.0</v>
      </c>
      <c r="B513" s="120"/>
      <c r="C513" s="110"/>
      <c r="D513" s="107"/>
      <c r="E513" s="107" t="s">
        <v>1664</v>
      </c>
      <c r="F513" s="108"/>
      <c r="G513" s="10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</row>
    <row r="514" ht="26.25" customHeight="1">
      <c r="A514" s="104">
        <v>6.0</v>
      </c>
      <c r="B514" s="120"/>
      <c r="C514" s="110"/>
      <c r="D514" s="107"/>
      <c r="E514" s="107" t="s">
        <v>1665</v>
      </c>
      <c r="F514" s="109"/>
      <c r="G514" s="10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</row>
    <row r="515" ht="26.25" customHeight="1">
      <c r="A515" s="104">
        <v>7.0</v>
      </c>
      <c r="B515" s="120"/>
      <c r="C515" s="110"/>
      <c r="D515" s="107"/>
      <c r="E515" s="107" t="s">
        <v>1666</v>
      </c>
      <c r="F515" s="109"/>
      <c r="G515" s="10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</row>
    <row r="516" ht="26.25" customHeight="1">
      <c r="A516" s="104">
        <v>8.0</v>
      </c>
      <c r="B516" s="120"/>
      <c r="C516" s="110"/>
      <c r="D516" s="107"/>
      <c r="E516" s="107" t="s">
        <v>1667</v>
      </c>
      <c r="F516" s="109"/>
      <c r="G516" s="10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</row>
    <row r="517" ht="26.25" customHeight="1">
      <c r="A517" s="104">
        <v>9.0</v>
      </c>
      <c r="B517" s="120"/>
      <c r="C517" s="110"/>
      <c r="D517" s="107"/>
      <c r="E517" s="107" t="s">
        <v>1668</v>
      </c>
      <c r="F517" s="109"/>
      <c r="G517" s="10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</row>
    <row r="518" ht="26.25" customHeight="1">
      <c r="A518" s="104">
        <v>10.0</v>
      </c>
      <c r="B518" s="120"/>
      <c r="C518" s="110"/>
      <c r="D518" s="107"/>
      <c r="E518" s="107" t="s">
        <v>1669</v>
      </c>
      <c r="F518" s="109"/>
      <c r="G518" s="10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</row>
    <row r="519" ht="26.25" customHeight="1">
      <c r="A519" s="104">
        <v>11.0</v>
      </c>
      <c r="B519" s="120"/>
      <c r="C519" s="110"/>
      <c r="D519" s="107"/>
      <c r="E519" s="107" t="s">
        <v>1670</v>
      </c>
      <c r="F519" s="109"/>
      <c r="G519" s="10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</row>
    <row r="520" ht="26.25" customHeight="1">
      <c r="A520" s="104">
        <v>12.0</v>
      </c>
      <c r="B520" s="120"/>
      <c r="C520" s="110"/>
      <c r="D520" s="107"/>
      <c r="E520" s="107" t="s">
        <v>1671</v>
      </c>
      <c r="F520" s="109"/>
      <c r="G520" s="10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</row>
    <row r="521" ht="26.25" customHeight="1">
      <c r="A521" s="104">
        <v>13.0</v>
      </c>
      <c r="B521" s="120"/>
      <c r="C521" s="110"/>
      <c r="D521" s="107"/>
      <c r="E521" s="107" t="s">
        <v>1672</v>
      </c>
      <c r="F521" s="109"/>
      <c r="G521" s="10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</row>
    <row r="522" ht="26.25" customHeight="1">
      <c r="A522" s="104">
        <v>14.0</v>
      </c>
      <c r="B522" s="120"/>
      <c r="C522" s="110"/>
      <c r="D522" s="107"/>
      <c r="E522" s="125"/>
      <c r="F522" s="109"/>
      <c r="G522" s="10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</row>
    <row r="523" ht="26.25" customHeight="1">
      <c r="A523" s="122">
        <v>15.0</v>
      </c>
      <c r="B523" s="123"/>
      <c r="C523" s="124"/>
      <c r="D523" s="107"/>
      <c r="E523" s="125"/>
      <c r="F523" s="109"/>
      <c r="G523" s="10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</row>
    <row r="524" ht="26.25" customHeight="1">
      <c r="A524" s="112"/>
      <c r="B524" s="113"/>
      <c r="C524" s="114"/>
      <c r="D524" s="114"/>
      <c r="E524" s="280" t="s">
        <v>144</v>
      </c>
      <c r="F524" s="100">
        <v>1000.0</v>
      </c>
      <c r="G524" s="114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</row>
    <row r="525" ht="26.25" customHeight="1">
      <c r="A525" s="115"/>
      <c r="B525" s="113"/>
      <c r="C525" s="114"/>
      <c r="D525" s="114"/>
      <c r="E525" s="99" t="s">
        <v>978</v>
      </c>
      <c r="F525" s="100">
        <v>2955.0</v>
      </c>
      <c r="G525" s="114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</row>
    <row r="526" ht="26.25" customHeight="1">
      <c r="A526" s="115"/>
      <c r="B526" s="113"/>
      <c r="C526" s="114"/>
      <c r="D526" s="114"/>
      <c r="E526" s="99" t="s">
        <v>1381</v>
      </c>
      <c r="F526" s="100">
        <v>910.0</v>
      </c>
      <c r="G526" s="114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</row>
    <row r="527" ht="26.25" customHeight="1">
      <c r="A527" s="115"/>
      <c r="B527" s="113"/>
      <c r="C527" s="114"/>
      <c r="D527" s="114"/>
      <c r="E527" s="99" t="s">
        <v>147</v>
      </c>
      <c r="F527" s="100">
        <v>680.0</v>
      </c>
      <c r="G527" s="114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</row>
    <row r="528" ht="26.25" customHeight="1">
      <c r="A528" s="115"/>
      <c r="B528" s="113"/>
      <c r="C528" s="114"/>
      <c r="D528" s="114"/>
      <c r="E528" s="99" t="s">
        <v>1382</v>
      </c>
      <c r="F528" s="100">
        <v>2275.0</v>
      </c>
      <c r="G528" s="114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</row>
    <row r="529" ht="26.25" customHeight="1">
      <c r="A529" s="58"/>
      <c r="B529" s="149"/>
      <c r="C529" s="58"/>
      <c r="D529" s="58"/>
      <c r="E529" s="58"/>
      <c r="F529" s="212" t="s">
        <v>1660</v>
      </c>
      <c r="G529" s="101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</row>
    <row r="530" ht="26.25" customHeight="1">
      <c r="A530" s="102" t="s">
        <v>4</v>
      </c>
      <c r="B530" s="102" t="s">
        <v>5</v>
      </c>
      <c r="C530" s="102" t="s">
        <v>126</v>
      </c>
      <c r="D530" s="102" t="s">
        <v>6</v>
      </c>
      <c r="E530" s="102" t="s">
        <v>7</v>
      </c>
      <c r="F530" s="102" t="s">
        <v>127</v>
      </c>
      <c r="G530" s="103" t="s">
        <v>128</v>
      </c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</row>
    <row r="531" ht="26.25" customHeight="1">
      <c r="A531" s="104">
        <v>1.0</v>
      </c>
      <c r="B531" s="105">
        <v>46124.0</v>
      </c>
      <c r="C531" s="106" t="s">
        <v>561</v>
      </c>
      <c r="D531" s="107" t="s">
        <v>1426</v>
      </c>
      <c r="E531" s="107" t="s">
        <v>654</v>
      </c>
      <c r="F531" s="108">
        <v>40.0</v>
      </c>
      <c r="G531" s="10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</row>
    <row r="532" ht="26.25" customHeight="1">
      <c r="A532" s="104">
        <v>2.0</v>
      </c>
      <c r="B532" s="120"/>
      <c r="C532" s="110"/>
      <c r="D532" s="107"/>
      <c r="E532" s="107" t="s">
        <v>495</v>
      </c>
      <c r="F532" s="108">
        <v>45.0</v>
      </c>
      <c r="G532" s="10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</row>
    <row r="533" ht="26.25" customHeight="1">
      <c r="A533" s="104">
        <v>3.0</v>
      </c>
      <c r="B533" s="120"/>
      <c r="C533" s="110"/>
      <c r="D533" s="107"/>
      <c r="E533" s="107" t="s">
        <v>1673</v>
      </c>
      <c r="F533" s="108" t="s">
        <v>1674</v>
      </c>
      <c r="G533" s="10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</row>
    <row r="534" ht="26.25" customHeight="1">
      <c r="A534" s="104">
        <v>4.0</v>
      </c>
      <c r="B534" s="120"/>
      <c r="C534" s="110"/>
      <c r="D534" s="107"/>
      <c r="E534" s="107" t="s">
        <v>1675</v>
      </c>
      <c r="F534" s="111" t="s">
        <v>1676</v>
      </c>
      <c r="G534" s="10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</row>
    <row r="535" ht="26.25" customHeight="1">
      <c r="A535" s="104">
        <v>5.0</v>
      </c>
      <c r="B535" s="120"/>
      <c r="C535" s="110"/>
      <c r="D535" s="107"/>
      <c r="E535" s="107" t="s">
        <v>1677</v>
      </c>
      <c r="F535" s="108">
        <v>50.0</v>
      </c>
      <c r="G535" s="10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</row>
    <row r="536" ht="26.25" customHeight="1">
      <c r="A536" s="104">
        <v>6.0</v>
      </c>
      <c r="B536" s="120"/>
      <c r="C536" s="110"/>
      <c r="D536" s="107"/>
      <c r="E536" s="107" t="s">
        <v>1678</v>
      </c>
      <c r="F536" s="108">
        <v>50.0</v>
      </c>
      <c r="G536" s="10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</row>
    <row r="537" ht="26.25" customHeight="1">
      <c r="A537" s="104">
        <v>7.0</v>
      </c>
      <c r="B537" s="120"/>
      <c r="C537" s="110"/>
      <c r="D537" s="107"/>
      <c r="E537" s="107" t="s">
        <v>1679</v>
      </c>
      <c r="F537" s="108">
        <v>50.0</v>
      </c>
      <c r="G537" s="10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</row>
    <row r="538" ht="26.25" customHeight="1">
      <c r="A538" s="104">
        <v>8.0</v>
      </c>
      <c r="B538" s="120"/>
      <c r="C538" s="110"/>
      <c r="D538" s="107"/>
      <c r="E538" s="107" t="s">
        <v>1680</v>
      </c>
      <c r="F538" s="108">
        <v>80.0</v>
      </c>
      <c r="G538" s="10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</row>
    <row r="539" ht="26.25" customHeight="1">
      <c r="A539" s="104">
        <v>9.0</v>
      </c>
      <c r="B539" s="120"/>
      <c r="C539" s="110"/>
      <c r="D539" s="107"/>
      <c r="E539" s="107" t="s">
        <v>766</v>
      </c>
      <c r="F539" s="108">
        <v>40.0</v>
      </c>
      <c r="G539" s="10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</row>
    <row r="540" ht="26.25" customHeight="1">
      <c r="A540" s="104">
        <v>10.0</v>
      </c>
      <c r="B540" s="120"/>
      <c r="C540" s="110"/>
      <c r="D540" s="107"/>
      <c r="E540" s="107" t="s">
        <v>417</v>
      </c>
      <c r="F540" s="108">
        <v>50.0</v>
      </c>
      <c r="G540" s="10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</row>
    <row r="541" ht="26.25" customHeight="1">
      <c r="A541" s="104">
        <v>11.0</v>
      </c>
      <c r="B541" s="120"/>
      <c r="C541" s="110"/>
      <c r="D541" s="107"/>
      <c r="E541" s="107" t="s">
        <v>1681</v>
      </c>
      <c r="F541" s="108">
        <v>120.0</v>
      </c>
      <c r="G541" s="10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</row>
    <row r="542" ht="26.25" customHeight="1">
      <c r="A542" s="104">
        <v>12.0</v>
      </c>
      <c r="B542" s="120"/>
      <c r="C542" s="110"/>
      <c r="D542" s="107"/>
      <c r="E542" s="107"/>
      <c r="F542" s="109"/>
      <c r="G542" s="10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</row>
    <row r="543" ht="26.25" customHeight="1">
      <c r="A543" s="104">
        <v>13.0</v>
      </c>
      <c r="B543" s="120"/>
      <c r="C543" s="110"/>
      <c r="D543" s="107"/>
      <c r="E543" s="107"/>
      <c r="F543" s="109"/>
      <c r="G543" s="10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</row>
    <row r="544" ht="26.25" customHeight="1">
      <c r="A544" s="104">
        <v>14.0</v>
      </c>
      <c r="B544" s="120"/>
      <c r="C544" s="110"/>
      <c r="D544" s="107"/>
      <c r="E544" s="125"/>
      <c r="F544" s="109"/>
      <c r="G544" s="10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</row>
    <row r="545" ht="26.25" customHeight="1">
      <c r="A545" s="122">
        <v>15.0</v>
      </c>
      <c r="B545" s="123"/>
      <c r="C545" s="124"/>
      <c r="D545" s="107"/>
      <c r="E545" s="125"/>
      <c r="F545" s="109"/>
      <c r="G545" s="10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</row>
    <row r="546" ht="26.25" customHeight="1">
      <c r="A546" s="112"/>
      <c r="B546" s="113"/>
      <c r="C546" s="114"/>
      <c r="D546" s="114"/>
      <c r="E546" s="280" t="s">
        <v>144</v>
      </c>
      <c r="F546" s="100"/>
      <c r="G546" s="114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</row>
    <row r="547" ht="26.25" customHeight="1">
      <c r="A547" s="115"/>
      <c r="B547" s="113"/>
      <c r="C547" s="114"/>
      <c r="D547" s="114"/>
      <c r="E547" s="99" t="s">
        <v>978</v>
      </c>
      <c r="F547" s="100">
        <v>2735.0</v>
      </c>
      <c r="G547" s="114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</row>
    <row r="548" ht="26.25" customHeight="1">
      <c r="A548" s="115"/>
      <c r="B548" s="113"/>
      <c r="C548" s="114"/>
      <c r="D548" s="114"/>
      <c r="E548" s="99" t="s">
        <v>1381</v>
      </c>
      <c r="F548" s="100">
        <v>775.0</v>
      </c>
      <c r="G548" s="114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</row>
    <row r="549" ht="26.25" customHeight="1">
      <c r="A549" s="115"/>
      <c r="B549" s="113"/>
      <c r="C549" s="114"/>
      <c r="D549" s="114"/>
      <c r="E549" s="99" t="s">
        <v>147</v>
      </c>
      <c r="F549" s="100">
        <v>580.0</v>
      </c>
      <c r="G549" s="114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</row>
    <row r="550" ht="26.25" customHeight="1">
      <c r="A550" s="115"/>
      <c r="B550" s="113"/>
      <c r="C550" s="114"/>
      <c r="D550" s="114"/>
      <c r="E550" s="99" t="s">
        <v>1382</v>
      </c>
      <c r="F550" s="100">
        <v>2155.0</v>
      </c>
      <c r="G550" s="114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</row>
    <row r="551" ht="26.25" customHeight="1">
      <c r="A551" s="102" t="s">
        <v>4</v>
      </c>
      <c r="B551" s="102" t="s">
        <v>5</v>
      </c>
      <c r="C551" s="102" t="s">
        <v>126</v>
      </c>
      <c r="D551" s="102" t="s">
        <v>6</v>
      </c>
      <c r="E551" s="102" t="s">
        <v>7</v>
      </c>
      <c r="F551" s="102" t="s">
        <v>127</v>
      </c>
      <c r="G551" s="103" t="s">
        <v>128</v>
      </c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</row>
    <row r="552" ht="26.25" customHeight="1">
      <c r="A552" s="104">
        <v>1.0</v>
      </c>
      <c r="B552" s="105">
        <v>46126.0</v>
      </c>
      <c r="C552" s="106" t="s">
        <v>1682</v>
      </c>
      <c r="D552" s="107" t="s">
        <v>1426</v>
      </c>
      <c r="E552" s="107" t="s">
        <v>1683</v>
      </c>
      <c r="F552" s="108"/>
      <c r="G552" s="10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</row>
    <row r="553" ht="26.25" customHeight="1">
      <c r="A553" s="104">
        <v>2.0</v>
      </c>
      <c r="B553" s="120"/>
      <c r="C553" s="110"/>
      <c r="D553" s="107"/>
      <c r="E553" s="107" t="s">
        <v>1684</v>
      </c>
      <c r="F553" s="108"/>
      <c r="G553" s="10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</row>
    <row r="554" ht="26.25" customHeight="1">
      <c r="A554" s="104">
        <v>3.0</v>
      </c>
      <c r="B554" s="120"/>
      <c r="C554" s="110"/>
      <c r="D554" s="107"/>
      <c r="E554" s="107" t="s">
        <v>1685</v>
      </c>
      <c r="F554" s="108"/>
      <c r="G554" s="10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</row>
    <row r="555" ht="26.25" customHeight="1">
      <c r="A555" s="104">
        <v>4.0</v>
      </c>
      <c r="B555" s="120"/>
      <c r="C555" s="110"/>
      <c r="D555" s="107"/>
      <c r="E555" s="107" t="s">
        <v>1686</v>
      </c>
      <c r="F555" s="111"/>
      <c r="G555" s="10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</row>
    <row r="556" ht="26.25" customHeight="1">
      <c r="A556" s="104">
        <v>5.0</v>
      </c>
      <c r="B556" s="120"/>
      <c r="C556" s="110"/>
      <c r="D556" s="107"/>
      <c r="E556" s="107" t="s">
        <v>1687</v>
      </c>
      <c r="F556" s="108"/>
      <c r="G556" s="10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</row>
    <row r="557" ht="26.25" customHeight="1">
      <c r="A557" s="104">
        <v>6.0</v>
      </c>
      <c r="B557" s="120"/>
      <c r="C557" s="110"/>
      <c r="D557" s="107"/>
      <c r="E557" s="107" t="s">
        <v>1688</v>
      </c>
      <c r="F557" s="108"/>
      <c r="G557" s="10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</row>
    <row r="558" ht="26.25" customHeight="1">
      <c r="A558" s="104">
        <v>7.0</v>
      </c>
      <c r="B558" s="120"/>
      <c r="C558" s="110"/>
      <c r="D558" s="107"/>
      <c r="E558" s="107" t="s">
        <v>1689</v>
      </c>
      <c r="F558" s="108"/>
      <c r="G558" s="10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</row>
    <row r="559" ht="26.25" customHeight="1">
      <c r="A559" s="104">
        <v>8.0</v>
      </c>
      <c r="B559" s="120"/>
      <c r="C559" s="110"/>
      <c r="D559" s="107"/>
      <c r="E559" s="107" t="s">
        <v>1690</v>
      </c>
      <c r="F559" s="108"/>
      <c r="G559" s="10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</row>
    <row r="560" ht="26.25" customHeight="1">
      <c r="A560" s="104">
        <v>9.0</v>
      </c>
      <c r="B560" s="120"/>
      <c r="C560" s="110"/>
      <c r="D560" s="107"/>
      <c r="E560" s="107" t="s">
        <v>1691</v>
      </c>
      <c r="F560" s="108"/>
      <c r="G560" s="10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</row>
    <row r="561" ht="26.25" customHeight="1">
      <c r="A561" s="104">
        <v>10.0</v>
      </c>
      <c r="B561" s="120"/>
      <c r="C561" s="110"/>
      <c r="D561" s="107"/>
      <c r="E561" s="107" t="s">
        <v>1692</v>
      </c>
      <c r="F561" s="108"/>
      <c r="G561" s="10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</row>
    <row r="562" ht="26.25" customHeight="1">
      <c r="A562" s="104">
        <v>11.0</v>
      </c>
      <c r="B562" s="120"/>
      <c r="C562" s="110"/>
      <c r="D562" s="107"/>
      <c r="E562" s="107"/>
      <c r="F562" s="108"/>
      <c r="G562" s="10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</row>
    <row r="563" ht="26.25" customHeight="1">
      <c r="A563" s="104">
        <v>12.0</v>
      </c>
      <c r="B563" s="120"/>
      <c r="C563" s="110"/>
      <c r="D563" s="107"/>
      <c r="E563" s="107"/>
      <c r="F563" s="109"/>
      <c r="G563" s="10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</row>
    <row r="564" ht="26.25" customHeight="1">
      <c r="A564" s="104">
        <v>13.0</v>
      </c>
      <c r="B564" s="120"/>
      <c r="C564" s="110"/>
      <c r="D564" s="107"/>
      <c r="E564" s="107"/>
      <c r="F564" s="109"/>
      <c r="G564" s="10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</row>
    <row r="565" ht="26.25" customHeight="1">
      <c r="A565" s="104">
        <v>14.0</v>
      </c>
      <c r="B565" s="120"/>
      <c r="C565" s="110"/>
      <c r="D565" s="107"/>
      <c r="E565" s="125"/>
      <c r="F565" s="109"/>
      <c r="G565" s="10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</row>
    <row r="566" ht="26.25" customHeight="1">
      <c r="A566" s="122">
        <v>15.0</v>
      </c>
      <c r="B566" s="123"/>
      <c r="C566" s="124"/>
      <c r="D566" s="107"/>
      <c r="E566" s="125"/>
      <c r="F566" s="109"/>
      <c r="G566" s="10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</row>
    <row r="567" ht="26.25" customHeight="1">
      <c r="A567" s="112"/>
      <c r="B567" s="113"/>
      <c r="C567" s="114"/>
      <c r="D567" s="114"/>
      <c r="E567" s="280" t="s">
        <v>144</v>
      </c>
      <c r="F567" s="100">
        <v>650.0</v>
      </c>
      <c r="G567" s="114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</row>
    <row r="568" ht="26.25" customHeight="1">
      <c r="A568" s="115"/>
      <c r="B568" s="113"/>
      <c r="C568" s="114"/>
      <c r="D568" s="114"/>
      <c r="E568" s="99" t="s">
        <v>978</v>
      </c>
      <c r="F568" s="100">
        <v>4115.0</v>
      </c>
      <c r="G568" s="114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</row>
    <row r="569" ht="26.25" customHeight="1">
      <c r="A569" s="115"/>
      <c r="B569" s="113"/>
      <c r="C569" s="114"/>
      <c r="D569" s="114"/>
      <c r="E569" s="99" t="s">
        <v>1381</v>
      </c>
      <c r="F569" s="100">
        <v>480.0</v>
      </c>
      <c r="G569" s="114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</row>
    <row r="570" ht="26.25" customHeight="1">
      <c r="A570" s="115"/>
      <c r="B570" s="113"/>
      <c r="C570" s="114"/>
      <c r="D570" s="114"/>
      <c r="E570" s="99" t="s">
        <v>147</v>
      </c>
      <c r="F570" s="100">
        <v>360.0</v>
      </c>
      <c r="G570" s="114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</row>
    <row r="571" ht="26.25" customHeight="1">
      <c r="A571" s="115"/>
      <c r="B571" s="113"/>
      <c r="C571" s="114"/>
      <c r="D571" s="114"/>
      <c r="E571" s="99" t="s">
        <v>1382</v>
      </c>
      <c r="F571" s="100" t="s">
        <v>1693</v>
      </c>
      <c r="G571" s="114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</row>
    <row r="572" ht="26.25" customHeight="1">
      <c r="A572" s="102" t="s">
        <v>4</v>
      </c>
      <c r="B572" s="102" t="s">
        <v>5</v>
      </c>
      <c r="C572" s="102" t="s">
        <v>126</v>
      </c>
      <c r="D572" s="102" t="s">
        <v>6</v>
      </c>
      <c r="E572" s="102" t="s">
        <v>7</v>
      </c>
      <c r="F572" s="102" t="s">
        <v>127</v>
      </c>
      <c r="G572" s="103" t="s">
        <v>128</v>
      </c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</row>
    <row r="573" ht="26.25" customHeight="1">
      <c r="A573" s="104">
        <v>1.0</v>
      </c>
      <c r="B573" s="300" t="s">
        <v>1694</v>
      </c>
      <c r="C573" s="106" t="s">
        <v>1682</v>
      </c>
      <c r="D573" s="107" t="s">
        <v>1426</v>
      </c>
      <c r="E573" s="107" t="s">
        <v>1695</v>
      </c>
      <c r="F573" s="108"/>
      <c r="G573" s="10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</row>
    <row r="574" ht="26.25" customHeight="1">
      <c r="A574" s="104">
        <v>2.0</v>
      </c>
      <c r="B574" s="120"/>
      <c r="C574" s="110"/>
      <c r="D574" s="107"/>
      <c r="E574" s="107" t="s">
        <v>1696</v>
      </c>
      <c r="F574" s="108"/>
      <c r="G574" s="10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</row>
    <row r="575" ht="26.25" customHeight="1">
      <c r="A575" s="104">
        <v>3.0</v>
      </c>
      <c r="B575" s="120"/>
      <c r="C575" s="110"/>
      <c r="D575" s="107"/>
      <c r="E575" s="107" t="s">
        <v>1697</v>
      </c>
      <c r="F575" s="108"/>
      <c r="G575" s="10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</row>
    <row r="576" ht="26.25" customHeight="1">
      <c r="A576" s="104">
        <v>4.0</v>
      </c>
      <c r="B576" s="120"/>
      <c r="C576" s="110"/>
      <c r="D576" s="107"/>
      <c r="E576" s="107" t="s">
        <v>1653</v>
      </c>
      <c r="F576" s="111"/>
      <c r="G576" s="10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</row>
    <row r="577" ht="26.25" customHeight="1">
      <c r="A577" s="104">
        <v>5.0</v>
      </c>
      <c r="B577" s="120"/>
      <c r="C577" s="110"/>
      <c r="D577" s="107"/>
      <c r="E577" s="107" t="s">
        <v>1698</v>
      </c>
      <c r="F577" s="108"/>
      <c r="G577" s="10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</row>
    <row r="578" ht="26.25" customHeight="1">
      <c r="A578" s="104">
        <v>6.0</v>
      </c>
      <c r="B578" s="120"/>
      <c r="C578" s="110"/>
      <c r="D578" s="107"/>
      <c r="E578" s="107" t="s">
        <v>1699</v>
      </c>
      <c r="F578" s="108"/>
      <c r="G578" s="10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</row>
    <row r="579" ht="26.25" customHeight="1">
      <c r="A579" s="104">
        <v>7.0</v>
      </c>
      <c r="B579" s="120"/>
      <c r="C579" s="110"/>
      <c r="D579" s="107"/>
      <c r="E579" s="107" t="s">
        <v>1700</v>
      </c>
      <c r="F579" s="108"/>
      <c r="G579" s="10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</row>
    <row r="580" ht="26.25" customHeight="1">
      <c r="A580" s="104">
        <v>8.0</v>
      </c>
      <c r="B580" s="120"/>
      <c r="C580" s="110"/>
      <c r="D580" s="107"/>
      <c r="E580" s="107" t="s">
        <v>1701</v>
      </c>
      <c r="F580" s="108"/>
      <c r="G580" s="10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</row>
    <row r="581" ht="26.25" customHeight="1">
      <c r="A581" s="104">
        <v>9.0</v>
      </c>
      <c r="B581" s="120"/>
      <c r="C581" s="110"/>
      <c r="D581" s="107"/>
      <c r="E581" s="107" t="s">
        <v>1702</v>
      </c>
      <c r="F581" s="108"/>
      <c r="G581" s="10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</row>
    <row r="582" ht="26.25" customHeight="1">
      <c r="A582" s="104">
        <v>10.0</v>
      </c>
      <c r="B582" s="120"/>
      <c r="C582" s="110"/>
      <c r="D582" s="107"/>
      <c r="E582" s="107" t="s">
        <v>1703</v>
      </c>
      <c r="F582" s="108"/>
      <c r="G582" s="10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</row>
    <row r="583" ht="26.25" customHeight="1">
      <c r="A583" s="104">
        <v>11.0</v>
      </c>
      <c r="B583" s="120"/>
      <c r="C583" s="110"/>
      <c r="D583" s="107"/>
      <c r="E583" s="107"/>
      <c r="F583" s="108"/>
      <c r="G583" s="10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</row>
    <row r="584" ht="26.25" customHeight="1">
      <c r="A584" s="104">
        <v>12.0</v>
      </c>
      <c r="B584" s="120"/>
      <c r="C584" s="110"/>
      <c r="D584" s="107"/>
      <c r="E584" s="107"/>
      <c r="F584" s="109"/>
      <c r="G584" s="10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</row>
    <row r="585" ht="26.25" customHeight="1">
      <c r="A585" s="104">
        <v>13.0</v>
      </c>
      <c r="B585" s="120"/>
      <c r="C585" s="110"/>
      <c r="D585" s="107"/>
      <c r="E585" s="107"/>
      <c r="F585" s="109"/>
      <c r="G585" s="10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</row>
    <row r="586" ht="26.25" customHeight="1">
      <c r="A586" s="104">
        <v>14.0</v>
      </c>
      <c r="B586" s="120"/>
      <c r="C586" s="110"/>
      <c r="D586" s="107"/>
      <c r="E586" s="125"/>
      <c r="F586" s="109"/>
      <c r="G586" s="10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</row>
    <row r="587" ht="26.25" customHeight="1">
      <c r="A587" s="122">
        <v>15.0</v>
      </c>
      <c r="B587" s="123"/>
      <c r="C587" s="124"/>
      <c r="D587" s="107"/>
      <c r="E587" s="125"/>
      <c r="F587" s="109"/>
      <c r="G587" s="111" t="s">
        <v>1704</v>
      </c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</row>
    <row r="588" ht="26.25" customHeight="1">
      <c r="A588" s="112"/>
      <c r="B588" s="113"/>
      <c r="C588" s="114"/>
      <c r="D588" s="114"/>
      <c r="E588" s="280" t="s">
        <v>144</v>
      </c>
      <c r="F588" s="100">
        <v>500.0</v>
      </c>
      <c r="G588" s="114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</row>
    <row r="589" ht="26.25" customHeight="1">
      <c r="A589" s="115"/>
      <c r="B589" s="113"/>
      <c r="C589" s="114"/>
      <c r="D589" s="114"/>
      <c r="E589" s="99" t="s">
        <v>978</v>
      </c>
      <c r="F589" s="126" t="s">
        <v>1705</v>
      </c>
      <c r="G589" s="114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</row>
    <row r="590" ht="26.25" customHeight="1">
      <c r="A590" s="115"/>
      <c r="B590" s="113"/>
      <c r="C590" s="114"/>
      <c r="D590" s="114"/>
      <c r="E590" s="99" t="s">
        <v>1381</v>
      </c>
      <c r="F590" s="100">
        <v>390.0</v>
      </c>
      <c r="G590" s="114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</row>
    <row r="591" ht="26.25" customHeight="1">
      <c r="A591" s="115"/>
      <c r="B591" s="113"/>
      <c r="C591" s="114"/>
      <c r="D591" s="114"/>
      <c r="E591" s="99" t="s">
        <v>147</v>
      </c>
      <c r="F591" s="100">
        <v>290.0</v>
      </c>
      <c r="G591" s="114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</row>
    <row r="592" ht="26.25" customHeight="1">
      <c r="A592" s="115"/>
      <c r="B592" s="113"/>
      <c r="C592" s="114"/>
      <c r="D592" s="114"/>
      <c r="E592" s="99" t="s">
        <v>1382</v>
      </c>
      <c r="F592" s="100">
        <v>675.0</v>
      </c>
      <c r="G592" s="114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</row>
    <row r="593" ht="26.25" customHeight="1">
      <c r="A593" s="102" t="s">
        <v>4</v>
      </c>
      <c r="B593" s="102" t="s">
        <v>5</v>
      </c>
      <c r="C593" s="102" t="s">
        <v>126</v>
      </c>
      <c r="D593" s="102" t="s">
        <v>6</v>
      </c>
      <c r="E593" s="102" t="s">
        <v>7</v>
      </c>
      <c r="F593" s="102" t="s">
        <v>127</v>
      </c>
      <c r="G593" s="103" t="s">
        <v>128</v>
      </c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</row>
    <row r="594" ht="26.25" customHeight="1">
      <c r="A594" s="104">
        <v>1.0</v>
      </c>
      <c r="B594" s="301">
        <v>46130.0</v>
      </c>
      <c r="C594" s="106" t="s">
        <v>1041</v>
      </c>
      <c r="D594" s="107" t="s">
        <v>1426</v>
      </c>
      <c r="E594" s="107" t="s">
        <v>1706</v>
      </c>
      <c r="F594" s="108"/>
      <c r="G594" s="10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</row>
    <row r="595" ht="26.25" customHeight="1">
      <c r="A595" s="104">
        <v>2.0</v>
      </c>
      <c r="B595" s="120"/>
      <c r="C595" s="110"/>
      <c r="D595" s="107"/>
      <c r="E595" s="107" t="s">
        <v>1707</v>
      </c>
      <c r="F595" s="108"/>
      <c r="G595" s="10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</row>
    <row r="596" ht="26.25" customHeight="1">
      <c r="A596" s="104">
        <v>3.0</v>
      </c>
      <c r="B596" s="120"/>
      <c r="C596" s="110"/>
      <c r="D596" s="107"/>
      <c r="E596" s="107" t="s">
        <v>1665</v>
      </c>
      <c r="F596" s="108"/>
      <c r="G596" s="10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</row>
    <row r="597" ht="26.25" customHeight="1">
      <c r="A597" s="104">
        <v>4.0</v>
      </c>
      <c r="B597" s="120"/>
      <c r="C597" s="110"/>
      <c r="D597" s="107"/>
      <c r="E597" s="107" t="s">
        <v>1708</v>
      </c>
      <c r="F597" s="111"/>
      <c r="G597" s="10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</row>
    <row r="598" ht="26.25" customHeight="1">
      <c r="A598" s="104">
        <v>5.0</v>
      </c>
      <c r="B598" s="120"/>
      <c r="C598" s="110"/>
      <c r="D598" s="107"/>
      <c r="E598" s="107" t="s">
        <v>1709</v>
      </c>
      <c r="F598" s="108"/>
      <c r="G598" s="10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</row>
    <row r="599" ht="26.25" customHeight="1">
      <c r="A599" s="104">
        <v>6.0</v>
      </c>
      <c r="B599" s="120"/>
      <c r="C599" s="110"/>
      <c r="D599" s="107"/>
      <c r="E599" s="107" t="s">
        <v>1710</v>
      </c>
      <c r="F599" s="108"/>
      <c r="G599" s="10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</row>
    <row r="600" ht="26.25" customHeight="1">
      <c r="A600" s="104">
        <v>7.0</v>
      </c>
      <c r="B600" s="120"/>
      <c r="C600" s="110"/>
      <c r="D600" s="107"/>
      <c r="E600" s="107" t="s">
        <v>1711</v>
      </c>
      <c r="F600" s="108"/>
      <c r="G600" s="10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</row>
    <row r="601" ht="26.25" customHeight="1">
      <c r="A601" s="104">
        <v>8.0</v>
      </c>
      <c r="B601" s="120"/>
      <c r="C601" s="110"/>
      <c r="D601" s="107"/>
      <c r="E601" s="107" t="s">
        <v>1712</v>
      </c>
      <c r="F601" s="108"/>
      <c r="G601" s="10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</row>
    <row r="602" ht="26.25" customHeight="1">
      <c r="A602" s="104">
        <v>9.0</v>
      </c>
      <c r="B602" s="120"/>
      <c r="C602" s="110"/>
      <c r="D602" s="107"/>
      <c r="E602" s="107"/>
      <c r="F602" s="108"/>
      <c r="G602" s="10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</row>
    <row r="603" ht="26.25" customHeight="1">
      <c r="A603" s="104">
        <v>10.0</v>
      </c>
      <c r="B603" s="120"/>
      <c r="C603" s="110"/>
      <c r="D603" s="107"/>
      <c r="E603" s="107"/>
      <c r="F603" s="108"/>
      <c r="G603" s="10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</row>
    <row r="604" ht="26.25" customHeight="1">
      <c r="A604" s="104">
        <v>11.0</v>
      </c>
      <c r="B604" s="120"/>
      <c r="C604" s="110"/>
      <c r="D604" s="107"/>
      <c r="E604" s="107"/>
      <c r="F604" s="108"/>
      <c r="G604" s="10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</row>
    <row r="605" ht="26.25" customHeight="1">
      <c r="A605" s="104">
        <v>12.0</v>
      </c>
      <c r="B605" s="120"/>
      <c r="C605" s="110"/>
      <c r="D605" s="107"/>
      <c r="E605" s="107"/>
      <c r="F605" s="109"/>
      <c r="G605" s="10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</row>
    <row r="606" ht="26.25" customHeight="1">
      <c r="A606" s="104">
        <v>13.0</v>
      </c>
      <c r="B606" s="120"/>
      <c r="C606" s="110"/>
      <c r="D606" s="107"/>
      <c r="E606" s="107"/>
      <c r="F606" s="109"/>
      <c r="G606" s="10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</row>
    <row r="607" ht="26.25" customHeight="1">
      <c r="A607" s="104">
        <v>14.0</v>
      </c>
      <c r="B607" s="120"/>
      <c r="C607" s="110"/>
      <c r="D607" s="107"/>
      <c r="E607" s="125"/>
      <c r="F607" s="109"/>
      <c r="G607" s="10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</row>
    <row r="608" ht="26.25" customHeight="1">
      <c r="A608" s="122">
        <v>15.0</v>
      </c>
      <c r="B608" s="123"/>
      <c r="C608" s="124"/>
      <c r="D608" s="107"/>
      <c r="E608" s="125"/>
      <c r="F608" s="109"/>
      <c r="G608" s="111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</row>
    <row r="609" ht="26.25" customHeight="1">
      <c r="A609" s="112"/>
      <c r="B609" s="113"/>
      <c r="C609" s="114"/>
      <c r="D609" s="114"/>
      <c r="E609" s="280" t="s">
        <v>144</v>
      </c>
      <c r="F609" s="100"/>
      <c r="G609" s="114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</row>
    <row r="610" ht="26.25" customHeight="1">
      <c r="A610" s="115"/>
      <c r="B610" s="113"/>
      <c r="C610" s="114"/>
      <c r="D610" s="114"/>
      <c r="E610" s="99" t="s">
        <v>978</v>
      </c>
      <c r="F610" s="100">
        <v>305.0</v>
      </c>
      <c r="G610" s="114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</row>
    <row r="611" ht="26.25" customHeight="1">
      <c r="A611" s="115"/>
      <c r="B611" s="113"/>
      <c r="C611" s="114"/>
      <c r="D611" s="114"/>
      <c r="E611" s="99" t="s">
        <v>1713</v>
      </c>
      <c r="F611" s="100">
        <v>455.0</v>
      </c>
      <c r="G611" s="114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</row>
    <row r="612" ht="26.25" customHeight="1">
      <c r="A612" s="115"/>
      <c r="B612" s="113"/>
      <c r="C612" s="114"/>
      <c r="D612" s="114"/>
      <c r="E612" s="99" t="s">
        <v>1714</v>
      </c>
      <c r="F612" s="100">
        <v>340.0</v>
      </c>
      <c r="G612" s="114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</row>
    <row r="613" ht="26.25" customHeight="1">
      <c r="A613" s="115"/>
      <c r="B613" s="113"/>
      <c r="C613" s="114"/>
      <c r="D613" s="114"/>
      <c r="E613" s="99" t="s">
        <v>1382</v>
      </c>
      <c r="F613" s="100"/>
      <c r="G613" s="114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</row>
    <row r="614" ht="26.25" customHeight="1">
      <c r="A614" s="102" t="s">
        <v>4</v>
      </c>
      <c r="B614" s="102" t="s">
        <v>5</v>
      </c>
      <c r="C614" s="102" t="s">
        <v>126</v>
      </c>
      <c r="D614" s="102" t="s">
        <v>6</v>
      </c>
      <c r="E614" s="102" t="s">
        <v>7</v>
      </c>
      <c r="F614" s="102" t="s">
        <v>127</v>
      </c>
      <c r="G614" s="103" t="s">
        <v>128</v>
      </c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</row>
    <row r="615" ht="26.25" customHeight="1">
      <c r="A615" s="104">
        <v>1.0</v>
      </c>
      <c r="B615" s="301">
        <v>46131.0</v>
      </c>
      <c r="C615" s="106" t="s">
        <v>476</v>
      </c>
      <c r="D615" s="107" t="s">
        <v>1426</v>
      </c>
      <c r="E615" s="107" t="s">
        <v>1715</v>
      </c>
      <c r="F615" s="108"/>
      <c r="G615" s="10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</row>
    <row r="616" ht="26.25" customHeight="1">
      <c r="A616" s="104">
        <v>2.0</v>
      </c>
      <c r="B616" s="120"/>
      <c r="C616" s="110"/>
      <c r="D616" s="107"/>
      <c r="E616" s="107" t="s">
        <v>1671</v>
      </c>
      <c r="F616" s="108"/>
      <c r="G616" s="10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</row>
    <row r="617" ht="26.25" customHeight="1">
      <c r="A617" s="104">
        <v>3.0</v>
      </c>
      <c r="B617" s="120"/>
      <c r="C617" s="110"/>
      <c r="D617" s="107"/>
      <c r="E617" s="107" t="s">
        <v>1716</v>
      </c>
      <c r="F617" s="108"/>
      <c r="G617" s="10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</row>
    <row r="618" ht="26.25" customHeight="1">
      <c r="A618" s="104">
        <v>4.0</v>
      </c>
      <c r="B618" s="120"/>
      <c r="C618" s="110"/>
      <c r="D618" s="107"/>
      <c r="E618" s="107" t="s">
        <v>1717</v>
      </c>
      <c r="F618" s="111"/>
      <c r="G618" s="10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</row>
    <row r="619" ht="26.25" customHeight="1">
      <c r="A619" s="104">
        <v>5.0</v>
      </c>
      <c r="B619" s="120"/>
      <c r="C619" s="110"/>
      <c r="D619" s="107"/>
      <c r="E619" s="107" t="s">
        <v>1718</v>
      </c>
      <c r="F619" s="108"/>
      <c r="G619" s="10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</row>
    <row r="620" ht="26.25" customHeight="1">
      <c r="A620" s="104">
        <v>6.0</v>
      </c>
      <c r="B620" s="120"/>
      <c r="C620" s="110"/>
      <c r="D620" s="107"/>
      <c r="E620" s="107" t="s">
        <v>1719</v>
      </c>
      <c r="F620" s="108"/>
      <c r="G620" s="10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</row>
    <row r="621" ht="26.25" customHeight="1">
      <c r="A621" s="104">
        <v>7.0</v>
      </c>
      <c r="B621" s="120"/>
      <c r="C621" s="110"/>
      <c r="D621" s="107"/>
      <c r="E621" s="107" t="s">
        <v>1720</v>
      </c>
      <c r="F621" s="108"/>
      <c r="G621" s="10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</row>
    <row r="622" ht="26.25" customHeight="1">
      <c r="A622" s="104">
        <v>8.0</v>
      </c>
      <c r="B622" s="120"/>
      <c r="C622" s="110"/>
      <c r="D622" s="107"/>
      <c r="E622" s="107" t="s">
        <v>1721</v>
      </c>
      <c r="F622" s="108"/>
      <c r="G622" s="10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</row>
    <row r="623" ht="26.25" customHeight="1">
      <c r="A623" s="104">
        <v>9.0</v>
      </c>
      <c r="B623" s="120"/>
      <c r="C623" s="110"/>
      <c r="D623" s="107"/>
      <c r="E623" s="107" t="s">
        <v>1722</v>
      </c>
      <c r="F623" s="108"/>
      <c r="G623" s="10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</row>
    <row r="624" ht="26.25" customHeight="1">
      <c r="A624" s="104">
        <v>10.0</v>
      </c>
      <c r="B624" s="120"/>
      <c r="C624" s="110"/>
      <c r="D624" s="107"/>
      <c r="E624" s="107" t="s">
        <v>1723</v>
      </c>
      <c r="F624" s="108"/>
      <c r="G624" s="10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</row>
    <row r="625" ht="26.25" customHeight="1">
      <c r="A625" s="104">
        <v>11.0</v>
      </c>
      <c r="B625" s="120"/>
      <c r="C625" s="110"/>
      <c r="D625" s="107"/>
      <c r="E625" s="107"/>
      <c r="F625" s="108"/>
      <c r="G625" s="10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</row>
    <row r="626" ht="26.25" customHeight="1">
      <c r="A626" s="104">
        <v>12.0</v>
      </c>
      <c r="B626" s="120"/>
      <c r="C626" s="110"/>
      <c r="D626" s="107"/>
      <c r="F626" s="109"/>
      <c r="G626" s="10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</row>
    <row r="627" ht="26.25" customHeight="1">
      <c r="A627" s="104">
        <v>13.0</v>
      </c>
      <c r="B627" s="120"/>
      <c r="C627" s="110"/>
      <c r="D627" s="107"/>
      <c r="E627" s="107"/>
      <c r="F627" s="109"/>
      <c r="G627" s="10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</row>
    <row r="628" ht="26.25" customHeight="1">
      <c r="A628" s="104">
        <v>14.0</v>
      </c>
      <c r="B628" s="120"/>
      <c r="C628" s="110"/>
      <c r="D628" s="107"/>
      <c r="E628" s="125"/>
      <c r="F628" s="109"/>
      <c r="G628" s="10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</row>
    <row r="629" ht="26.25" customHeight="1">
      <c r="A629" s="122">
        <v>15.0</v>
      </c>
      <c r="B629" s="123"/>
      <c r="C629" s="124"/>
      <c r="D629" s="107"/>
      <c r="E629" s="125"/>
      <c r="F629" s="109"/>
      <c r="G629" s="111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</row>
    <row r="630" ht="26.25" customHeight="1">
      <c r="A630" s="112"/>
      <c r="B630" s="113"/>
      <c r="C630" s="114"/>
      <c r="D630" s="114"/>
      <c r="E630" s="280" t="s">
        <v>144</v>
      </c>
      <c r="F630" s="100"/>
      <c r="G630" s="114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</row>
    <row r="631" ht="26.25" customHeight="1">
      <c r="A631" s="115"/>
      <c r="B631" s="113"/>
      <c r="C631" s="114"/>
      <c r="D631" s="114"/>
      <c r="E631" s="99" t="s">
        <v>978</v>
      </c>
      <c r="F631" s="100">
        <v>1310.0</v>
      </c>
      <c r="G631" s="114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</row>
    <row r="632" ht="26.25" customHeight="1">
      <c r="A632" s="115"/>
      <c r="B632" s="113"/>
      <c r="C632" s="114"/>
      <c r="D632" s="114"/>
      <c r="E632" s="99" t="s">
        <v>1381</v>
      </c>
      <c r="F632" s="100">
        <v>540.0</v>
      </c>
      <c r="G632" s="114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</row>
    <row r="633" ht="26.25" customHeight="1">
      <c r="A633" s="115"/>
      <c r="B633" s="113"/>
      <c r="C633" s="114"/>
      <c r="D633" s="114"/>
      <c r="E633" s="99" t="s">
        <v>1724</v>
      </c>
      <c r="F633" s="100">
        <v>395.0</v>
      </c>
      <c r="G633" s="114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</row>
    <row r="634" ht="26.25" customHeight="1">
      <c r="A634" s="115"/>
      <c r="B634" s="113"/>
      <c r="C634" s="114"/>
      <c r="D634" s="114"/>
      <c r="E634" s="99" t="s">
        <v>1382</v>
      </c>
      <c r="F634" s="100">
        <v>915.0</v>
      </c>
      <c r="G634" s="114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</row>
    <row r="635" ht="26.25" customHeight="1">
      <c r="A635" s="102" t="s">
        <v>4</v>
      </c>
      <c r="B635" s="102" t="s">
        <v>5</v>
      </c>
      <c r="C635" s="102" t="s">
        <v>126</v>
      </c>
      <c r="D635" s="102" t="s">
        <v>6</v>
      </c>
      <c r="E635" s="102" t="s">
        <v>7</v>
      </c>
      <c r="F635" s="102" t="s">
        <v>127</v>
      </c>
      <c r="G635" s="103" t="s">
        <v>128</v>
      </c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</row>
    <row r="636" ht="26.25" customHeight="1">
      <c r="A636" s="104">
        <v>1.0</v>
      </c>
      <c r="B636" s="301">
        <v>46133.0</v>
      </c>
      <c r="C636" s="106" t="s">
        <v>1725</v>
      </c>
      <c r="D636" s="107" t="s">
        <v>1426</v>
      </c>
      <c r="E636" s="107" t="s">
        <v>1726</v>
      </c>
      <c r="F636" s="108"/>
      <c r="G636" s="10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</row>
    <row r="637" ht="26.25" customHeight="1">
      <c r="A637" s="104">
        <v>2.0</v>
      </c>
      <c r="B637" s="120"/>
      <c r="C637" s="110"/>
      <c r="D637" s="107"/>
      <c r="E637" s="107" t="s">
        <v>1727</v>
      </c>
      <c r="F637" s="108"/>
      <c r="G637" s="10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</row>
    <row r="638" ht="26.25" customHeight="1">
      <c r="A638" s="104">
        <v>3.0</v>
      </c>
      <c r="B638" s="120"/>
      <c r="C638" s="110"/>
      <c r="D638" s="107"/>
      <c r="E638" s="107" t="s">
        <v>1728</v>
      </c>
      <c r="F638" s="108"/>
      <c r="G638" s="10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</row>
    <row r="639" ht="26.25" customHeight="1">
      <c r="A639" s="104">
        <v>4.0</v>
      </c>
      <c r="B639" s="120"/>
      <c r="C639" s="110"/>
      <c r="D639" s="107"/>
      <c r="E639" s="107" t="s">
        <v>1729</v>
      </c>
      <c r="F639" s="111"/>
      <c r="G639" s="10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</row>
    <row r="640" ht="26.25" customHeight="1">
      <c r="A640" s="104">
        <v>5.0</v>
      </c>
      <c r="B640" s="120"/>
      <c r="C640" s="110"/>
      <c r="D640" s="107"/>
      <c r="E640" s="107" t="s">
        <v>1730</v>
      </c>
      <c r="F640" s="108"/>
      <c r="G640" s="10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</row>
    <row r="641" ht="26.25" customHeight="1">
      <c r="A641" s="104">
        <v>6.0</v>
      </c>
      <c r="B641" s="120"/>
      <c r="C641" s="110"/>
      <c r="D641" s="107"/>
      <c r="E641" s="107" t="s">
        <v>1731</v>
      </c>
      <c r="F641" s="108"/>
      <c r="G641" s="10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</row>
    <row r="642" ht="26.25" customHeight="1">
      <c r="A642" s="104">
        <v>7.0</v>
      </c>
      <c r="B642" s="120"/>
      <c r="C642" s="110"/>
      <c r="D642" s="107"/>
      <c r="E642" s="107" t="s">
        <v>1732</v>
      </c>
      <c r="F642" s="108"/>
      <c r="G642" s="10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</row>
    <row r="643" ht="26.25" customHeight="1">
      <c r="A643" s="104">
        <v>8.0</v>
      </c>
      <c r="B643" s="120"/>
      <c r="C643" s="110"/>
      <c r="D643" s="107"/>
      <c r="E643" s="107" t="s">
        <v>1733</v>
      </c>
      <c r="F643" s="108"/>
      <c r="G643" s="10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</row>
    <row r="644" ht="26.25" customHeight="1">
      <c r="A644" s="104">
        <v>9.0</v>
      </c>
      <c r="B644" s="120"/>
      <c r="C644" s="110"/>
      <c r="D644" s="107"/>
      <c r="E644" s="107" t="s">
        <v>1734</v>
      </c>
      <c r="F644" s="108"/>
      <c r="G644" s="10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</row>
    <row r="645" ht="26.25" customHeight="1">
      <c r="A645" s="104">
        <v>10.0</v>
      </c>
      <c r="B645" s="120"/>
      <c r="C645" s="110"/>
      <c r="D645" s="107"/>
      <c r="E645" s="107" t="s">
        <v>1735</v>
      </c>
      <c r="F645" s="108"/>
      <c r="G645" s="10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</row>
    <row r="646" ht="26.25" customHeight="1">
      <c r="A646" s="104">
        <v>11.0</v>
      </c>
      <c r="B646" s="120"/>
      <c r="C646" s="110"/>
      <c r="D646" s="107"/>
      <c r="E646" s="107" t="s">
        <v>1736</v>
      </c>
      <c r="F646" s="108"/>
      <c r="G646" s="10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</row>
    <row r="647" ht="26.25" customHeight="1">
      <c r="A647" s="104">
        <v>12.0</v>
      </c>
      <c r="B647" s="120"/>
      <c r="C647" s="110"/>
      <c r="D647" s="107"/>
      <c r="E647" s="295" t="s">
        <v>1737</v>
      </c>
      <c r="F647" s="109"/>
      <c r="G647" s="10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</row>
    <row r="648" ht="26.25" customHeight="1">
      <c r="A648" s="104">
        <v>13.0</v>
      </c>
      <c r="B648" s="120"/>
      <c r="C648" s="110"/>
      <c r="D648" s="107"/>
      <c r="E648" s="107" t="s">
        <v>1738</v>
      </c>
      <c r="F648" s="109"/>
      <c r="G648" s="10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</row>
    <row r="649" ht="26.25" customHeight="1">
      <c r="A649" s="104">
        <v>14.0</v>
      </c>
      <c r="B649" s="120"/>
      <c r="C649" s="110"/>
      <c r="D649" s="107"/>
      <c r="E649" s="107" t="s">
        <v>1739</v>
      </c>
      <c r="F649" s="109"/>
      <c r="G649" s="10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</row>
    <row r="650" ht="26.25" customHeight="1">
      <c r="A650" s="122">
        <v>15.0</v>
      </c>
      <c r="B650" s="123"/>
      <c r="C650" s="124"/>
      <c r="D650" s="107"/>
      <c r="E650" s="125"/>
      <c r="F650" s="109"/>
      <c r="G650" s="111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</row>
    <row r="651" ht="26.25" customHeight="1">
      <c r="A651" s="112"/>
      <c r="B651" s="113"/>
      <c r="C651" s="114"/>
      <c r="D651" s="114"/>
      <c r="E651" s="280" t="s">
        <v>144</v>
      </c>
      <c r="F651" s="100"/>
      <c r="G651" s="114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</row>
    <row r="652" ht="26.25" customHeight="1">
      <c r="A652" s="115"/>
      <c r="B652" s="113"/>
      <c r="C652" s="114"/>
      <c r="D652" s="114"/>
      <c r="E652" s="99" t="s">
        <v>978</v>
      </c>
      <c r="F652" s="100">
        <v>295.0</v>
      </c>
      <c r="G652" s="114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</row>
    <row r="653" ht="26.25" customHeight="1">
      <c r="A653" s="115"/>
      <c r="B653" s="113"/>
      <c r="C653" s="114"/>
      <c r="D653" s="114"/>
      <c r="E653" s="99" t="s">
        <v>1381</v>
      </c>
      <c r="F653" s="100">
        <v>640.0</v>
      </c>
      <c r="G653" s="114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</row>
    <row r="654" ht="26.25" customHeight="1">
      <c r="A654" s="115"/>
      <c r="B654" s="113"/>
      <c r="C654" s="114"/>
      <c r="D654" s="114"/>
      <c r="E654" s="99" t="s">
        <v>1724</v>
      </c>
      <c r="F654" s="100">
        <v>480.0</v>
      </c>
      <c r="G654" s="114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</row>
    <row r="655" ht="26.25" customHeight="1">
      <c r="A655" s="115"/>
      <c r="B655" s="113"/>
      <c r="C655" s="114"/>
      <c r="D655" s="114"/>
      <c r="E655" s="99" t="s">
        <v>1382</v>
      </c>
      <c r="F655" s="100">
        <v>-185.0</v>
      </c>
      <c r="G655" s="114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</row>
    <row r="656" ht="26.25" customHeight="1">
      <c r="A656" s="58"/>
      <c r="B656" s="149"/>
      <c r="C656" s="58"/>
      <c r="D656" s="58"/>
      <c r="E656" s="58"/>
      <c r="F656" s="58"/>
      <c r="G656" s="101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</row>
    <row r="657" ht="26.25" customHeight="1">
      <c r="A657" s="58"/>
      <c r="B657" s="149"/>
      <c r="C657" s="58"/>
      <c r="D657" s="58"/>
      <c r="E657" s="58"/>
      <c r="F657" s="58"/>
      <c r="G657" s="101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</row>
    <row r="658" ht="26.25" customHeight="1">
      <c r="A658" s="58"/>
      <c r="B658" s="149"/>
      <c r="C658" s="58"/>
      <c r="D658" s="58"/>
      <c r="E658" s="58"/>
      <c r="F658" s="58"/>
      <c r="G658" s="101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</row>
    <row r="659" ht="26.25" customHeight="1">
      <c r="A659" s="58"/>
      <c r="B659" s="149"/>
      <c r="C659" s="58"/>
      <c r="D659" s="58"/>
      <c r="E659" s="58"/>
      <c r="F659" s="58"/>
      <c r="G659" s="101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</row>
    <row r="660" ht="26.25" customHeight="1">
      <c r="A660" s="58"/>
      <c r="B660" s="149"/>
      <c r="C660" s="58"/>
      <c r="D660" s="58"/>
      <c r="E660" s="58"/>
      <c r="F660" s="58"/>
      <c r="G660" s="101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</row>
    <row r="661" ht="26.25" customHeight="1">
      <c r="A661" s="58"/>
      <c r="B661" s="149"/>
      <c r="C661" s="58"/>
      <c r="D661" s="58"/>
      <c r="E661" s="58"/>
      <c r="F661" s="58"/>
      <c r="G661" s="101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</row>
    <row r="662" ht="26.25" customHeight="1">
      <c r="A662" s="58"/>
      <c r="B662" s="149"/>
      <c r="C662" s="58"/>
      <c r="D662" s="58"/>
      <c r="E662" s="58"/>
      <c r="F662" s="58"/>
      <c r="G662" s="101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</row>
    <row r="663" ht="26.25" customHeight="1">
      <c r="A663" s="58"/>
      <c r="B663" s="149"/>
      <c r="C663" s="58"/>
      <c r="D663" s="58"/>
      <c r="E663" s="58"/>
      <c r="F663" s="58"/>
      <c r="G663" s="101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</row>
    <row r="664" ht="26.25" customHeight="1">
      <c r="A664" s="58"/>
      <c r="B664" s="149"/>
      <c r="C664" s="58"/>
      <c r="D664" s="58"/>
      <c r="E664" s="58"/>
      <c r="F664" s="58"/>
      <c r="G664" s="101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</row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4" max="4" width="19.71"/>
    <col customWidth="1" min="5" max="5" width="41.14"/>
    <col customWidth="1" min="6" max="6" width="19.57"/>
    <col customWidth="1" min="7" max="7" width="23.29"/>
    <col hidden="1" min="8" max="26" width="14.43"/>
  </cols>
  <sheetData>
    <row r="1">
      <c r="A1" s="56" t="s">
        <v>4</v>
      </c>
      <c r="B1" s="56" t="s">
        <v>5</v>
      </c>
      <c r="C1" s="56" t="s">
        <v>126</v>
      </c>
      <c r="D1" s="56" t="s">
        <v>6</v>
      </c>
      <c r="E1" s="56" t="s">
        <v>7</v>
      </c>
      <c r="F1" s="56" t="s">
        <v>127</v>
      </c>
      <c r="G1" s="57" t="s">
        <v>128</v>
      </c>
    </row>
    <row r="2">
      <c r="A2" s="60">
        <v>1.0</v>
      </c>
      <c r="B2" s="61">
        <v>46100.0</v>
      </c>
      <c r="C2" s="62" t="s">
        <v>211</v>
      </c>
      <c r="D2" s="63" t="s">
        <v>1740</v>
      </c>
      <c r="E2" s="64" t="s">
        <v>1741</v>
      </c>
      <c r="F2" s="302"/>
      <c r="G2" s="65"/>
      <c r="U2" s="303"/>
    </row>
    <row r="3">
      <c r="A3" s="60">
        <v>2.0</v>
      </c>
      <c r="B3" s="66"/>
      <c r="C3" s="67"/>
      <c r="D3" s="63"/>
      <c r="E3" s="64" t="s">
        <v>1742</v>
      </c>
      <c r="F3" s="302"/>
      <c r="G3" s="69"/>
      <c r="P3" s="303"/>
    </row>
    <row r="4">
      <c r="A4" s="60">
        <v>3.0</v>
      </c>
      <c r="B4" s="66"/>
      <c r="C4" s="67"/>
      <c r="D4" s="175" t="s">
        <v>132</v>
      </c>
      <c r="E4" s="64" t="s">
        <v>1743</v>
      </c>
      <c r="F4" s="302"/>
      <c r="G4" s="69"/>
    </row>
    <row r="5">
      <c r="A5" s="60">
        <v>4.0</v>
      </c>
      <c r="B5" s="66"/>
      <c r="C5" s="67"/>
      <c r="D5" s="63"/>
      <c r="E5" s="64" t="s">
        <v>1647</v>
      </c>
      <c r="F5" s="302"/>
      <c r="G5" s="69"/>
    </row>
    <row r="6">
      <c r="A6" s="60">
        <v>5.0</v>
      </c>
      <c r="B6" s="66"/>
      <c r="C6" s="67"/>
      <c r="D6" s="63"/>
      <c r="E6" s="64" t="s">
        <v>1744</v>
      </c>
      <c r="F6" s="68"/>
      <c r="G6" s="68"/>
    </row>
    <row r="7">
      <c r="A7" s="60">
        <v>6.0</v>
      </c>
      <c r="B7" s="66"/>
      <c r="C7" s="67"/>
      <c r="D7" s="63"/>
      <c r="E7" s="64" t="s">
        <v>1745</v>
      </c>
      <c r="F7" s="65">
        <v>920.0</v>
      </c>
      <c r="G7" s="65"/>
    </row>
    <row r="8">
      <c r="A8" s="60">
        <v>7.0</v>
      </c>
      <c r="B8" s="66"/>
      <c r="C8" s="67"/>
      <c r="D8" s="63"/>
      <c r="E8" s="64" t="s">
        <v>1746</v>
      </c>
      <c r="F8" s="69"/>
      <c r="G8" s="69"/>
    </row>
    <row r="9">
      <c r="A9" s="60">
        <v>8.0</v>
      </c>
      <c r="B9" s="66"/>
      <c r="C9" s="67"/>
      <c r="D9" s="63"/>
      <c r="E9" s="64" t="s">
        <v>1747</v>
      </c>
      <c r="F9" s="69"/>
      <c r="G9" s="69"/>
    </row>
    <row r="10">
      <c r="A10" s="60">
        <v>9.0</v>
      </c>
      <c r="B10" s="66"/>
      <c r="C10" s="67"/>
      <c r="D10" s="63"/>
      <c r="E10" s="63" t="s">
        <v>1748</v>
      </c>
      <c r="F10" s="69"/>
      <c r="G10" s="69"/>
    </row>
    <row r="11">
      <c r="A11" s="60">
        <v>10.0</v>
      </c>
      <c r="B11" s="66"/>
      <c r="C11" s="67"/>
      <c r="D11" s="63"/>
      <c r="E11" s="63" t="s">
        <v>1749</v>
      </c>
      <c r="F11" s="68" t="s">
        <v>1750</v>
      </c>
      <c r="G11" s="69"/>
    </row>
    <row r="12">
      <c r="A12" s="60">
        <v>11.0</v>
      </c>
      <c r="B12" s="66"/>
      <c r="C12" s="67"/>
      <c r="D12" s="63"/>
      <c r="E12" s="63" t="s">
        <v>1751</v>
      </c>
      <c r="F12" s="69"/>
      <c r="G12" s="69"/>
    </row>
    <row r="13">
      <c r="A13" s="60">
        <v>12.0</v>
      </c>
      <c r="B13" s="66"/>
      <c r="C13" s="67"/>
      <c r="D13" s="63"/>
      <c r="E13" s="63" t="s">
        <v>1752</v>
      </c>
      <c r="F13" s="69"/>
      <c r="G13" s="69"/>
      <c r="N13" s="304"/>
    </row>
    <row r="14">
      <c r="A14" s="60">
        <v>13.0</v>
      </c>
      <c r="B14" s="66"/>
      <c r="C14" s="67"/>
      <c r="D14" s="63"/>
      <c r="E14" s="63"/>
      <c r="F14" s="69"/>
      <c r="G14" s="69"/>
      <c r="N14" s="304"/>
    </row>
    <row r="15">
      <c r="A15" s="60">
        <v>14.0</v>
      </c>
      <c r="B15" s="66"/>
      <c r="C15" s="67"/>
      <c r="D15" s="63"/>
      <c r="E15" s="70"/>
      <c r="F15" s="69"/>
      <c r="G15" s="69"/>
      <c r="N15" s="304"/>
    </row>
    <row r="16">
      <c r="A16" s="71">
        <v>15.0</v>
      </c>
      <c r="B16" s="72"/>
      <c r="C16" s="73"/>
      <c r="D16" s="63"/>
      <c r="E16" s="70"/>
      <c r="F16" s="69"/>
      <c r="G16" s="69"/>
      <c r="N16" s="304"/>
    </row>
    <row r="17">
      <c r="A17" s="74"/>
      <c r="B17" s="75"/>
      <c r="C17" s="76"/>
      <c r="D17" s="76"/>
      <c r="E17" s="77" t="s">
        <v>144</v>
      </c>
      <c r="F17" s="78"/>
      <c r="G17" s="76"/>
    </row>
    <row r="18">
      <c r="A18" s="79"/>
      <c r="B18" s="75"/>
      <c r="C18" s="76"/>
      <c r="D18" s="76"/>
      <c r="E18" s="77" t="s">
        <v>145</v>
      </c>
      <c r="F18" s="80">
        <v>4150.0</v>
      </c>
      <c r="G18" s="76"/>
    </row>
    <row r="19">
      <c r="A19" s="79"/>
      <c r="B19" s="75"/>
      <c r="C19" s="76"/>
      <c r="D19" s="76"/>
      <c r="E19" s="77" t="s">
        <v>146</v>
      </c>
      <c r="F19" s="80">
        <v>920.0</v>
      </c>
      <c r="G19" s="76"/>
    </row>
    <row r="20">
      <c r="A20" s="79"/>
      <c r="B20" s="75"/>
      <c r="C20" s="76"/>
      <c r="D20" s="76"/>
      <c r="E20" s="77" t="s">
        <v>147</v>
      </c>
      <c r="F20" s="80">
        <v>690.0</v>
      </c>
      <c r="G20" s="76"/>
    </row>
    <row r="21">
      <c r="A21" s="79"/>
      <c r="B21" s="75"/>
      <c r="C21" s="76"/>
      <c r="D21" s="76"/>
      <c r="E21" s="77" t="s">
        <v>148</v>
      </c>
      <c r="F21" s="80"/>
      <c r="G21" s="76"/>
    </row>
    <row r="22">
      <c r="A22" s="56" t="s">
        <v>4</v>
      </c>
      <c r="B22" s="56" t="s">
        <v>5</v>
      </c>
      <c r="C22" s="56" t="s">
        <v>126</v>
      </c>
      <c r="D22" s="56" t="s">
        <v>6</v>
      </c>
      <c r="E22" s="56" t="s">
        <v>7</v>
      </c>
      <c r="F22" s="56" t="s">
        <v>127</v>
      </c>
      <c r="G22" s="57" t="s">
        <v>128</v>
      </c>
    </row>
    <row r="23">
      <c r="A23" s="60">
        <v>1.0</v>
      </c>
      <c r="B23" s="61">
        <v>46104.0</v>
      </c>
      <c r="C23" s="62" t="s">
        <v>1018</v>
      </c>
      <c r="D23" s="63" t="s">
        <v>1740</v>
      </c>
      <c r="E23" s="64" t="s">
        <v>1753</v>
      </c>
      <c r="F23" s="65">
        <v>40.0</v>
      </c>
      <c r="G23" s="68" t="s">
        <v>1754</v>
      </c>
    </row>
    <row r="24">
      <c r="A24" s="60">
        <v>2.0</v>
      </c>
      <c r="B24" s="66"/>
      <c r="C24" s="67"/>
      <c r="D24" s="63"/>
      <c r="E24" s="64" t="s">
        <v>1755</v>
      </c>
      <c r="F24" s="65">
        <v>50.0</v>
      </c>
      <c r="G24" s="68" t="s">
        <v>1754</v>
      </c>
    </row>
    <row r="25">
      <c r="A25" s="60">
        <v>3.0</v>
      </c>
      <c r="B25" s="66"/>
      <c r="C25" s="67"/>
      <c r="D25" s="175" t="s">
        <v>132</v>
      </c>
      <c r="E25" s="305" t="s">
        <v>1756</v>
      </c>
      <c r="F25" s="306">
        <v>40.0</v>
      </c>
      <c r="G25" s="69"/>
    </row>
    <row r="26">
      <c r="A26" s="60">
        <v>4.0</v>
      </c>
      <c r="B26" s="66"/>
      <c r="C26" s="67"/>
      <c r="D26" s="63"/>
      <c r="E26" s="64" t="s">
        <v>1757</v>
      </c>
      <c r="F26" s="65">
        <v>70.0</v>
      </c>
      <c r="G26" s="69"/>
    </row>
    <row r="27">
      <c r="A27" s="60">
        <v>5.0</v>
      </c>
      <c r="B27" s="66"/>
      <c r="C27" s="67"/>
      <c r="D27" s="63"/>
      <c r="E27" s="64" t="s">
        <v>459</v>
      </c>
      <c r="F27" s="65" t="s">
        <v>1758</v>
      </c>
      <c r="G27" s="68"/>
    </row>
    <row r="28">
      <c r="A28" s="60">
        <v>6.0</v>
      </c>
      <c r="B28" s="66"/>
      <c r="C28" s="67"/>
      <c r="D28" s="63"/>
      <c r="E28" s="64" t="s">
        <v>1759</v>
      </c>
      <c r="F28" s="65" t="s">
        <v>1760</v>
      </c>
      <c r="G28" s="65"/>
    </row>
    <row r="29">
      <c r="A29" s="60">
        <v>7.0</v>
      </c>
      <c r="B29" s="66"/>
      <c r="C29" s="67"/>
      <c r="D29" s="63"/>
      <c r="E29" s="63" t="s">
        <v>1761</v>
      </c>
      <c r="F29" s="307" t="s">
        <v>1762</v>
      </c>
      <c r="G29" s="69"/>
    </row>
    <row r="30">
      <c r="A30" s="60">
        <v>8.0</v>
      </c>
      <c r="B30" s="66"/>
      <c r="C30" s="67"/>
      <c r="D30" s="63"/>
      <c r="E30" s="63" t="s">
        <v>1763</v>
      </c>
      <c r="F30" s="307" t="s">
        <v>1764</v>
      </c>
      <c r="G30" s="69"/>
    </row>
    <row r="31">
      <c r="A31" s="60">
        <v>9.0</v>
      </c>
      <c r="B31" s="66"/>
      <c r="C31" s="67"/>
      <c r="D31" s="63"/>
      <c r="E31" s="63" t="s">
        <v>1765</v>
      </c>
      <c r="F31" s="68" t="s">
        <v>1766</v>
      </c>
      <c r="G31" s="69"/>
    </row>
    <row r="32">
      <c r="A32" s="74"/>
      <c r="B32" s="75"/>
      <c r="C32" s="76"/>
      <c r="D32" s="76"/>
      <c r="E32" s="77" t="s">
        <v>144</v>
      </c>
      <c r="F32" s="80">
        <v>150.0</v>
      </c>
      <c r="G32" s="76"/>
    </row>
    <row r="33">
      <c r="A33" s="79"/>
      <c r="B33" s="75"/>
      <c r="C33" s="76"/>
      <c r="D33" s="76"/>
      <c r="E33" s="77" t="s">
        <v>145</v>
      </c>
      <c r="F33" s="80">
        <v>1625.0</v>
      </c>
      <c r="G33" s="76"/>
    </row>
    <row r="34">
      <c r="A34" s="79"/>
      <c r="B34" s="75"/>
      <c r="C34" s="76"/>
      <c r="D34" s="76"/>
      <c r="E34" s="77" t="s">
        <v>146</v>
      </c>
      <c r="F34" s="80">
        <v>445.0</v>
      </c>
      <c r="G34" s="308"/>
    </row>
    <row r="35">
      <c r="A35" s="79"/>
      <c r="B35" s="75"/>
      <c r="C35" s="76"/>
      <c r="D35" s="76"/>
      <c r="E35" s="77" t="s">
        <v>147</v>
      </c>
      <c r="F35" s="80">
        <v>335.0</v>
      </c>
      <c r="G35" s="76"/>
    </row>
    <row r="36">
      <c r="A36" s="79"/>
      <c r="B36" s="75"/>
      <c r="C36" s="76"/>
      <c r="D36" s="76"/>
      <c r="E36" s="77" t="s">
        <v>148</v>
      </c>
      <c r="F36" s="80">
        <v>1290.0</v>
      </c>
      <c r="G36" s="76"/>
    </row>
    <row r="37">
      <c r="A37" s="309"/>
      <c r="B37" s="309"/>
      <c r="C37" s="309"/>
      <c r="D37" s="309"/>
      <c r="E37" s="309"/>
      <c r="F37" s="309"/>
      <c r="G37" s="310"/>
    </row>
    <row r="38">
      <c r="A38" s="102" t="s">
        <v>4</v>
      </c>
      <c r="B38" s="102" t="s">
        <v>5</v>
      </c>
      <c r="C38" s="102" t="s">
        <v>126</v>
      </c>
      <c r="D38" s="102" t="s">
        <v>6</v>
      </c>
      <c r="E38" s="102" t="s">
        <v>7</v>
      </c>
      <c r="F38" s="102" t="s">
        <v>127</v>
      </c>
      <c r="G38" s="102" t="s">
        <v>128</v>
      </c>
    </row>
    <row r="39">
      <c r="A39" s="102">
        <v>1.0</v>
      </c>
      <c r="B39" s="147">
        <v>46105.0</v>
      </c>
      <c r="C39" s="148" t="s">
        <v>169</v>
      </c>
      <c r="D39" s="107" t="s">
        <v>1767</v>
      </c>
      <c r="E39" s="107" t="s">
        <v>496</v>
      </c>
      <c r="F39" s="108">
        <v>40.0</v>
      </c>
      <c r="G39" s="108"/>
    </row>
    <row r="40">
      <c r="A40" s="102">
        <v>2.0</v>
      </c>
      <c r="B40" s="123"/>
      <c r="C40" s="123"/>
      <c r="D40" s="107"/>
      <c r="E40" s="107" t="s">
        <v>75</v>
      </c>
      <c r="F40" s="108">
        <v>50.0</v>
      </c>
      <c r="G40" s="108"/>
    </row>
    <row r="41">
      <c r="A41" s="102">
        <v>3.0</v>
      </c>
      <c r="B41" s="123"/>
      <c r="C41" s="123"/>
      <c r="D41" s="107"/>
      <c r="E41" s="107" t="s">
        <v>1768</v>
      </c>
      <c r="F41" s="108">
        <v>50.0</v>
      </c>
      <c r="G41" s="108"/>
    </row>
    <row r="42">
      <c r="A42" s="102">
        <v>4.0</v>
      </c>
      <c r="B42" s="123"/>
      <c r="C42" s="123"/>
      <c r="D42" s="107"/>
      <c r="E42" s="107" t="s">
        <v>1769</v>
      </c>
      <c r="F42" s="111" t="s">
        <v>269</v>
      </c>
      <c r="G42" s="108"/>
    </row>
    <row r="43">
      <c r="A43" s="102">
        <v>5.0</v>
      </c>
      <c r="B43" s="123"/>
      <c r="C43" s="123"/>
      <c r="D43" s="107"/>
      <c r="E43" s="107" t="s">
        <v>1770</v>
      </c>
      <c r="F43" s="108">
        <v>40.0</v>
      </c>
      <c r="G43" s="108"/>
    </row>
    <row r="44">
      <c r="A44" s="102">
        <v>6.0</v>
      </c>
      <c r="B44" s="123"/>
      <c r="C44" s="123"/>
      <c r="D44" s="107"/>
      <c r="E44" s="107" t="s">
        <v>462</v>
      </c>
      <c r="F44" s="108">
        <v>40.0</v>
      </c>
      <c r="G44" s="108"/>
    </row>
    <row r="45">
      <c r="A45" s="102">
        <v>7.0</v>
      </c>
      <c r="B45" s="123"/>
      <c r="C45" s="123"/>
      <c r="D45" s="107"/>
      <c r="E45" s="107" t="s">
        <v>589</v>
      </c>
      <c r="F45" s="108">
        <v>40.0</v>
      </c>
      <c r="G45" s="108"/>
    </row>
    <row r="46">
      <c r="A46" s="102">
        <v>8.0</v>
      </c>
      <c r="B46" s="123"/>
      <c r="C46" s="123"/>
      <c r="D46" s="107"/>
      <c r="E46" s="107" t="s">
        <v>1771</v>
      </c>
      <c r="F46" s="108">
        <v>50.0</v>
      </c>
      <c r="G46" s="108"/>
    </row>
    <row r="47">
      <c r="A47" s="102">
        <v>9.0</v>
      </c>
      <c r="B47" s="123"/>
      <c r="C47" s="123"/>
      <c r="D47" s="107"/>
      <c r="E47" s="107"/>
      <c r="F47" s="108"/>
      <c r="G47" s="108"/>
    </row>
    <row r="48">
      <c r="A48" s="102">
        <v>10.0</v>
      </c>
      <c r="B48" s="123"/>
      <c r="C48" s="123"/>
      <c r="D48" s="107"/>
      <c r="E48" s="107"/>
      <c r="F48" s="108"/>
      <c r="G48" s="108"/>
    </row>
    <row r="49">
      <c r="A49" s="102">
        <v>11.0</v>
      </c>
      <c r="B49" s="123"/>
      <c r="C49" s="123"/>
      <c r="D49" s="107"/>
      <c r="E49" s="107"/>
      <c r="F49" s="108"/>
      <c r="G49" s="108"/>
    </row>
    <row r="50">
      <c r="A50" s="102">
        <v>12.0</v>
      </c>
      <c r="B50" s="123"/>
      <c r="C50" s="123"/>
      <c r="D50" s="107"/>
      <c r="E50" s="107"/>
      <c r="F50" s="108"/>
      <c r="G50" s="108"/>
    </row>
    <row r="51">
      <c r="A51" s="102">
        <v>13.0</v>
      </c>
      <c r="B51" s="123"/>
      <c r="C51" s="123"/>
      <c r="D51" s="107"/>
      <c r="E51" s="107"/>
      <c r="F51" s="108"/>
      <c r="G51" s="108"/>
    </row>
    <row r="52">
      <c r="A52" s="102">
        <v>14.0</v>
      </c>
      <c r="B52" s="123"/>
      <c r="C52" s="123"/>
      <c r="D52" s="107"/>
      <c r="E52" s="107"/>
      <c r="F52" s="108"/>
      <c r="G52" s="108"/>
    </row>
    <row r="53">
      <c r="A53" s="102">
        <v>15.0</v>
      </c>
      <c r="B53" s="123"/>
      <c r="C53" s="123"/>
      <c r="D53" s="107"/>
      <c r="E53" s="107"/>
      <c r="F53" s="108"/>
      <c r="G53" s="108"/>
    </row>
    <row r="54">
      <c r="A54" s="58"/>
      <c r="B54" s="149"/>
      <c r="C54" s="58"/>
      <c r="D54" s="58"/>
      <c r="E54" s="102" t="s">
        <v>144</v>
      </c>
      <c r="F54" s="150">
        <v>1500.0</v>
      </c>
      <c r="G54" s="58"/>
    </row>
    <row r="55">
      <c r="A55" s="58"/>
      <c r="B55" s="149"/>
      <c r="C55" s="58"/>
      <c r="D55" s="58"/>
      <c r="E55" s="102" t="s">
        <v>145</v>
      </c>
      <c r="F55" s="150">
        <v>1785.0</v>
      </c>
      <c r="G55" s="58"/>
    </row>
    <row r="56">
      <c r="A56" s="58"/>
      <c r="B56" s="149"/>
      <c r="C56" s="58"/>
      <c r="D56" s="58"/>
      <c r="E56" s="102" t="s">
        <v>146</v>
      </c>
      <c r="F56" s="150">
        <v>345.0</v>
      </c>
      <c r="G56" s="58"/>
    </row>
    <row r="57">
      <c r="A57" s="58"/>
      <c r="B57" s="149"/>
      <c r="C57" s="58"/>
      <c r="D57" s="58"/>
      <c r="E57" s="102" t="s">
        <v>147</v>
      </c>
      <c r="F57" s="150">
        <v>260.0</v>
      </c>
      <c r="G57" s="58"/>
    </row>
    <row r="58">
      <c r="A58" s="58"/>
      <c r="B58" s="149"/>
      <c r="C58" s="58"/>
      <c r="D58" s="58"/>
      <c r="E58" s="102" t="s">
        <v>148</v>
      </c>
      <c r="F58" s="150">
        <v>1525.0</v>
      </c>
      <c r="G58" s="58"/>
    </row>
    <row r="59">
      <c r="A59" s="115"/>
      <c r="B59" s="113"/>
      <c r="C59" s="114"/>
      <c r="D59" s="114"/>
      <c r="E59" s="146"/>
      <c r="F59" s="146"/>
      <c r="G59" s="114"/>
    </row>
    <row r="60">
      <c r="A60" s="102" t="s">
        <v>4</v>
      </c>
      <c r="B60" s="102" t="s">
        <v>5</v>
      </c>
      <c r="C60" s="102" t="s">
        <v>126</v>
      </c>
      <c r="D60" s="102" t="s">
        <v>6</v>
      </c>
      <c r="E60" s="102" t="s">
        <v>7</v>
      </c>
      <c r="F60" s="102" t="s">
        <v>127</v>
      </c>
      <c r="G60" s="102" t="s">
        <v>128</v>
      </c>
    </row>
    <row r="61">
      <c r="A61" s="102">
        <v>1.0</v>
      </c>
      <c r="B61" s="147">
        <v>46106.0</v>
      </c>
      <c r="C61" s="148" t="s">
        <v>299</v>
      </c>
      <c r="D61" s="107" t="s">
        <v>1609</v>
      </c>
      <c r="E61" s="107" t="s">
        <v>1772</v>
      </c>
      <c r="F61" s="108"/>
      <c r="G61" s="108"/>
    </row>
    <row r="62">
      <c r="A62" s="102">
        <v>2.0</v>
      </c>
      <c r="B62" s="123"/>
      <c r="C62" s="123"/>
      <c r="D62" s="107"/>
      <c r="E62" s="107" t="s">
        <v>1773</v>
      </c>
      <c r="F62" s="108"/>
      <c r="G62" s="108"/>
    </row>
    <row r="63">
      <c r="A63" s="102">
        <v>3.0</v>
      </c>
      <c r="B63" s="123"/>
      <c r="C63" s="123"/>
      <c r="D63" s="107"/>
      <c r="E63" s="107"/>
      <c r="F63" s="108"/>
      <c r="G63" s="108"/>
    </row>
    <row r="64">
      <c r="A64" s="102">
        <v>4.0</v>
      </c>
      <c r="B64" s="123"/>
      <c r="C64" s="123"/>
      <c r="D64" s="107"/>
      <c r="E64" s="107"/>
      <c r="F64" s="108"/>
      <c r="G64" s="108"/>
    </row>
    <row r="65">
      <c r="A65" s="102">
        <v>5.0</v>
      </c>
      <c r="B65" s="123"/>
      <c r="C65" s="123"/>
      <c r="D65" s="107"/>
      <c r="E65" s="107"/>
      <c r="F65" s="108"/>
      <c r="G65" s="108"/>
    </row>
    <row r="66">
      <c r="A66" s="102">
        <v>6.0</v>
      </c>
      <c r="B66" s="123"/>
      <c r="C66" s="123"/>
      <c r="D66" s="107"/>
      <c r="E66" s="107"/>
      <c r="F66" s="108"/>
      <c r="G66" s="108"/>
    </row>
    <row r="67">
      <c r="A67" s="102">
        <v>7.0</v>
      </c>
      <c r="B67" s="123"/>
      <c r="C67" s="123"/>
      <c r="D67" s="107"/>
      <c r="E67" s="107"/>
      <c r="F67" s="108"/>
      <c r="G67" s="108"/>
    </row>
    <row r="68">
      <c r="A68" s="102">
        <v>8.0</v>
      </c>
      <c r="B68" s="123"/>
      <c r="C68" s="123"/>
      <c r="D68" s="107"/>
      <c r="E68" s="107"/>
      <c r="F68" s="108"/>
      <c r="G68" s="108"/>
    </row>
    <row r="69">
      <c r="A69" s="102">
        <v>9.0</v>
      </c>
      <c r="B69" s="123"/>
      <c r="C69" s="123"/>
      <c r="D69" s="107"/>
      <c r="E69" s="107"/>
      <c r="F69" s="108"/>
      <c r="G69" s="108"/>
    </row>
    <row r="70">
      <c r="A70" s="102">
        <v>10.0</v>
      </c>
      <c r="B70" s="123"/>
      <c r="C70" s="123"/>
      <c r="D70" s="107"/>
      <c r="E70" s="107"/>
      <c r="F70" s="108"/>
      <c r="G70" s="108"/>
    </row>
    <row r="71">
      <c r="A71" s="102">
        <v>11.0</v>
      </c>
      <c r="B71" s="123"/>
      <c r="C71" s="123"/>
      <c r="D71" s="107"/>
      <c r="E71" s="107"/>
      <c r="F71" s="108"/>
      <c r="G71" s="108"/>
    </row>
    <row r="72">
      <c r="A72" s="102">
        <v>12.0</v>
      </c>
      <c r="B72" s="123"/>
      <c r="C72" s="123"/>
      <c r="D72" s="107"/>
      <c r="E72" s="107"/>
      <c r="F72" s="108"/>
      <c r="G72" s="108"/>
    </row>
    <row r="73">
      <c r="A73" s="102">
        <v>13.0</v>
      </c>
      <c r="B73" s="123"/>
      <c r="C73" s="123"/>
      <c r="D73" s="107"/>
      <c r="E73" s="107"/>
      <c r="F73" s="108"/>
      <c r="G73" s="108"/>
    </row>
    <row r="74">
      <c r="A74" s="102">
        <v>14.0</v>
      </c>
      <c r="B74" s="123"/>
      <c r="C74" s="123"/>
      <c r="D74" s="107"/>
      <c r="E74" s="107"/>
      <c r="F74" s="108"/>
      <c r="G74" s="108"/>
    </row>
    <row r="75">
      <c r="A75" s="102">
        <v>15.0</v>
      </c>
      <c r="B75" s="123"/>
      <c r="C75" s="123"/>
      <c r="D75" s="107"/>
      <c r="E75" s="107"/>
      <c r="F75" s="108"/>
      <c r="G75" s="108"/>
    </row>
    <row r="76">
      <c r="A76" s="58"/>
      <c r="B76" s="149"/>
      <c r="C76" s="58"/>
      <c r="D76" s="58"/>
      <c r="E76" s="102" t="s">
        <v>144</v>
      </c>
      <c r="F76" s="102"/>
      <c r="G76" s="58"/>
    </row>
    <row r="77">
      <c r="A77" s="58"/>
      <c r="B77" s="149"/>
      <c r="C77" s="58"/>
      <c r="D77" s="58"/>
      <c r="E77" s="102" t="s">
        <v>145</v>
      </c>
      <c r="F77" s="150">
        <v>2025.0</v>
      </c>
      <c r="G77" s="58"/>
    </row>
    <row r="78">
      <c r="A78" s="58"/>
      <c r="B78" s="149"/>
      <c r="C78" s="58"/>
      <c r="D78" s="58"/>
      <c r="E78" s="102" t="s">
        <v>146</v>
      </c>
      <c r="F78" s="150">
        <v>160.0</v>
      </c>
      <c r="G78" s="58"/>
    </row>
    <row r="79">
      <c r="A79" s="58"/>
      <c r="B79" s="149"/>
      <c r="C79" s="58"/>
      <c r="D79" s="58"/>
      <c r="E79" s="102" t="s">
        <v>147</v>
      </c>
      <c r="F79" s="150">
        <v>120.0</v>
      </c>
      <c r="G79" s="58"/>
    </row>
    <row r="80">
      <c r="A80" s="58"/>
      <c r="B80" s="149"/>
      <c r="C80" s="58"/>
      <c r="D80" s="58"/>
      <c r="E80" s="102" t="s">
        <v>148</v>
      </c>
      <c r="F80" s="150">
        <v>1905.0</v>
      </c>
      <c r="G80" s="58"/>
    </row>
    <row r="81">
      <c r="A81" s="102" t="s">
        <v>4</v>
      </c>
      <c r="B81" s="102" t="s">
        <v>5</v>
      </c>
      <c r="C81" s="102" t="s">
        <v>126</v>
      </c>
      <c r="D81" s="102" t="s">
        <v>6</v>
      </c>
      <c r="E81" s="102" t="s">
        <v>7</v>
      </c>
      <c r="F81" s="102" t="s">
        <v>127</v>
      </c>
      <c r="G81" s="102" t="s">
        <v>128</v>
      </c>
    </row>
    <row r="82">
      <c r="A82" s="102">
        <v>1.0</v>
      </c>
      <c r="B82" s="147">
        <v>46107.0</v>
      </c>
      <c r="C82" s="148" t="s">
        <v>310</v>
      </c>
      <c r="D82" s="107" t="s">
        <v>1609</v>
      </c>
      <c r="E82" s="107" t="s">
        <v>1774</v>
      </c>
      <c r="F82" s="108"/>
      <c r="G82" s="108"/>
    </row>
    <row r="83">
      <c r="A83" s="102">
        <v>2.0</v>
      </c>
      <c r="B83" s="123"/>
      <c r="C83" s="123"/>
      <c r="D83" s="107"/>
      <c r="E83" s="107" t="s">
        <v>1775</v>
      </c>
      <c r="F83" s="108"/>
      <c r="G83" s="108"/>
    </row>
    <row r="84">
      <c r="A84" s="102">
        <v>3.0</v>
      </c>
      <c r="B84" s="123"/>
      <c r="C84" s="123"/>
      <c r="D84" s="107"/>
      <c r="E84" s="107"/>
      <c r="F84" s="108"/>
      <c r="G84" s="108"/>
    </row>
    <row r="85">
      <c r="A85" s="102">
        <v>4.0</v>
      </c>
      <c r="B85" s="123"/>
      <c r="C85" s="123"/>
      <c r="D85" s="107"/>
      <c r="E85" s="107"/>
      <c r="F85" s="108"/>
      <c r="G85" s="108"/>
    </row>
    <row r="86">
      <c r="A86" s="102">
        <v>5.0</v>
      </c>
      <c r="B86" s="123"/>
      <c r="C86" s="123"/>
      <c r="D86" s="107"/>
      <c r="E86" s="107"/>
      <c r="F86" s="108"/>
      <c r="G86" s="108"/>
    </row>
    <row r="87">
      <c r="A87" s="102">
        <v>6.0</v>
      </c>
      <c r="B87" s="123"/>
      <c r="C87" s="123"/>
      <c r="D87" s="107"/>
      <c r="E87" s="107"/>
      <c r="F87" s="108"/>
      <c r="G87" s="108"/>
    </row>
    <row r="88">
      <c r="A88" s="102">
        <v>7.0</v>
      </c>
      <c r="B88" s="123"/>
      <c r="C88" s="123"/>
      <c r="D88" s="107"/>
      <c r="E88" s="107"/>
      <c r="F88" s="108"/>
      <c r="G88" s="108"/>
    </row>
    <row r="89">
      <c r="A89" s="102">
        <v>8.0</v>
      </c>
      <c r="B89" s="123"/>
      <c r="C89" s="123"/>
      <c r="D89" s="107"/>
      <c r="E89" s="107"/>
      <c r="F89" s="108"/>
      <c r="G89" s="108"/>
    </row>
    <row r="90">
      <c r="A90" s="102">
        <v>9.0</v>
      </c>
      <c r="B90" s="123"/>
      <c r="C90" s="123"/>
      <c r="D90" s="107"/>
      <c r="E90" s="107"/>
      <c r="F90" s="108"/>
      <c r="G90" s="108"/>
    </row>
    <row r="91">
      <c r="A91" s="102">
        <v>10.0</v>
      </c>
      <c r="B91" s="123"/>
      <c r="C91" s="123"/>
      <c r="D91" s="107"/>
      <c r="E91" s="107"/>
      <c r="F91" s="108"/>
      <c r="G91" s="108"/>
    </row>
    <row r="92">
      <c r="A92" s="102">
        <v>11.0</v>
      </c>
      <c r="B92" s="123"/>
      <c r="C92" s="123"/>
      <c r="D92" s="107"/>
      <c r="E92" s="107"/>
      <c r="F92" s="108"/>
      <c r="G92" s="108"/>
    </row>
    <row r="93">
      <c r="A93" s="102">
        <v>12.0</v>
      </c>
      <c r="B93" s="123"/>
      <c r="C93" s="123"/>
      <c r="D93" s="107"/>
      <c r="E93" s="107"/>
      <c r="F93" s="108"/>
      <c r="G93" s="108"/>
    </row>
    <row r="94">
      <c r="A94" s="102">
        <v>13.0</v>
      </c>
      <c r="B94" s="123"/>
      <c r="C94" s="123"/>
      <c r="D94" s="107"/>
      <c r="E94" s="107"/>
      <c r="F94" s="108"/>
      <c r="G94" s="108"/>
    </row>
    <row r="95">
      <c r="A95" s="102">
        <v>14.0</v>
      </c>
      <c r="B95" s="123"/>
      <c r="C95" s="123"/>
      <c r="D95" s="107"/>
      <c r="E95" s="107"/>
      <c r="F95" s="108"/>
      <c r="G95" s="108"/>
    </row>
    <row r="96">
      <c r="A96" s="102">
        <v>15.0</v>
      </c>
      <c r="B96" s="123"/>
      <c r="C96" s="123"/>
      <c r="D96" s="107"/>
      <c r="E96" s="107"/>
      <c r="F96" s="108"/>
      <c r="G96" s="108"/>
    </row>
    <row r="97">
      <c r="A97" s="58"/>
      <c r="B97" s="149"/>
      <c r="C97" s="58"/>
      <c r="D97" s="58"/>
      <c r="E97" s="102" t="s">
        <v>144</v>
      </c>
      <c r="F97" s="150">
        <v>1905.0</v>
      </c>
      <c r="G97" s="58"/>
    </row>
    <row r="98">
      <c r="A98" s="58"/>
      <c r="B98" s="149"/>
      <c r="C98" s="58"/>
      <c r="D98" s="58"/>
      <c r="E98" s="102" t="s">
        <v>145</v>
      </c>
      <c r="F98" s="150">
        <v>2840.0</v>
      </c>
      <c r="G98" s="58"/>
    </row>
    <row r="99">
      <c r="A99" s="58"/>
      <c r="B99" s="149"/>
      <c r="C99" s="58"/>
      <c r="D99" s="58"/>
      <c r="E99" s="102" t="s">
        <v>146</v>
      </c>
      <c r="F99" s="150">
        <v>200.0</v>
      </c>
      <c r="G99" s="58"/>
    </row>
    <row r="100">
      <c r="A100" s="58"/>
      <c r="B100" s="149"/>
      <c r="C100" s="58"/>
      <c r="D100" s="58"/>
      <c r="E100" s="102" t="s">
        <v>147</v>
      </c>
      <c r="F100" s="150">
        <v>150.0</v>
      </c>
      <c r="G100" s="58"/>
    </row>
    <row r="101">
      <c r="A101" s="58"/>
      <c r="B101" s="149"/>
      <c r="C101" s="58"/>
      <c r="D101" s="58"/>
      <c r="E101" s="102" t="s">
        <v>148</v>
      </c>
      <c r="F101" s="150">
        <v>2690.0</v>
      </c>
      <c r="G101" s="58"/>
    </row>
    <row r="102">
      <c r="A102" s="311"/>
      <c r="B102" s="311"/>
      <c r="C102" s="311"/>
      <c r="D102" s="311"/>
      <c r="E102" s="311"/>
      <c r="F102" s="311"/>
      <c r="G102" s="311"/>
    </row>
    <row r="103">
      <c r="A103" s="102" t="s">
        <v>4</v>
      </c>
      <c r="B103" s="102" t="s">
        <v>5</v>
      </c>
      <c r="C103" s="102" t="s">
        <v>126</v>
      </c>
      <c r="D103" s="102" t="s">
        <v>6</v>
      </c>
      <c r="E103" s="102" t="s">
        <v>7</v>
      </c>
      <c r="F103" s="102" t="s">
        <v>127</v>
      </c>
      <c r="G103" s="102" t="s">
        <v>128</v>
      </c>
    </row>
    <row r="104">
      <c r="A104" s="102">
        <v>1.0</v>
      </c>
      <c r="B104" s="147">
        <v>46108.0</v>
      </c>
      <c r="C104" s="148" t="s">
        <v>470</v>
      </c>
      <c r="D104" s="107" t="s">
        <v>577</v>
      </c>
      <c r="E104" s="107" t="s">
        <v>1776</v>
      </c>
      <c r="F104" s="108"/>
      <c r="G104" s="108"/>
    </row>
    <row r="105">
      <c r="A105" s="102">
        <v>2.0</v>
      </c>
      <c r="B105" s="123"/>
      <c r="C105" s="123"/>
      <c r="D105" s="107" t="s">
        <v>1777</v>
      </c>
      <c r="E105" s="127">
        <v>40.0</v>
      </c>
      <c r="F105" s="108"/>
      <c r="G105" s="108"/>
    </row>
    <row r="106">
      <c r="A106" s="102">
        <v>3.0</v>
      </c>
      <c r="B106" s="123"/>
      <c r="C106" s="123"/>
      <c r="D106" s="107" t="s">
        <v>262</v>
      </c>
      <c r="E106" s="127" t="s">
        <v>1778</v>
      </c>
      <c r="F106" s="108"/>
      <c r="G106" s="111" t="s">
        <v>1779</v>
      </c>
    </row>
    <row r="107">
      <c r="A107" s="102">
        <v>4.0</v>
      </c>
      <c r="B107" s="123"/>
      <c r="C107" s="123"/>
      <c r="D107" s="107" t="s">
        <v>1780</v>
      </c>
      <c r="E107" s="107" t="s">
        <v>1781</v>
      </c>
      <c r="F107" s="108"/>
      <c r="G107" s="108"/>
    </row>
    <row r="108">
      <c r="A108" s="102">
        <v>5.0</v>
      </c>
      <c r="B108" s="123"/>
      <c r="C108" s="123"/>
      <c r="D108" s="107" t="s">
        <v>539</v>
      </c>
      <c r="E108" s="127" t="s">
        <v>1782</v>
      </c>
      <c r="F108" s="108"/>
      <c r="G108" s="108"/>
    </row>
    <row r="109">
      <c r="A109" s="102">
        <v>6.0</v>
      </c>
      <c r="B109" s="123"/>
      <c r="C109" s="123"/>
      <c r="D109" s="107"/>
      <c r="E109" s="107" t="s">
        <v>1783</v>
      </c>
      <c r="F109" s="108"/>
      <c r="G109" s="108"/>
    </row>
    <row r="110">
      <c r="A110" s="102">
        <v>7.0</v>
      </c>
      <c r="B110" s="123"/>
      <c r="C110" s="123"/>
      <c r="D110" s="107"/>
      <c r="E110" s="107"/>
      <c r="F110" s="108"/>
      <c r="G110" s="108"/>
    </row>
    <row r="111">
      <c r="A111" s="102">
        <v>8.0</v>
      </c>
      <c r="B111" s="123"/>
      <c r="C111" s="123"/>
      <c r="D111" s="107"/>
      <c r="E111" s="107"/>
      <c r="F111" s="108"/>
      <c r="G111" s="108"/>
    </row>
    <row r="112">
      <c r="A112" s="102">
        <v>9.0</v>
      </c>
      <c r="B112" s="123"/>
      <c r="C112" s="123"/>
      <c r="D112" s="107"/>
      <c r="E112" s="107"/>
      <c r="F112" s="108"/>
      <c r="G112" s="108"/>
    </row>
    <row r="113">
      <c r="A113" s="102">
        <v>10.0</v>
      </c>
      <c r="B113" s="123"/>
      <c r="C113" s="123"/>
      <c r="D113" s="107"/>
      <c r="E113" s="107"/>
      <c r="F113" s="108"/>
      <c r="G113" s="108"/>
    </row>
    <row r="114">
      <c r="A114" s="102">
        <v>11.0</v>
      </c>
      <c r="B114" s="123"/>
      <c r="C114" s="123"/>
      <c r="D114" s="107"/>
      <c r="E114" s="107"/>
      <c r="F114" s="108"/>
      <c r="G114" s="108"/>
    </row>
    <row r="115">
      <c r="A115" s="102">
        <v>12.0</v>
      </c>
      <c r="B115" s="123"/>
      <c r="C115" s="123"/>
      <c r="D115" s="107"/>
      <c r="E115" s="107"/>
      <c r="F115" s="108"/>
      <c r="G115" s="108"/>
    </row>
    <row r="116">
      <c r="A116" s="102">
        <v>13.0</v>
      </c>
      <c r="B116" s="123"/>
      <c r="C116" s="123"/>
      <c r="D116" s="107"/>
      <c r="E116" s="107"/>
      <c r="F116" s="108"/>
      <c r="G116" s="108"/>
    </row>
    <row r="117">
      <c r="A117" s="102">
        <v>14.0</v>
      </c>
      <c r="B117" s="123"/>
      <c r="C117" s="123"/>
      <c r="D117" s="107"/>
      <c r="E117" s="107"/>
      <c r="F117" s="108"/>
      <c r="G117" s="108"/>
    </row>
    <row r="118">
      <c r="A118" s="102">
        <v>15.0</v>
      </c>
      <c r="B118" s="123"/>
      <c r="C118" s="123"/>
      <c r="D118" s="107"/>
      <c r="E118" s="107"/>
      <c r="F118" s="108"/>
      <c r="G118" s="108"/>
    </row>
    <row r="119">
      <c r="A119" s="58"/>
      <c r="B119" s="149"/>
      <c r="C119" s="58"/>
      <c r="D119" s="58"/>
      <c r="E119" s="102" t="s">
        <v>144</v>
      </c>
      <c r="F119" s="150">
        <v>2690.0</v>
      </c>
      <c r="G119" s="58"/>
    </row>
    <row r="120">
      <c r="A120" s="58"/>
      <c r="B120" s="149"/>
      <c r="C120" s="58"/>
      <c r="D120" s="58"/>
      <c r="E120" s="102" t="s">
        <v>145</v>
      </c>
      <c r="F120" s="150">
        <v>6200.0</v>
      </c>
      <c r="G120" s="157"/>
    </row>
    <row r="121">
      <c r="A121" s="58"/>
      <c r="B121" s="149"/>
      <c r="C121" s="58"/>
      <c r="D121" s="58"/>
      <c r="E121" s="102" t="s">
        <v>146</v>
      </c>
      <c r="F121" s="150">
        <v>370.0</v>
      </c>
      <c r="G121" s="58"/>
    </row>
    <row r="122">
      <c r="A122" s="58"/>
      <c r="B122" s="149"/>
      <c r="C122" s="58"/>
      <c r="D122" s="58"/>
      <c r="E122" s="102" t="s">
        <v>147</v>
      </c>
      <c r="F122" s="151" t="s">
        <v>1784</v>
      </c>
      <c r="G122" s="58"/>
    </row>
    <row r="123">
      <c r="A123" s="58"/>
      <c r="B123" s="149"/>
      <c r="C123" s="58"/>
      <c r="D123" s="58"/>
      <c r="E123" s="102" t="s">
        <v>148</v>
      </c>
      <c r="F123" s="150">
        <v>3230.0</v>
      </c>
      <c r="G123" s="58"/>
    </row>
    <row r="125">
      <c r="A125" s="102" t="s">
        <v>4</v>
      </c>
      <c r="B125" s="102" t="s">
        <v>5</v>
      </c>
      <c r="C125" s="102" t="s">
        <v>126</v>
      </c>
      <c r="D125" s="102" t="s">
        <v>6</v>
      </c>
      <c r="E125" s="102" t="s">
        <v>7</v>
      </c>
      <c r="F125" s="102" t="s">
        <v>127</v>
      </c>
      <c r="G125" s="102" t="s">
        <v>128</v>
      </c>
    </row>
    <row r="126">
      <c r="A126" s="102">
        <v>1.0</v>
      </c>
      <c r="B126" s="147">
        <v>46109.0</v>
      </c>
      <c r="C126" s="148" t="s">
        <v>341</v>
      </c>
      <c r="D126" s="107"/>
      <c r="E126" s="107" t="s">
        <v>1148</v>
      </c>
      <c r="F126" s="108">
        <v>60.0</v>
      </c>
      <c r="G126" s="111"/>
    </row>
    <row r="127">
      <c r="A127" s="102">
        <v>2.0</v>
      </c>
      <c r="B127" s="123"/>
      <c r="C127" s="123"/>
      <c r="D127" s="107"/>
      <c r="E127" s="107" t="s">
        <v>1785</v>
      </c>
      <c r="F127" s="108">
        <v>40.0</v>
      </c>
      <c r="G127" s="108"/>
    </row>
    <row r="128">
      <c r="A128" s="102">
        <v>3.0</v>
      </c>
      <c r="B128" s="123"/>
      <c r="C128" s="123"/>
      <c r="D128" s="107"/>
      <c r="E128" s="107"/>
      <c r="F128" s="111"/>
      <c r="G128" s="108"/>
    </row>
    <row r="129">
      <c r="A129" s="102">
        <v>4.0</v>
      </c>
      <c r="B129" s="123"/>
      <c r="C129" s="123"/>
      <c r="D129" s="107"/>
      <c r="E129" s="107"/>
      <c r="F129" s="108"/>
      <c r="G129" s="108"/>
    </row>
    <row r="130">
      <c r="A130" s="102">
        <v>5.0</v>
      </c>
      <c r="B130" s="123"/>
      <c r="C130" s="123"/>
      <c r="D130" s="107"/>
      <c r="E130" s="107"/>
      <c r="F130" s="111"/>
      <c r="G130" s="108"/>
    </row>
    <row r="131">
      <c r="A131" s="102">
        <v>6.0</v>
      </c>
      <c r="B131" s="123"/>
      <c r="C131" s="123"/>
      <c r="D131" s="107"/>
      <c r="E131" s="107"/>
      <c r="F131" s="111"/>
      <c r="G131" s="108"/>
    </row>
    <row r="132">
      <c r="A132" s="102">
        <v>7.0</v>
      </c>
      <c r="B132" s="123"/>
      <c r="C132" s="123"/>
      <c r="D132" s="107"/>
      <c r="E132" s="107"/>
      <c r="F132" s="108"/>
      <c r="G132" s="108"/>
    </row>
    <row r="133">
      <c r="A133" s="102">
        <v>8.0</v>
      </c>
      <c r="B133" s="123"/>
      <c r="C133" s="123"/>
      <c r="D133" s="107"/>
      <c r="E133" s="107"/>
      <c r="F133" s="108"/>
      <c r="G133" s="108"/>
    </row>
    <row r="134">
      <c r="A134" s="102">
        <v>9.0</v>
      </c>
      <c r="B134" s="123"/>
      <c r="C134" s="123"/>
      <c r="D134" s="107"/>
      <c r="E134" s="107"/>
      <c r="F134" s="108"/>
      <c r="G134" s="108"/>
    </row>
    <row r="135">
      <c r="A135" s="102">
        <v>10.0</v>
      </c>
      <c r="B135" s="123"/>
      <c r="C135" s="123"/>
      <c r="D135" s="107"/>
      <c r="E135" s="107"/>
      <c r="F135" s="108"/>
      <c r="G135" s="108"/>
    </row>
    <row r="136">
      <c r="A136" s="102">
        <v>11.0</v>
      </c>
      <c r="B136" s="123"/>
      <c r="C136" s="123"/>
      <c r="D136" s="107"/>
      <c r="E136" s="107"/>
      <c r="F136" s="108"/>
      <c r="G136" s="108"/>
    </row>
    <row r="137">
      <c r="A137" s="102">
        <v>12.0</v>
      </c>
      <c r="B137" s="123"/>
      <c r="C137" s="123"/>
      <c r="D137" s="107"/>
      <c r="E137" s="107"/>
      <c r="F137" s="108"/>
      <c r="G137" s="108"/>
    </row>
    <row r="138">
      <c r="A138" s="102">
        <v>13.0</v>
      </c>
      <c r="B138" s="123"/>
      <c r="C138" s="123"/>
      <c r="D138" s="107"/>
      <c r="E138" s="107"/>
      <c r="F138" s="111"/>
      <c r="G138" s="108"/>
    </row>
    <row r="139">
      <c r="A139" s="102">
        <v>14.0</v>
      </c>
      <c r="B139" s="123"/>
      <c r="C139" s="123"/>
      <c r="D139" s="107"/>
      <c r="E139" s="107"/>
      <c r="F139" s="108"/>
      <c r="G139" s="108"/>
    </row>
    <row r="140">
      <c r="A140" s="102">
        <v>15.0</v>
      </c>
      <c r="B140" s="123"/>
      <c r="C140" s="123"/>
      <c r="D140" s="107"/>
      <c r="E140" s="107"/>
      <c r="F140" s="108"/>
      <c r="G140" s="108"/>
    </row>
    <row r="141">
      <c r="A141" s="58"/>
      <c r="B141" s="149"/>
      <c r="C141" s="58"/>
      <c r="D141" s="58"/>
      <c r="E141" s="102" t="s">
        <v>144</v>
      </c>
      <c r="F141" s="150"/>
      <c r="G141" s="58"/>
    </row>
    <row r="142">
      <c r="A142" s="58"/>
      <c r="B142" s="149"/>
      <c r="C142" s="58"/>
      <c r="D142" s="58"/>
      <c r="E142" s="102" t="s">
        <v>145</v>
      </c>
      <c r="F142" s="150">
        <v>100.0</v>
      </c>
      <c r="G142" s="58"/>
    </row>
    <row r="143">
      <c r="A143" s="58"/>
      <c r="B143" s="149"/>
      <c r="C143" s="58"/>
      <c r="D143" s="58"/>
      <c r="E143" s="102" t="s">
        <v>146</v>
      </c>
      <c r="F143" s="150">
        <v>100.0</v>
      </c>
      <c r="G143" s="58"/>
    </row>
    <row r="144">
      <c r="A144" s="58"/>
      <c r="B144" s="149"/>
      <c r="C144" s="58"/>
      <c r="D144" s="58"/>
      <c r="E144" s="102" t="s">
        <v>147</v>
      </c>
      <c r="F144" s="150">
        <v>75.0</v>
      </c>
      <c r="G144" s="58"/>
    </row>
    <row r="145">
      <c r="A145" s="58"/>
      <c r="B145" s="149"/>
      <c r="C145" s="58"/>
      <c r="D145" s="58"/>
      <c r="E145" s="102" t="s">
        <v>148</v>
      </c>
      <c r="F145" s="150">
        <v>25.0</v>
      </c>
      <c r="G145" s="58"/>
    </row>
    <row r="147">
      <c r="A147" s="102" t="s">
        <v>4</v>
      </c>
      <c r="B147" s="102" t="s">
        <v>5</v>
      </c>
      <c r="C147" s="102" t="s">
        <v>126</v>
      </c>
      <c r="D147" s="102" t="s">
        <v>6</v>
      </c>
      <c r="E147" s="102" t="s">
        <v>7</v>
      </c>
      <c r="F147" s="102" t="s">
        <v>127</v>
      </c>
      <c r="G147" s="102" t="s">
        <v>128</v>
      </c>
    </row>
    <row r="148">
      <c r="A148" s="102">
        <v>1.0</v>
      </c>
      <c r="B148" s="147">
        <v>46110.0</v>
      </c>
      <c r="C148" s="148" t="s">
        <v>561</v>
      </c>
      <c r="D148" s="107" t="s">
        <v>1609</v>
      </c>
      <c r="E148" s="107"/>
      <c r="F148" s="108"/>
      <c r="G148" s="111"/>
    </row>
    <row r="149">
      <c r="A149" s="102">
        <v>2.0</v>
      </c>
      <c r="B149" s="123"/>
      <c r="C149" s="123"/>
      <c r="D149" s="107"/>
      <c r="E149" s="107" t="s">
        <v>1786</v>
      </c>
      <c r="F149" s="108"/>
      <c r="G149" s="108"/>
    </row>
    <row r="150">
      <c r="A150" s="102">
        <v>3.0</v>
      </c>
      <c r="B150" s="123"/>
      <c r="C150" s="123"/>
      <c r="D150" s="107"/>
      <c r="E150" s="107" t="s">
        <v>1787</v>
      </c>
      <c r="F150" s="111"/>
      <c r="G150" s="108"/>
    </row>
    <row r="151">
      <c r="A151" s="102">
        <v>4.0</v>
      </c>
      <c r="B151" s="123"/>
      <c r="C151" s="123"/>
      <c r="D151" s="107"/>
      <c r="E151" s="107" t="s">
        <v>1788</v>
      </c>
      <c r="F151" s="108"/>
      <c r="G151" s="108"/>
    </row>
    <row r="152">
      <c r="A152" s="102">
        <v>5.0</v>
      </c>
      <c r="B152" s="123"/>
      <c r="C152" s="123"/>
      <c r="D152" s="107"/>
      <c r="E152" s="107" t="s">
        <v>1789</v>
      </c>
      <c r="F152" s="111"/>
      <c r="G152" s="108"/>
    </row>
    <row r="153">
      <c r="A153" s="102">
        <v>6.0</v>
      </c>
      <c r="B153" s="123"/>
      <c r="C153" s="123"/>
      <c r="D153" s="107"/>
      <c r="E153" s="107" t="s">
        <v>1790</v>
      </c>
      <c r="F153" s="111"/>
      <c r="G153" s="108"/>
    </row>
    <row r="154">
      <c r="A154" s="102">
        <v>7.0</v>
      </c>
      <c r="B154" s="123"/>
      <c r="C154" s="123"/>
      <c r="D154" s="107"/>
      <c r="E154" s="107" t="s">
        <v>1791</v>
      </c>
      <c r="F154" s="108"/>
      <c r="G154" s="108"/>
    </row>
    <row r="155">
      <c r="A155" s="102">
        <v>8.0</v>
      </c>
      <c r="B155" s="123"/>
      <c r="C155" s="123"/>
      <c r="D155" s="107"/>
      <c r="E155" s="107" t="s">
        <v>1792</v>
      </c>
      <c r="F155" s="108"/>
      <c r="G155" s="108"/>
    </row>
    <row r="156">
      <c r="A156" s="102">
        <v>9.0</v>
      </c>
      <c r="B156" s="123"/>
      <c r="C156" s="123"/>
      <c r="D156" s="107"/>
      <c r="E156" s="107" t="s">
        <v>133</v>
      </c>
      <c r="F156" s="108"/>
      <c r="G156" s="108"/>
    </row>
    <row r="157">
      <c r="A157" s="102">
        <v>10.0</v>
      </c>
      <c r="B157" s="123"/>
      <c r="C157" s="123"/>
      <c r="D157" s="107"/>
      <c r="E157" s="107"/>
      <c r="F157" s="108"/>
      <c r="G157" s="108"/>
    </row>
    <row r="158">
      <c r="A158" s="102">
        <v>11.0</v>
      </c>
      <c r="B158" s="123"/>
      <c r="C158" s="123"/>
      <c r="D158" s="107"/>
      <c r="E158" s="107"/>
      <c r="F158" s="108"/>
      <c r="G158" s="108"/>
    </row>
    <row r="159">
      <c r="A159" s="102">
        <v>12.0</v>
      </c>
      <c r="B159" s="123"/>
      <c r="C159" s="123"/>
      <c r="D159" s="107"/>
      <c r="E159" s="107"/>
      <c r="F159" s="108"/>
      <c r="G159" s="108"/>
    </row>
    <row r="160">
      <c r="A160" s="102">
        <v>13.0</v>
      </c>
      <c r="B160" s="123"/>
      <c r="C160" s="123"/>
      <c r="D160" s="107"/>
      <c r="E160" s="107"/>
      <c r="F160" s="111"/>
      <c r="G160" s="108"/>
    </row>
    <row r="161">
      <c r="A161" s="102">
        <v>14.0</v>
      </c>
      <c r="B161" s="123"/>
      <c r="C161" s="123"/>
      <c r="D161" s="107"/>
      <c r="E161" s="107"/>
      <c r="F161" s="108"/>
      <c r="G161" s="108"/>
    </row>
    <row r="162">
      <c r="A162" s="102">
        <v>15.0</v>
      </c>
      <c r="B162" s="123"/>
      <c r="C162" s="123"/>
      <c r="D162" s="107"/>
      <c r="E162" s="107"/>
      <c r="F162" s="108"/>
      <c r="G162" s="108"/>
    </row>
    <row r="163">
      <c r="A163" s="58"/>
      <c r="B163" s="149"/>
      <c r="C163" s="58"/>
      <c r="D163" s="58"/>
      <c r="E163" s="102" t="s">
        <v>144</v>
      </c>
      <c r="F163" s="150"/>
      <c r="G163" s="58"/>
    </row>
    <row r="164">
      <c r="A164" s="58"/>
      <c r="B164" s="149"/>
      <c r="C164" s="58"/>
      <c r="D164" s="58"/>
      <c r="E164" s="102" t="s">
        <v>145</v>
      </c>
      <c r="F164" s="150">
        <v>3205.0</v>
      </c>
      <c r="G164" s="58"/>
    </row>
    <row r="165">
      <c r="A165" s="58"/>
      <c r="B165" s="149"/>
      <c r="C165" s="58"/>
      <c r="D165" s="58"/>
      <c r="E165" s="102" t="s">
        <v>146</v>
      </c>
      <c r="F165" s="150">
        <v>515.0</v>
      </c>
      <c r="G165" s="58"/>
    </row>
    <row r="166">
      <c r="A166" s="58"/>
      <c r="B166" s="149"/>
      <c r="C166" s="58"/>
      <c r="D166" s="58"/>
      <c r="E166" s="102" t="s">
        <v>147</v>
      </c>
      <c r="F166" s="150">
        <v>385.0</v>
      </c>
      <c r="G166" s="58"/>
    </row>
    <row r="167">
      <c r="A167" s="58"/>
      <c r="B167" s="149"/>
      <c r="C167" s="58"/>
      <c r="D167" s="58"/>
      <c r="E167" s="102" t="s">
        <v>148</v>
      </c>
      <c r="F167" s="150">
        <v>2820.0</v>
      </c>
      <c r="G167" s="58"/>
    </row>
    <row r="168">
      <c r="A168" s="312"/>
      <c r="B168" s="312"/>
      <c r="C168" s="312"/>
      <c r="D168" s="312"/>
      <c r="E168" s="313"/>
      <c r="F168" s="314" t="s">
        <v>1288</v>
      </c>
      <c r="G168" s="312"/>
    </row>
    <row r="169">
      <c r="A169" s="102" t="s">
        <v>4</v>
      </c>
      <c r="B169" s="102" t="s">
        <v>5</v>
      </c>
      <c r="C169" s="102" t="s">
        <v>126</v>
      </c>
      <c r="D169" s="102" t="s">
        <v>6</v>
      </c>
      <c r="E169" s="102" t="s">
        <v>7</v>
      </c>
      <c r="F169" s="102" t="s">
        <v>127</v>
      </c>
      <c r="G169" s="102" t="s">
        <v>128</v>
      </c>
      <c r="H169" s="102" t="s">
        <v>4</v>
      </c>
      <c r="I169" s="102" t="s">
        <v>5</v>
      </c>
      <c r="J169" s="102" t="s">
        <v>126</v>
      </c>
      <c r="K169" s="102" t="s">
        <v>6</v>
      </c>
      <c r="L169" s="102" t="s">
        <v>7</v>
      </c>
      <c r="M169" s="102" t="s">
        <v>127</v>
      </c>
      <c r="N169" s="102" t="s">
        <v>128</v>
      </c>
      <c r="O169" s="102" t="s">
        <v>4</v>
      </c>
      <c r="P169" s="102" t="s">
        <v>5</v>
      </c>
      <c r="Q169" s="102" t="s">
        <v>126</v>
      </c>
      <c r="R169" s="102" t="s">
        <v>6</v>
      </c>
      <c r="S169" s="102" t="s">
        <v>7</v>
      </c>
      <c r="T169" s="102" t="s">
        <v>127</v>
      </c>
      <c r="U169" s="102" t="s">
        <v>128</v>
      </c>
    </row>
    <row r="170">
      <c r="A170" s="102">
        <v>1.0</v>
      </c>
      <c r="B170" s="147">
        <v>46114.0</v>
      </c>
      <c r="C170" s="148" t="s">
        <v>211</v>
      </c>
      <c r="D170" s="107" t="s">
        <v>1609</v>
      </c>
      <c r="E170" s="107" t="s">
        <v>1793</v>
      </c>
      <c r="F170" s="108"/>
      <c r="G170" s="111" t="s">
        <v>1794</v>
      </c>
      <c r="H170" s="102">
        <v>1.0</v>
      </c>
      <c r="I170" s="147">
        <v>46109.0</v>
      </c>
      <c r="J170" s="148" t="s">
        <v>341</v>
      </c>
      <c r="K170" s="107"/>
      <c r="L170" s="107" t="s">
        <v>1148</v>
      </c>
      <c r="M170" s="108">
        <v>60.0</v>
      </c>
      <c r="N170" s="111"/>
      <c r="O170" s="102">
        <v>1.0</v>
      </c>
      <c r="P170" s="147">
        <v>46109.0</v>
      </c>
      <c r="Q170" s="148" t="s">
        <v>341</v>
      </c>
      <c r="R170" s="107"/>
      <c r="S170" s="107" t="s">
        <v>1148</v>
      </c>
      <c r="T170" s="108">
        <v>60.0</v>
      </c>
      <c r="U170" s="111"/>
    </row>
    <row r="171">
      <c r="A171" s="102">
        <v>2.0</v>
      </c>
      <c r="B171" s="123"/>
      <c r="C171" s="123"/>
      <c r="D171" s="107"/>
      <c r="E171" s="107" t="s">
        <v>1795</v>
      </c>
      <c r="F171" s="108"/>
      <c r="G171" s="108"/>
      <c r="H171" s="102">
        <v>2.0</v>
      </c>
      <c r="I171" s="123"/>
      <c r="J171" s="123"/>
      <c r="K171" s="107"/>
      <c r="L171" s="107" t="s">
        <v>1785</v>
      </c>
      <c r="M171" s="108">
        <v>40.0</v>
      </c>
      <c r="N171" s="108"/>
      <c r="O171" s="102">
        <v>2.0</v>
      </c>
      <c r="P171" s="123"/>
      <c r="Q171" s="123"/>
      <c r="R171" s="107"/>
      <c r="S171" s="107" t="s">
        <v>1785</v>
      </c>
      <c r="T171" s="108">
        <v>40.0</v>
      </c>
      <c r="U171" s="108"/>
    </row>
    <row r="172">
      <c r="A172" s="102">
        <v>3.0</v>
      </c>
      <c r="B172" s="123"/>
      <c r="C172" s="123"/>
      <c r="D172" s="107"/>
      <c r="E172" s="107" t="s">
        <v>1796</v>
      </c>
      <c r="F172" s="111"/>
      <c r="G172" s="108"/>
      <c r="H172" s="102">
        <v>3.0</v>
      </c>
      <c r="I172" s="123"/>
      <c r="J172" s="123"/>
      <c r="K172" s="107"/>
      <c r="L172" s="107"/>
      <c r="M172" s="111"/>
      <c r="N172" s="108"/>
      <c r="O172" s="102">
        <v>3.0</v>
      </c>
      <c r="P172" s="123"/>
      <c r="Q172" s="123"/>
      <c r="R172" s="107"/>
      <c r="S172" s="107"/>
      <c r="T172" s="111"/>
      <c r="U172" s="108"/>
    </row>
    <row r="173">
      <c r="A173" s="102">
        <v>4.0</v>
      </c>
      <c r="B173" s="123"/>
      <c r="C173" s="123"/>
      <c r="D173" s="107"/>
      <c r="E173" s="107" t="s">
        <v>421</v>
      </c>
      <c r="F173" s="108"/>
      <c r="G173" s="108"/>
      <c r="H173" s="102">
        <v>4.0</v>
      </c>
      <c r="I173" s="123"/>
      <c r="J173" s="123"/>
      <c r="K173" s="107"/>
      <c r="L173" s="107"/>
      <c r="M173" s="108"/>
      <c r="N173" s="108"/>
      <c r="O173" s="102">
        <v>4.0</v>
      </c>
      <c r="P173" s="123"/>
      <c r="Q173" s="123"/>
      <c r="R173" s="107"/>
      <c r="S173" s="107"/>
      <c r="T173" s="108"/>
      <c r="U173" s="108"/>
    </row>
    <row r="174">
      <c r="A174" s="102">
        <v>5.0</v>
      </c>
      <c r="B174" s="123"/>
      <c r="C174" s="123"/>
      <c r="D174" s="107"/>
      <c r="E174" s="107" t="s">
        <v>528</v>
      </c>
      <c r="F174" s="111"/>
      <c r="G174" s="108"/>
      <c r="H174" s="102">
        <v>5.0</v>
      </c>
      <c r="I174" s="123"/>
      <c r="J174" s="123"/>
      <c r="K174" s="107"/>
      <c r="L174" s="107"/>
      <c r="M174" s="111"/>
      <c r="N174" s="108"/>
      <c r="O174" s="102">
        <v>5.0</v>
      </c>
      <c r="P174" s="123"/>
      <c r="Q174" s="123"/>
      <c r="R174" s="107"/>
      <c r="S174" s="107"/>
      <c r="T174" s="111"/>
      <c r="U174" s="108"/>
    </row>
    <row r="175">
      <c r="A175" s="102">
        <v>6.0</v>
      </c>
      <c r="B175" s="123"/>
      <c r="C175" s="123"/>
      <c r="D175" s="107"/>
      <c r="E175" s="107" t="s">
        <v>1797</v>
      </c>
      <c r="F175" s="111"/>
      <c r="G175" s="108"/>
      <c r="H175" s="102">
        <v>6.0</v>
      </c>
      <c r="I175" s="123"/>
      <c r="J175" s="123"/>
      <c r="K175" s="107"/>
      <c r="L175" s="107"/>
      <c r="M175" s="111"/>
      <c r="N175" s="108"/>
      <c r="O175" s="102">
        <v>6.0</v>
      </c>
      <c r="P175" s="123"/>
      <c r="Q175" s="123"/>
      <c r="R175" s="107"/>
      <c r="S175" s="107"/>
      <c r="T175" s="111"/>
      <c r="U175" s="108"/>
    </row>
    <row r="176">
      <c r="A176" s="102">
        <v>7.0</v>
      </c>
      <c r="B176" s="123"/>
      <c r="C176" s="123"/>
      <c r="D176" s="107"/>
      <c r="E176" s="107" t="s">
        <v>1798</v>
      </c>
      <c r="F176" s="108"/>
      <c r="G176" s="108"/>
      <c r="H176" s="102">
        <v>7.0</v>
      </c>
      <c r="I176" s="123"/>
      <c r="J176" s="123"/>
      <c r="K176" s="107"/>
      <c r="L176" s="107"/>
      <c r="M176" s="108"/>
      <c r="N176" s="108"/>
      <c r="O176" s="102">
        <v>7.0</v>
      </c>
      <c r="P176" s="123"/>
      <c r="Q176" s="123"/>
      <c r="R176" s="107"/>
      <c r="S176" s="107"/>
      <c r="T176" s="108"/>
      <c r="U176" s="108"/>
    </row>
    <row r="177">
      <c r="A177" s="102">
        <v>8.0</v>
      </c>
      <c r="B177" s="123"/>
      <c r="C177" s="123"/>
      <c r="D177" s="107"/>
      <c r="E177" s="107" t="s">
        <v>1799</v>
      </c>
      <c r="F177" s="108"/>
      <c r="G177" s="108"/>
      <c r="H177" s="102">
        <v>8.0</v>
      </c>
      <c r="I177" s="123"/>
      <c r="J177" s="123"/>
      <c r="K177" s="107"/>
      <c r="L177" s="107"/>
      <c r="M177" s="108"/>
      <c r="N177" s="108"/>
      <c r="O177" s="102">
        <v>8.0</v>
      </c>
      <c r="P177" s="123"/>
      <c r="Q177" s="123"/>
      <c r="R177" s="107"/>
      <c r="S177" s="107"/>
      <c r="T177" s="108"/>
      <c r="U177" s="108"/>
    </row>
    <row r="178">
      <c r="A178" s="102">
        <v>9.0</v>
      </c>
      <c r="B178" s="123"/>
      <c r="C178" s="123"/>
      <c r="D178" s="107"/>
      <c r="E178" s="107" t="s">
        <v>1800</v>
      </c>
      <c r="F178" s="108"/>
      <c r="G178" s="108"/>
      <c r="H178" s="102">
        <v>9.0</v>
      </c>
      <c r="I178" s="123"/>
      <c r="J178" s="123"/>
      <c r="K178" s="107"/>
      <c r="L178" s="107"/>
      <c r="M178" s="108"/>
      <c r="N178" s="108"/>
      <c r="O178" s="102">
        <v>9.0</v>
      </c>
      <c r="P178" s="123"/>
      <c r="Q178" s="123"/>
      <c r="R178" s="107"/>
      <c r="S178" s="107"/>
      <c r="T178" s="108"/>
      <c r="U178" s="108"/>
    </row>
    <row r="179">
      <c r="A179" s="102">
        <v>10.0</v>
      </c>
      <c r="B179" s="123"/>
      <c r="C179" s="123"/>
      <c r="D179" s="107"/>
      <c r="E179" s="107" t="s">
        <v>1801</v>
      </c>
      <c r="F179" s="108"/>
      <c r="G179" s="108"/>
      <c r="H179" s="102">
        <v>10.0</v>
      </c>
      <c r="I179" s="123"/>
      <c r="J179" s="123"/>
      <c r="K179" s="107"/>
      <c r="L179" s="107"/>
      <c r="M179" s="108"/>
      <c r="N179" s="108"/>
      <c r="O179" s="102">
        <v>10.0</v>
      </c>
      <c r="P179" s="123"/>
      <c r="Q179" s="123"/>
      <c r="R179" s="107"/>
      <c r="S179" s="107"/>
      <c r="T179" s="108"/>
      <c r="U179" s="108"/>
    </row>
    <row r="180">
      <c r="A180" s="102">
        <v>11.0</v>
      </c>
      <c r="B180" s="123"/>
      <c r="C180" s="123"/>
      <c r="D180" s="107"/>
      <c r="E180" s="107" t="s">
        <v>1801</v>
      </c>
      <c r="F180" s="108"/>
      <c r="G180" s="108"/>
      <c r="H180" s="102">
        <v>11.0</v>
      </c>
      <c r="I180" s="123"/>
      <c r="J180" s="123"/>
      <c r="K180" s="107"/>
      <c r="L180" s="107"/>
      <c r="M180" s="108"/>
      <c r="N180" s="108"/>
      <c r="O180" s="102">
        <v>11.0</v>
      </c>
      <c r="P180" s="123"/>
      <c r="Q180" s="123"/>
      <c r="R180" s="107"/>
      <c r="S180" s="107"/>
      <c r="T180" s="108"/>
      <c r="U180" s="108"/>
    </row>
    <row r="181">
      <c r="A181" s="102">
        <v>12.0</v>
      </c>
      <c r="B181" s="123"/>
      <c r="C181" s="123"/>
      <c r="D181" s="107"/>
      <c r="E181" s="107"/>
      <c r="F181" s="108"/>
      <c r="G181" s="108"/>
      <c r="H181" s="102">
        <v>12.0</v>
      </c>
      <c r="I181" s="123"/>
      <c r="J181" s="123"/>
      <c r="K181" s="107"/>
      <c r="L181" s="107"/>
      <c r="M181" s="108"/>
      <c r="N181" s="108"/>
      <c r="O181" s="102">
        <v>12.0</v>
      </c>
      <c r="P181" s="123"/>
      <c r="Q181" s="123"/>
      <c r="R181" s="107"/>
      <c r="S181" s="107"/>
      <c r="T181" s="108"/>
      <c r="U181" s="108"/>
    </row>
    <row r="182">
      <c r="A182" s="102">
        <v>13.0</v>
      </c>
      <c r="B182" s="123"/>
      <c r="C182" s="123"/>
      <c r="D182" s="107"/>
      <c r="E182" s="107"/>
      <c r="F182" s="111"/>
      <c r="G182" s="108"/>
      <c r="H182" s="102">
        <v>13.0</v>
      </c>
      <c r="I182" s="123"/>
      <c r="J182" s="123"/>
      <c r="K182" s="107"/>
      <c r="L182" s="107"/>
      <c r="M182" s="111"/>
      <c r="N182" s="108"/>
      <c r="O182" s="102">
        <v>13.0</v>
      </c>
      <c r="P182" s="123"/>
      <c r="Q182" s="123"/>
      <c r="R182" s="107"/>
      <c r="S182" s="107"/>
      <c r="T182" s="111"/>
      <c r="U182" s="108"/>
    </row>
    <row r="183">
      <c r="A183" s="102">
        <v>14.0</v>
      </c>
      <c r="B183" s="123"/>
      <c r="C183" s="123"/>
      <c r="D183" s="107"/>
      <c r="E183" s="107"/>
      <c r="F183" s="108"/>
      <c r="G183" s="108"/>
      <c r="H183" s="102">
        <v>14.0</v>
      </c>
      <c r="I183" s="123"/>
      <c r="J183" s="123"/>
      <c r="K183" s="107"/>
      <c r="L183" s="107"/>
      <c r="M183" s="108"/>
      <c r="N183" s="108"/>
      <c r="O183" s="102">
        <v>14.0</v>
      </c>
      <c r="P183" s="123"/>
      <c r="Q183" s="123"/>
      <c r="R183" s="107"/>
      <c r="S183" s="107"/>
      <c r="T183" s="108"/>
      <c r="U183" s="108"/>
    </row>
    <row r="184">
      <c r="A184" s="102">
        <v>15.0</v>
      </c>
      <c r="B184" s="123"/>
      <c r="C184" s="123"/>
      <c r="D184" s="107"/>
      <c r="E184" s="107"/>
      <c r="F184" s="108"/>
      <c r="G184" s="108"/>
      <c r="H184" s="102">
        <v>15.0</v>
      </c>
      <c r="I184" s="123"/>
      <c r="J184" s="123"/>
      <c r="K184" s="107"/>
      <c r="L184" s="107"/>
      <c r="M184" s="108"/>
      <c r="N184" s="108"/>
      <c r="O184" s="102">
        <v>15.0</v>
      </c>
      <c r="P184" s="123"/>
      <c r="Q184" s="123"/>
      <c r="R184" s="107"/>
      <c r="S184" s="107"/>
      <c r="T184" s="108"/>
      <c r="U184" s="108"/>
    </row>
    <row r="185">
      <c r="A185" s="58"/>
      <c r="B185" s="149"/>
      <c r="C185" s="58"/>
      <c r="D185" s="58"/>
      <c r="E185" s="102" t="s">
        <v>144</v>
      </c>
      <c r="F185" s="150">
        <v>500.0</v>
      </c>
      <c r="G185" s="58"/>
      <c r="H185" s="58"/>
      <c r="I185" s="149"/>
      <c r="J185" s="58"/>
      <c r="K185" s="58"/>
      <c r="L185" s="102" t="s">
        <v>144</v>
      </c>
      <c r="M185" s="150"/>
      <c r="N185" s="58"/>
      <c r="O185" s="58"/>
      <c r="P185" s="149"/>
      <c r="Q185" s="58"/>
      <c r="R185" s="58"/>
      <c r="S185" s="102" t="s">
        <v>144</v>
      </c>
      <c r="T185" s="150"/>
      <c r="U185" s="58"/>
    </row>
    <row r="186">
      <c r="A186" s="58"/>
      <c r="B186" s="149"/>
      <c r="C186" s="58"/>
      <c r="D186" s="58"/>
      <c r="E186" s="102" t="s">
        <v>145</v>
      </c>
      <c r="F186" s="150">
        <v>2985.0</v>
      </c>
      <c r="G186" s="58"/>
      <c r="H186" s="58"/>
      <c r="I186" s="149"/>
      <c r="J186" s="58"/>
      <c r="K186" s="58"/>
      <c r="L186" s="102" t="s">
        <v>145</v>
      </c>
      <c r="M186" s="150">
        <v>100.0</v>
      </c>
      <c r="N186" s="58"/>
      <c r="O186" s="58"/>
      <c r="P186" s="149"/>
      <c r="Q186" s="58"/>
      <c r="R186" s="58"/>
      <c r="S186" s="102" t="s">
        <v>145</v>
      </c>
      <c r="T186" s="150">
        <v>100.0</v>
      </c>
      <c r="U186" s="58"/>
    </row>
    <row r="187">
      <c r="A187" s="58"/>
      <c r="B187" s="149"/>
      <c r="C187" s="58"/>
      <c r="D187" s="58"/>
      <c r="E187" s="102" t="s">
        <v>146</v>
      </c>
      <c r="F187" s="150">
        <v>425.0</v>
      </c>
      <c r="G187" s="58"/>
      <c r="H187" s="58"/>
      <c r="I187" s="149"/>
      <c r="J187" s="58"/>
      <c r="K187" s="58"/>
      <c r="L187" s="102" t="s">
        <v>146</v>
      </c>
      <c r="M187" s="150">
        <v>100.0</v>
      </c>
      <c r="N187" s="58"/>
      <c r="O187" s="58"/>
      <c r="P187" s="149"/>
      <c r="Q187" s="58"/>
      <c r="R187" s="58"/>
      <c r="S187" s="102" t="s">
        <v>146</v>
      </c>
      <c r="T187" s="150">
        <v>100.0</v>
      </c>
      <c r="U187" s="58"/>
    </row>
    <row r="188">
      <c r="A188" s="58"/>
      <c r="B188" s="149"/>
      <c r="C188" s="58"/>
      <c r="D188" s="58"/>
      <c r="E188" s="102" t="s">
        <v>147</v>
      </c>
      <c r="F188" s="150">
        <v>320.0</v>
      </c>
      <c r="G188" s="58"/>
      <c r="H188" s="58"/>
      <c r="I188" s="149"/>
      <c r="J188" s="58"/>
      <c r="K188" s="58"/>
      <c r="L188" s="102" t="s">
        <v>147</v>
      </c>
      <c r="M188" s="150">
        <v>75.0</v>
      </c>
      <c r="N188" s="58"/>
      <c r="O188" s="58"/>
      <c r="P188" s="149"/>
      <c r="Q188" s="58"/>
      <c r="R188" s="58"/>
      <c r="S188" s="102" t="s">
        <v>147</v>
      </c>
      <c r="T188" s="150">
        <v>75.0</v>
      </c>
      <c r="U188" s="58"/>
    </row>
    <row r="189">
      <c r="A189" s="58"/>
      <c r="B189" s="149"/>
      <c r="C189" s="58"/>
      <c r="D189" s="58"/>
      <c r="E189" s="102" t="s">
        <v>148</v>
      </c>
      <c r="F189" s="150"/>
      <c r="G189" s="58"/>
      <c r="H189" s="58"/>
      <c r="I189" s="149"/>
      <c r="J189" s="58"/>
      <c r="K189" s="58"/>
      <c r="L189" s="102" t="s">
        <v>148</v>
      </c>
      <c r="M189" s="150">
        <v>25.0</v>
      </c>
      <c r="N189" s="58"/>
      <c r="O189" s="58"/>
      <c r="P189" s="149"/>
      <c r="Q189" s="58"/>
      <c r="R189" s="58"/>
      <c r="S189" s="102" t="s">
        <v>148</v>
      </c>
      <c r="T189" s="150">
        <v>25.0</v>
      </c>
      <c r="U189" s="58"/>
    </row>
    <row r="190">
      <c r="A190" s="102" t="s">
        <v>4</v>
      </c>
      <c r="B190" s="102" t="s">
        <v>5</v>
      </c>
      <c r="C190" s="102" t="s">
        <v>126</v>
      </c>
      <c r="D190" s="102" t="s">
        <v>6</v>
      </c>
      <c r="E190" s="102" t="s">
        <v>7</v>
      </c>
      <c r="F190" s="102" t="s">
        <v>127</v>
      </c>
      <c r="G190" s="102" t="s">
        <v>128</v>
      </c>
    </row>
    <row r="191">
      <c r="A191" s="102">
        <v>1.0</v>
      </c>
      <c r="B191" s="147">
        <v>46115.0</v>
      </c>
      <c r="C191" s="148" t="s">
        <v>1036</v>
      </c>
      <c r="D191" s="107"/>
      <c r="E191" s="107" t="s">
        <v>156</v>
      </c>
      <c r="F191" s="108">
        <v>40.0</v>
      </c>
      <c r="G191" s="111"/>
    </row>
    <row r="192">
      <c r="A192" s="102">
        <v>2.0</v>
      </c>
      <c r="B192" s="123"/>
      <c r="C192" s="123"/>
      <c r="D192" s="107"/>
      <c r="E192" s="107" t="s">
        <v>1802</v>
      </c>
      <c r="F192" s="111" t="s">
        <v>1803</v>
      </c>
      <c r="G192" s="111" t="s">
        <v>1804</v>
      </c>
    </row>
    <row r="193">
      <c r="A193" s="58"/>
      <c r="B193" s="149"/>
      <c r="C193" s="58"/>
      <c r="D193" s="58"/>
      <c r="E193" s="102" t="s">
        <v>144</v>
      </c>
      <c r="F193" s="150">
        <v>0.0</v>
      </c>
      <c r="G193" s="58"/>
    </row>
    <row r="194">
      <c r="A194" s="58"/>
      <c r="B194" s="149"/>
      <c r="C194" s="58"/>
      <c r="D194" s="58"/>
      <c r="E194" s="102" t="s">
        <v>145</v>
      </c>
      <c r="F194" s="150">
        <f>180+40</f>
        <v>220</v>
      </c>
      <c r="G194" s="58"/>
    </row>
    <row r="195">
      <c r="A195" s="58"/>
      <c r="B195" s="149"/>
      <c r="C195" s="58"/>
      <c r="D195" s="58"/>
      <c r="E195" s="102" t="s">
        <v>146</v>
      </c>
      <c r="F195" s="150">
        <v>220.0</v>
      </c>
      <c r="G195" s="58"/>
    </row>
    <row r="196">
      <c r="A196" s="58"/>
      <c r="B196" s="149"/>
      <c r="C196" s="58"/>
      <c r="D196" s="58"/>
      <c r="E196" s="102" t="s">
        <v>147</v>
      </c>
      <c r="F196" s="150">
        <f>220*75/100</f>
        <v>165</v>
      </c>
      <c r="G196" s="58"/>
    </row>
    <row r="197">
      <c r="A197" s="58"/>
      <c r="B197" s="149"/>
      <c r="C197" s="58"/>
      <c r="D197" s="58"/>
      <c r="E197" s="102" t="s">
        <v>148</v>
      </c>
      <c r="F197" s="150"/>
      <c r="G197" s="58"/>
    </row>
    <row r="198">
      <c r="A198" s="102" t="s">
        <v>4</v>
      </c>
      <c r="B198" s="102" t="s">
        <v>5</v>
      </c>
      <c r="C198" s="102" t="s">
        <v>126</v>
      </c>
      <c r="D198" s="102" t="s">
        <v>6</v>
      </c>
      <c r="E198" s="102" t="s">
        <v>7</v>
      </c>
      <c r="F198" s="102" t="s">
        <v>127</v>
      </c>
      <c r="G198" s="102" t="s">
        <v>128</v>
      </c>
    </row>
    <row r="199">
      <c r="A199" s="102">
        <v>1.0</v>
      </c>
      <c r="B199" s="147">
        <v>46116.0</v>
      </c>
      <c r="C199" s="148" t="s">
        <v>1041</v>
      </c>
      <c r="D199" s="107" t="s">
        <v>1609</v>
      </c>
      <c r="E199" s="107" t="s">
        <v>1805</v>
      </c>
      <c r="F199" s="108"/>
      <c r="G199" s="111"/>
    </row>
    <row r="200">
      <c r="A200" s="102">
        <v>2.0</v>
      </c>
      <c r="B200" s="123"/>
      <c r="C200" s="123"/>
      <c r="D200" s="107"/>
      <c r="E200" s="107" t="s">
        <v>1806</v>
      </c>
      <c r="F200" s="108"/>
      <c r="G200" s="108"/>
    </row>
    <row r="201">
      <c r="A201" s="102">
        <v>3.0</v>
      </c>
      <c r="B201" s="123"/>
      <c r="C201" s="123"/>
      <c r="D201" s="107"/>
      <c r="E201" s="107" t="s">
        <v>1807</v>
      </c>
      <c r="F201" s="111"/>
      <c r="G201" s="108"/>
    </row>
    <row r="202">
      <c r="A202" s="102">
        <v>4.0</v>
      </c>
      <c r="B202" s="123"/>
      <c r="C202" s="123"/>
      <c r="D202" s="107"/>
      <c r="E202" s="107" t="s">
        <v>1808</v>
      </c>
      <c r="F202" s="108"/>
      <c r="G202" s="108"/>
    </row>
    <row r="203">
      <c r="A203" s="102">
        <v>5.0</v>
      </c>
      <c r="B203" s="123"/>
      <c r="C203" s="123"/>
      <c r="D203" s="107"/>
      <c r="E203" s="107"/>
      <c r="F203" s="111"/>
      <c r="G203" s="108"/>
    </row>
    <row r="204">
      <c r="A204" s="102">
        <v>6.0</v>
      </c>
      <c r="B204" s="123"/>
      <c r="C204" s="123"/>
      <c r="D204" s="107"/>
      <c r="E204" s="107"/>
      <c r="F204" s="111"/>
      <c r="G204" s="108"/>
    </row>
    <row r="205">
      <c r="A205" s="102">
        <v>7.0</v>
      </c>
      <c r="B205" s="123"/>
      <c r="C205" s="123"/>
      <c r="D205" s="107"/>
      <c r="E205" s="107"/>
      <c r="F205" s="108"/>
      <c r="G205" s="108"/>
    </row>
    <row r="206">
      <c r="A206" s="102">
        <v>8.0</v>
      </c>
      <c r="B206" s="123"/>
      <c r="C206" s="123"/>
      <c r="D206" s="107"/>
      <c r="E206" s="107"/>
      <c r="F206" s="108"/>
      <c r="G206" s="108"/>
    </row>
    <row r="207">
      <c r="A207" s="102">
        <v>9.0</v>
      </c>
      <c r="B207" s="123"/>
      <c r="C207" s="123"/>
      <c r="D207" s="107"/>
      <c r="E207" s="107"/>
      <c r="F207" s="108"/>
      <c r="G207" s="108"/>
    </row>
    <row r="208">
      <c r="A208" s="102">
        <v>10.0</v>
      </c>
      <c r="B208" s="123"/>
      <c r="C208" s="123"/>
      <c r="D208" s="107"/>
      <c r="E208" s="107"/>
      <c r="F208" s="108"/>
      <c r="G208" s="108"/>
    </row>
    <row r="209">
      <c r="A209" s="102">
        <v>11.0</v>
      </c>
      <c r="B209" s="123"/>
      <c r="C209" s="123"/>
      <c r="D209" s="107"/>
      <c r="E209" s="107"/>
      <c r="F209" s="108"/>
      <c r="G209" s="108"/>
    </row>
    <row r="210">
      <c r="A210" s="102">
        <v>12.0</v>
      </c>
      <c r="B210" s="123"/>
      <c r="C210" s="123"/>
      <c r="D210" s="107"/>
      <c r="E210" s="107"/>
      <c r="F210" s="108"/>
      <c r="G210" s="108"/>
    </row>
    <row r="211">
      <c r="A211" s="102">
        <v>13.0</v>
      </c>
      <c r="B211" s="123"/>
      <c r="C211" s="123"/>
      <c r="D211" s="107"/>
      <c r="E211" s="107"/>
      <c r="F211" s="111"/>
      <c r="G211" s="108"/>
    </row>
    <row r="212">
      <c r="A212" s="102">
        <v>14.0</v>
      </c>
      <c r="B212" s="123"/>
      <c r="C212" s="123"/>
      <c r="D212" s="107"/>
      <c r="E212" s="107"/>
      <c r="F212" s="108"/>
      <c r="G212" s="108"/>
    </row>
    <row r="213">
      <c r="A213" s="102">
        <v>15.0</v>
      </c>
      <c r="B213" s="123"/>
      <c r="C213" s="123"/>
      <c r="D213" s="107"/>
      <c r="E213" s="107"/>
      <c r="F213" s="108"/>
      <c r="G213" s="108"/>
    </row>
    <row r="214">
      <c r="A214" s="58"/>
      <c r="B214" s="149"/>
      <c r="C214" s="58"/>
      <c r="D214" s="58"/>
      <c r="E214" s="102" t="s">
        <v>144</v>
      </c>
      <c r="F214" s="150">
        <v>500.0</v>
      </c>
      <c r="G214" s="58"/>
    </row>
    <row r="215">
      <c r="A215" s="58"/>
      <c r="B215" s="149"/>
      <c r="C215" s="58"/>
      <c r="D215" s="58"/>
      <c r="E215" s="102" t="s">
        <v>145</v>
      </c>
      <c r="F215" s="150">
        <v>885.0</v>
      </c>
      <c r="G215" s="58"/>
    </row>
    <row r="216">
      <c r="A216" s="58"/>
      <c r="B216" s="149"/>
      <c r="C216" s="58"/>
      <c r="D216" s="58"/>
      <c r="E216" s="102" t="s">
        <v>146</v>
      </c>
      <c r="F216" s="150">
        <v>235.0</v>
      </c>
      <c r="G216" s="58"/>
    </row>
    <row r="217">
      <c r="A217" s="58"/>
      <c r="B217" s="149"/>
      <c r="C217" s="58"/>
      <c r="D217" s="58"/>
      <c r="E217" s="102" t="s">
        <v>147</v>
      </c>
      <c r="F217" s="150">
        <v>175.0</v>
      </c>
      <c r="G217" s="58"/>
    </row>
    <row r="218">
      <c r="A218" s="58"/>
      <c r="B218" s="149"/>
      <c r="C218" s="58"/>
      <c r="D218" s="58"/>
      <c r="E218" s="102" t="s">
        <v>148</v>
      </c>
      <c r="F218" s="150">
        <v>710.0</v>
      </c>
      <c r="G218" s="58"/>
    </row>
    <row r="219">
      <c r="A219" s="102" t="s">
        <v>4</v>
      </c>
      <c r="B219" s="102" t="s">
        <v>5</v>
      </c>
      <c r="C219" s="102" t="s">
        <v>126</v>
      </c>
      <c r="D219" s="102" t="s">
        <v>6</v>
      </c>
      <c r="E219" s="102" t="s">
        <v>7</v>
      </c>
      <c r="F219" s="102" t="s">
        <v>127</v>
      </c>
      <c r="G219" s="102" t="s">
        <v>128</v>
      </c>
    </row>
    <row r="220">
      <c r="A220" s="102">
        <v>1.0</v>
      </c>
      <c r="B220" s="147">
        <v>46117.0</v>
      </c>
      <c r="C220" s="148" t="s">
        <v>476</v>
      </c>
      <c r="D220" s="107" t="s">
        <v>1609</v>
      </c>
      <c r="E220" s="107" t="s">
        <v>1809</v>
      </c>
      <c r="F220" s="108"/>
      <c r="G220" s="111"/>
    </row>
    <row r="221">
      <c r="A221" s="102">
        <v>2.0</v>
      </c>
      <c r="B221" s="123"/>
      <c r="C221" s="123"/>
      <c r="D221" s="107"/>
      <c r="E221" s="107" t="s">
        <v>1810</v>
      </c>
      <c r="F221" s="108"/>
      <c r="G221" s="108"/>
    </row>
    <row r="222">
      <c r="A222" s="102">
        <v>3.0</v>
      </c>
      <c r="B222" s="123"/>
      <c r="C222" s="123"/>
      <c r="D222" s="107"/>
      <c r="E222" s="107" t="s">
        <v>1811</v>
      </c>
      <c r="F222" s="111"/>
      <c r="G222" s="111" t="s">
        <v>1812</v>
      </c>
    </row>
    <row r="223">
      <c r="A223" s="102">
        <v>4.0</v>
      </c>
      <c r="B223" s="123"/>
      <c r="C223" s="123"/>
      <c r="D223" s="107"/>
      <c r="E223" s="107" t="s">
        <v>1813</v>
      </c>
      <c r="F223" s="108"/>
      <c r="G223" s="108"/>
    </row>
    <row r="224">
      <c r="A224" s="102">
        <v>5.0</v>
      </c>
      <c r="B224" s="123"/>
      <c r="C224" s="123"/>
      <c r="D224" s="107"/>
      <c r="E224" s="107" t="s">
        <v>517</v>
      </c>
      <c r="F224" s="111"/>
      <c r="G224" s="108"/>
    </row>
    <row r="225">
      <c r="A225" s="102">
        <v>6.0</v>
      </c>
      <c r="B225" s="123"/>
      <c r="C225" s="123"/>
      <c r="D225" s="107"/>
      <c r="E225" s="107" t="s">
        <v>1814</v>
      </c>
      <c r="F225" s="111"/>
      <c r="G225" s="108"/>
    </row>
    <row r="226">
      <c r="A226" s="102">
        <v>7.0</v>
      </c>
      <c r="B226" s="123"/>
      <c r="C226" s="123"/>
      <c r="D226" s="107"/>
      <c r="E226" s="107"/>
      <c r="F226" s="108"/>
      <c r="G226" s="108"/>
    </row>
    <row r="227">
      <c r="A227" s="102">
        <v>8.0</v>
      </c>
      <c r="B227" s="123"/>
      <c r="C227" s="123"/>
      <c r="D227" s="107"/>
      <c r="E227" s="107"/>
      <c r="F227" s="108"/>
      <c r="G227" s="108"/>
    </row>
    <row r="228">
      <c r="A228" s="102">
        <v>9.0</v>
      </c>
      <c r="B228" s="123"/>
      <c r="C228" s="123"/>
      <c r="D228" s="107"/>
      <c r="E228" s="107"/>
      <c r="F228" s="108"/>
      <c r="G228" s="108"/>
    </row>
    <row r="229">
      <c r="A229" s="102">
        <v>10.0</v>
      </c>
      <c r="B229" s="123"/>
      <c r="C229" s="123"/>
      <c r="D229" s="107"/>
      <c r="E229" s="107"/>
      <c r="F229" s="108"/>
      <c r="G229" s="108"/>
    </row>
    <row r="230">
      <c r="A230" s="102">
        <v>11.0</v>
      </c>
      <c r="B230" s="123"/>
      <c r="C230" s="123"/>
      <c r="D230" s="107"/>
      <c r="E230" s="107"/>
      <c r="F230" s="108"/>
      <c r="G230" s="108"/>
    </row>
    <row r="231">
      <c r="A231" s="102">
        <v>12.0</v>
      </c>
      <c r="B231" s="123"/>
      <c r="C231" s="123"/>
      <c r="D231" s="107"/>
      <c r="E231" s="107"/>
      <c r="F231" s="108"/>
      <c r="G231" s="108"/>
    </row>
    <row r="232">
      <c r="A232" s="102">
        <v>13.0</v>
      </c>
      <c r="B232" s="123"/>
      <c r="C232" s="123"/>
      <c r="D232" s="107"/>
      <c r="E232" s="107"/>
      <c r="F232" s="111"/>
      <c r="G232" s="108"/>
    </row>
    <row r="233">
      <c r="A233" s="102">
        <v>14.0</v>
      </c>
      <c r="B233" s="123"/>
      <c r="C233" s="123"/>
      <c r="D233" s="107"/>
      <c r="E233" s="107"/>
      <c r="F233" s="108"/>
      <c r="G233" s="108"/>
    </row>
    <row r="234">
      <c r="A234" s="102">
        <v>15.0</v>
      </c>
      <c r="B234" s="123"/>
      <c r="C234" s="123"/>
      <c r="D234" s="107"/>
      <c r="E234" s="107"/>
      <c r="F234" s="108"/>
      <c r="G234" s="108"/>
    </row>
    <row r="235">
      <c r="A235" s="58"/>
      <c r="B235" s="149"/>
      <c r="C235" s="58"/>
      <c r="D235" s="58"/>
      <c r="E235" s="102" t="s">
        <v>144</v>
      </c>
      <c r="F235" s="150"/>
      <c r="G235" s="58"/>
    </row>
    <row r="236">
      <c r="A236" s="58"/>
      <c r="B236" s="149"/>
      <c r="C236" s="58"/>
      <c r="D236" s="58"/>
      <c r="E236" s="102" t="s">
        <v>145</v>
      </c>
      <c r="F236" s="150">
        <v>2930.0</v>
      </c>
      <c r="G236" s="58"/>
    </row>
    <row r="237">
      <c r="A237" s="58"/>
      <c r="B237" s="149"/>
      <c r="C237" s="58"/>
      <c r="D237" s="58"/>
      <c r="E237" s="102" t="s">
        <v>146</v>
      </c>
      <c r="F237" s="150">
        <v>325.0</v>
      </c>
      <c r="G237" s="58"/>
    </row>
    <row r="238">
      <c r="A238" s="58"/>
      <c r="B238" s="149"/>
      <c r="C238" s="58"/>
      <c r="D238" s="58"/>
      <c r="E238" s="102" t="s">
        <v>147</v>
      </c>
      <c r="F238" s="150">
        <v>245.0</v>
      </c>
      <c r="G238" s="58"/>
    </row>
    <row r="239">
      <c r="A239" s="58"/>
      <c r="B239" s="149"/>
      <c r="C239" s="58"/>
      <c r="D239" s="58"/>
      <c r="E239" s="102" t="s">
        <v>148</v>
      </c>
      <c r="F239" s="150">
        <v>2685.0</v>
      </c>
      <c r="G239" s="58"/>
    </row>
    <row r="240">
      <c r="A240" s="56" t="s">
        <v>4</v>
      </c>
      <c r="B240" s="56" t="s">
        <v>5</v>
      </c>
      <c r="C240" s="56" t="s">
        <v>126</v>
      </c>
      <c r="D240" s="56" t="s">
        <v>6</v>
      </c>
      <c r="E240" s="56" t="s">
        <v>7</v>
      </c>
      <c r="F240" s="56" t="s">
        <v>127</v>
      </c>
      <c r="G240" s="57" t="s">
        <v>128</v>
      </c>
    </row>
    <row r="241">
      <c r="A241" s="60">
        <v>1.0</v>
      </c>
      <c r="B241" s="61">
        <v>46118.0</v>
      </c>
      <c r="C241" s="62" t="s">
        <v>1018</v>
      </c>
      <c r="D241" s="63" t="s">
        <v>1740</v>
      </c>
      <c r="E241" s="64" t="s">
        <v>1815</v>
      </c>
      <c r="F241" s="68" t="s">
        <v>1816</v>
      </c>
      <c r="G241" s="68"/>
    </row>
    <row r="242">
      <c r="A242" s="60">
        <v>2.0</v>
      </c>
      <c r="B242" s="66"/>
      <c r="C242" s="67"/>
      <c r="D242" s="63"/>
      <c r="E242" s="64" t="s">
        <v>1817</v>
      </c>
      <c r="F242" s="65">
        <v>250.0</v>
      </c>
      <c r="G242" s="68"/>
    </row>
    <row r="243">
      <c r="A243" s="60">
        <v>3.0</v>
      </c>
      <c r="B243" s="66"/>
      <c r="C243" s="67"/>
      <c r="D243" s="175" t="s">
        <v>132</v>
      </c>
      <c r="E243" s="64" t="s">
        <v>1818</v>
      </c>
      <c r="F243" s="65">
        <v>60.0</v>
      </c>
      <c r="G243" s="69"/>
    </row>
    <row r="244">
      <c r="A244" s="60">
        <v>4.0</v>
      </c>
      <c r="B244" s="66"/>
      <c r="C244" s="67"/>
      <c r="D244" s="63"/>
      <c r="E244" s="64"/>
      <c r="F244" s="65"/>
      <c r="G244" s="69"/>
    </row>
    <row r="245">
      <c r="A245" s="60">
        <v>5.0</v>
      </c>
      <c r="B245" s="66"/>
      <c r="C245" s="67"/>
      <c r="D245" s="63"/>
      <c r="E245" s="64"/>
      <c r="F245" s="65"/>
      <c r="G245" s="68"/>
    </row>
    <row r="246">
      <c r="A246" s="60">
        <v>6.0</v>
      </c>
      <c r="B246" s="66"/>
      <c r="C246" s="67"/>
      <c r="D246" s="63"/>
      <c r="E246" s="64"/>
      <c r="F246" s="65"/>
      <c r="G246" s="65"/>
    </row>
    <row r="247">
      <c r="A247" s="60">
        <v>7.0</v>
      </c>
      <c r="B247" s="66"/>
      <c r="C247" s="67"/>
      <c r="D247" s="63"/>
      <c r="E247" s="63"/>
      <c r="F247" s="307"/>
      <c r="G247" s="69"/>
    </row>
    <row r="248">
      <c r="A248" s="60">
        <v>8.0</v>
      </c>
      <c r="B248" s="66"/>
      <c r="C248" s="67"/>
      <c r="D248" s="63"/>
      <c r="E248" s="63"/>
      <c r="F248" s="307"/>
      <c r="G248" s="69"/>
    </row>
    <row r="249">
      <c r="A249" s="60">
        <v>9.0</v>
      </c>
      <c r="B249" s="66"/>
      <c r="C249" s="67"/>
      <c r="D249" s="63"/>
      <c r="E249" s="63"/>
      <c r="F249" s="68"/>
      <c r="G249" s="69"/>
    </row>
    <row r="250">
      <c r="A250" s="74"/>
      <c r="B250" s="75"/>
      <c r="C250" s="76"/>
      <c r="D250" s="76"/>
      <c r="E250" s="77" t="s">
        <v>144</v>
      </c>
      <c r="F250" s="80"/>
      <c r="G250" s="76"/>
    </row>
    <row r="251">
      <c r="A251" s="79"/>
      <c r="B251" s="75"/>
      <c r="C251" s="76"/>
      <c r="D251" s="76"/>
      <c r="E251" s="77" t="s">
        <v>145</v>
      </c>
      <c r="F251" s="80">
        <v>6550.0</v>
      </c>
      <c r="G251" s="76"/>
    </row>
    <row r="252">
      <c r="A252" s="79"/>
      <c r="B252" s="75"/>
      <c r="C252" s="76"/>
      <c r="D252" s="76"/>
      <c r="E252" s="77" t="s">
        <v>146</v>
      </c>
      <c r="F252" s="80">
        <v>380.0</v>
      </c>
      <c r="G252" s="308"/>
    </row>
    <row r="253">
      <c r="A253" s="79"/>
      <c r="B253" s="75"/>
      <c r="C253" s="76"/>
      <c r="D253" s="76"/>
      <c r="E253" s="77" t="s">
        <v>147</v>
      </c>
      <c r="F253" s="80">
        <v>285.0</v>
      </c>
      <c r="G253" s="76"/>
    </row>
    <row r="254">
      <c r="A254" s="79"/>
      <c r="B254" s="75"/>
      <c r="C254" s="76"/>
      <c r="D254" s="76"/>
      <c r="E254" s="77" t="s">
        <v>148</v>
      </c>
      <c r="F254" s="80">
        <v>6265.0</v>
      </c>
      <c r="G254" s="76"/>
    </row>
    <row r="255">
      <c r="A255" s="56" t="s">
        <v>4</v>
      </c>
      <c r="B255" s="56" t="s">
        <v>5</v>
      </c>
      <c r="C255" s="56" t="s">
        <v>126</v>
      </c>
      <c r="D255" s="56" t="s">
        <v>6</v>
      </c>
      <c r="E255" s="56" t="s">
        <v>7</v>
      </c>
      <c r="F255" s="56" t="s">
        <v>127</v>
      </c>
      <c r="G255" s="57" t="s">
        <v>128</v>
      </c>
    </row>
    <row r="256">
      <c r="A256" s="60">
        <v>1.0</v>
      </c>
      <c r="B256" s="61">
        <v>46119.0</v>
      </c>
      <c r="C256" s="62" t="s">
        <v>1682</v>
      </c>
      <c r="D256" s="63" t="s">
        <v>1740</v>
      </c>
      <c r="E256" s="64" t="s">
        <v>1819</v>
      </c>
      <c r="F256" s="68"/>
      <c r="G256" s="68"/>
    </row>
    <row r="257">
      <c r="A257" s="60">
        <v>2.0</v>
      </c>
      <c r="B257" s="66"/>
      <c r="C257" s="67"/>
      <c r="D257" s="63"/>
      <c r="E257" s="64" t="s">
        <v>1820</v>
      </c>
      <c r="F257" s="65"/>
      <c r="G257" s="68"/>
    </row>
    <row r="258">
      <c r="A258" s="60">
        <v>3.0</v>
      </c>
      <c r="B258" s="66"/>
      <c r="C258" s="67"/>
      <c r="D258" s="175" t="s">
        <v>132</v>
      </c>
      <c r="E258" s="64" t="s">
        <v>1821</v>
      </c>
      <c r="F258" s="65"/>
      <c r="G258" s="69"/>
    </row>
    <row r="259">
      <c r="A259" s="60">
        <v>4.0</v>
      </c>
      <c r="B259" s="66"/>
      <c r="C259" s="67"/>
      <c r="D259" s="63"/>
      <c r="E259" s="64" t="s">
        <v>1822</v>
      </c>
      <c r="F259" s="65"/>
      <c r="G259" s="69"/>
    </row>
    <row r="260">
      <c r="A260" s="60">
        <v>5.0</v>
      </c>
      <c r="B260" s="66"/>
      <c r="C260" s="67"/>
      <c r="D260" s="63"/>
      <c r="E260" s="64" t="s">
        <v>1823</v>
      </c>
      <c r="F260" s="65"/>
      <c r="G260" s="68"/>
    </row>
    <row r="261">
      <c r="A261" s="60">
        <v>6.0</v>
      </c>
      <c r="B261" s="66"/>
      <c r="C261" s="67"/>
      <c r="D261" s="63"/>
      <c r="E261" s="64" t="s">
        <v>1824</v>
      </c>
      <c r="F261" s="65"/>
      <c r="G261" s="65"/>
    </row>
    <row r="262">
      <c r="A262" s="60">
        <v>7.0</v>
      </c>
      <c r="B262" s="66"/>
      <c r="C262" s="67"/>
      <c r="D262" s="63"/>
      <c r="E262" s="63" t="s">
        <v>1825</v>
      </c>
      <c r="F262" s="307"/>
      <c r="G262" s="69"/>
    </row>
    <row r="263">
      <c r="A263" s="60">
        <v>8.0</v>
      </c>
      <c r="B263" s="66"/>
      <c r="C263" s="67"/>
      <c r="D263" s="63"/>
      <c r="E263" s="63" t="s">
        <v>1826</v>
      </c>
      <c r="F263" s="307"/>
      <c r="G263" s="69"/>
    </row>
    <row r="264">
      <c r="A264" s="60">
        <v>9.0</v>
      </c>
      <c r="B264" s="66"/>
      <c r="C264" s="67"/>
      <c r="D264" s="63"/>
      <c r="E264" s="63" t="s">
        <v>1827</v>
      </c>
      <c r="F264" s="68"/>
      <c r="G264" s="69"/>
    </row>
    <row r="265">
      <c r="A265" s="74"/>
      <c r="B265" s="75"/>
      <c r="C265" s="76"/>
      <c r="D265" s="76"/>
      <c r="E265" s="77" t="s">
        <v>144</v>
      </c>
      <c r="F265" s="80"/>
      <c r="G265" s="76"/>
    </row>
    <row r="266">
      <c r="A266" s="79"/>
      <c r="B266" s="75"/>
      <c r="C266" s="76"/>
      <c r="D266" s="76"/>
      <c r="E266" s="77" t="s">
        <v>145</v>
      </c>
      <c r="F266" s="80">
        <v>3920.0</v>
      </c>
      <c r="G266" s="76"/>
    </row>
    <row r="267">
      <c r="A267" s="79"/>
      <c r="B267" s="75"/>
      <c r="C267" s="76"/>
      <c r="D267" s="76"/>
      <c r="E267" s="77" t="s">
        <v>146</v>
      </c>
      <c r="F267" s="80">
        <v>460.0</v>
      </c>
      <c r="G267" s="308"/>
    </row>
    <row r="268">
      <c r="A268" s="79"/>
      <c r="B268" s="75"/>
      <c r="C268" s="76"/>
      <c r="D268" s="76"/>
      <c r="E268" s="77" t="s">
        <v>147</v>
      </c>
      <c r="F268" s="80">
        <v>345.0</v>
      </c>
      <c r="G268" s="76"/>
    </row>
    <row r="269">
      <c r="A269" s="79"/>
      <c r="B269" s="75"/>
      <c r="C269" s="76"/>
      <c r="D269" s="76"/>
      <c r="E269" s="77" t="s">
        <v>148</v>
      </c>
      <c r="F269" s="80">
        <v>3575.0</v>
      </c>
      <c r="G269" s="76"/>
    </row>
    <row r="270">
      <c r="A270" s="56" t="s">
        <v>4</v>
      </c>
      <c r="B270" s="56" t="s">
        <v>5</v>
      </c>
      <c r="C270" s="56" t="s">
        <v>126</v>
      </c>
      <c r="D270" s="56" t="s">
        <v>6</v>
      </c>
      <c r="E270" s="56" t="s">
        <v>7</v>
      </c>
      <c r="F270" s="56" t="s">
        <v>127</v>
      </c>
      <c r="G270" s="57" t="s">
        <v>128</v>
      </c>
    </row>
    <row r="271">
      <c r="A271" s="60">
        <v>1.0</v>
      </c>
      <c r="B271" s="61">
        <v>46123.0</v>
      </c>
      <c r="C271" s="62" t="s">
        <v>1041</v>
      </c>
      <c r="D271" s="63" t="s">
        <v>1740</v>
      </c>
      <c r="E271" s="64" t="s">
        <v>1828</v>
      </c>
      <c r="F271" s="68"/>
      <c r="G271" s="68" t="s">
        <v>1829</v>
      </c>
    </row>
    <row r="272">
      <c r="A272" s="60">
        <v>2.0</v>
      </c>
      <c r="B272" s="66"/>
      <c r="C272" s="67"/>
      <c r="D272" s="63"/>
      <c r="E272" s="64"/>
      <c r="F272" s="65"/>
      <c r="G272" s="68"/>
    </row>
    <row r="273">
      <c r="A273" s="60">
        <v>3.0</v>
      </c>
      <c r="B273" s="66"/>
      <c r="C273" s="67"/>
      <c r="D273" s="175" t="s">
        <v>132</v>
      </c>
      <c r="E273" s="64"/>
      <c r="F273" s="65"/>
      <c r="G273" s="69"/>
    </row>
    <row r="274">
      <c r="A274" s="60">
        <v>4.0</v>
      </c>
      <c r="B274" s="66"/>
      <c r="C274" s="67"/>
      <c r="D274" s="63"/>
      <c r="E274" s="64"/>
      <c r="F274" s="65"/>
      <c r="G274" s="69"/>
    </row>
    <row r="275">
      <c r="A275" s="60">
        <v>5.0</v>
      </c>
      <c r="B275" s="66"/>
      <c r="C275" s="67"/>
      <c r="D275" s="63"/>
      <c r="E275" s="64"/>
      <c r="F275" s="65"/>
      <c r="G275" s="68"/>
    </row>
    <row r="276">
      <c r="A276" s="60">
        <v>6.0</v>
      </c>
      <c r="B276" s="66"/>
      <c r="C276" s="67"/>
      <c r="D276" s="63"/>
      <c r="E276" s="64"/>
      <c r="F276" s="65"/>
      <c r="G276" s="65"/>
    </row>
    <row r="277">
      <c r="A277" s="60">
        <v>7.0</v>
      </c>
      <c r="B277" s="66"/>
      <c r="C277" s="67"/>
      <c r="D277" s="63"/>
      <c r="E277" s="63"/>
      <c r="F277" s="307"/>
      <c r="G277" s="69"/>
    </row>
    <row r="278">
      <c r="A278" s="60">
        <v>8.0</v>
      </c>
      <c r="B278" s="66"/>
      <c r="C278" s="67"/>
      <c r="D278" s="63"/>
      <c r="E278" s="63"/>
      <c r="F278" s="307"/>
      <c r="G278" s="69"/>
    </row>
    <row r="279">
      <c r="A279" s="60">
        <v>9.0</v>
      </c>
      <c r="B279" s="66"/>
      <c r="C279" s="67"/>
      <c r="D279" s="63"/>
      <c r="E279" s="63"/>
      <c r="F279" s="68"/>
      <c r="G279" s="69"/>
    </row>
    <row r="280">
      <c r="A280" s="74"/>
      <c r="B280" s="75"/>
      <c r="C280" s="76"/>
      <c r="D280" s="76"/>
      <c r="E280" s="77" t="s">
        <v>144</v>
      </c>
      <c r="F280" s="80"/>
      <c r="G280" s="76"/>
    </row>
    <row r="281">
      <c r="A281" s="79"/>
      <c r="B281" s="75"/>
      <c r="C281" s="76"/>
      <c r="D281" s="76"/>
      <c r="E281" s="77" t="s">
        <v>145</v>
      </c>
      <c r="F281" s="80"/>
      <c r="G281" s="76"/>
    </row>
    <row r="282">
      <c r="A282" s="79"/>
      <c r="B282" s="75"/>
      <c r="C282" s="76"/>
      <c r="D282" s="76"/>
      <c r="E282" s="77" t="s">
        <v>146</v>
      </c>
      <c r="F282" s="80"/>
      <c r="G282" s="308"/>
    </row>
    <row r="283">
      <c r="A283" s="79"/>
      <c r="B283" s="75"/>
      <c r="C283" s="76"/>
      <c r="D283" s="76"/>
      <c r="E283" s="77" t="s">
        <v>147</v>
      </c>
      <c r="F283" s="80"/>
      <c r="G283" s="76"/>
    </row>
    <row r="284">
      <c r="A284" s="79"/>
      <c r="B284" s="75"/>
      <c r="C284" s="76"/>
      <c r="D284" s="76"/>
      <c r="E284" s="77" t="s">
        <v>148</v>
      </c>
      <c r="F284" s="80"/>
      <c r="G284" s="76"/>
    </row>
  </sheetData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57"/>
    <col customWidth="1" min="5" max="5" width="58.86"/>
    <col customWidth="1" min="6" max="6" width="67.57"/>
    <col customWidth="1" min="7" max="7" width="40.0"/>
    <col customWidth="1" hidden="1" min="8" max="19" width="21.57"/>
  </cols>
  <sheetData>
    <row r="1" ht="27.75" customHeight="1">
      <c r="A1" s="56" t="s">
        <v>4</v>
      </c>
      <c r="B1" s="56" t="s">
        <v>5</v>
      </c>
      <c r="C1" s="56" t="s">
        <v>126</v>
      </c>
      <c r="D1" s="56" t="s">
        <v>6</v>
      </c>
      <c r="E1" s="56" t="s">
        <v>7</v>
      </c>
      <c r="F1" s="56" t="s">
        <v>127</v>
      </c>
      <c r="G1" s="57" t="s">
        <v>128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ht="27.75" customHeight="1">
      <c r="A2" s="60">
        <v>1.0</v>
      </c>
      <c r="B2" s="61">
        <v>46082.0</v>
      </c>
      <c r="C2" s="62" t="s">
        <v>129</v>
      </c>
      <c r="D2" s="63" t="s">
        <v>48</v>
      </c>
      <c r="E2" s="64" t="s">
        <v>187</v>
      </c>
      <c r="F2" s="65">
        <v>35.0</v>
      </c>
      <c r="G2" s="6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ht="27.75" customHeight="1">
      <c r="A3" s="60">
        <v>2.0</v>
      </c>
      <c r="B3" s="66"/>
      <c r="C3" s="67"/>
      <c r="D3" s="63"/>
      <c r="E3" s="64" t="s">
        <v>282</v>
      </c>
      <c r="F3" s="65" t="s">
        <v>1830</v>
      </c>
      <c r="G3" s="6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ht="27.75" customHeight="1">
      <c r="A4" s="60">
        <v>3.0</v>
      </c>
      <c r="B4" s="66"/>
      <c r="C4" s="67"/>
      <c r="D4" s="63"/>
      <c r="E4" s="64" t="s">
        <v>282</v>
      </c>
      <c r="F4" s="68" t="s">
        <v>1831</v>
      </c>
      <c r="G4" s="6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ht="27.75" customHeight="1">
      <c r="A5" s="60">
        <v>4.0</v>
      </c>
      <c r="B5" s="66"/>
      <c r="C5" s="67"/>
      <c r="D5" s="63"/>
      <c r="E5" s="64" t="s">
        <v>1832</v>
      </c>
      <c r="F5" s="69"/>
      <c r="G5" s="6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</row>
    <row r="6" ht="27.75" customHeight="1">
      <c r="A6" s="60">
        <v>5.0</v>
      </c>
      <c r="B6" s="66"/>
      <c r="C6" s="67"/>
      <c r="D6" s="63"/>
      <c r="E6" s="64" t="s">
        <v>1833</v>
      </c>
      <c r="F6" s="69"/>
      <c r="G6" s="6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</row>
    <row r="7" ht="27.75" customHeight="1">
      <c r="A7" s="60">
        <v>6.0</v>
      </c>
      <c r="B7" s="66"/>
      <c r="C7" s="67"/>
      <c r="D7" s="63"/>
      <c r="E7" s="64" t="s">
        <v>1834</v>
      </c>
      <c r="F7" s="69"/>
      <c r="G7" s="6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</row>
    <row r="8" ht="27.75" customHeight="1">
      <c r="A8" s="60">
        <v>7.0</v>
      </c>
      <c r="B8" s="66"/>
      <c r="C8" s="67"/>
      <c r="D8" s="63"/>
      <c r="E8" s="64" t="s">
        <v>1835</v>
      </c>
      <c r="F8" s="68" t="s">
        <v>140</v>
      </c>
      <c r="G8" s="6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</row>
    <row r="9" ht="27.75" customHeight="1">
      <c r="A9" s="60">
        <v>8.0</v>
      </c>
      <c r="B9" s="66"/>
      <c r="C9" s="67"/>
      <c r="D9" s="63"/>
      <c r="E9" s="64" t="s">
        <v>1836</v>
      </c>
      <c r="F9" s="69"/>
      <c r="G9" s="6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</row>
    <row r="10" ht="27.75" customHeight="1">
      <c r="A10" s="60">
        <v>9.0</v>
      </c>
      <c r="B10" s="66"/>
      <c r="C10" s="67"/>
      <c r="D10" s="63"/>
      <c r="E10" s="64" t="s">
        <v>1837</v>
      </c>
      <c r="F10" s="69"/>
      <c r="G10" s="6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ht="27.75" customHeight="1">
      <c r="A11" s="60">
        <v>10.0</v>
      </c>
      <c r="B11" s="66"/>
      <c r="C11" s="67"/>
      <c r="D11" s="63"/>
      <c r="E11" s="70"/>
      <c r="F11" s="69"/>
      <c r="G11" s="6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</row>
    <row r="12" ht="27.75" customHeight="1">
      <c r="A12" s="60">
        <v>11.0</v>
      </c>
      <c r="B12" s="66"/>
      <c r="C12" s="67"/>
      <c r="D12" s="63"/>
      <c r="E12" s="70"/>
      <c r="F12" s="69"/>
      <c r="G12" s="6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</row>
    <row r="13" ht="27.75" customHeight="1">
      <c r="A13" s="60">
        <v>12.0</v>
      </c>
      <c r="B13" s="66"/>
      <c r="C13" s="67"/>
      <c r="D13" s="63"/>
      <c r="E13" s="70"/>
      <c r="F13" s="69"/>
      <c r="G13" s="6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</row>
    <row r="14" ht="27.75" customHeight="1">
      <c r="A14" s="60">
        <v>13.0</v>
      </c>
      <c r="B14" s="66"/>
      <c r="C14" s="67"/>
      <c r="D14" s="63"/>
      <c r="E14" s="70"/>
      <c r="F14" s="69"/>
      <c r="G14" s="6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</row>
    <row r="15" ht="27.75" customHeight="1">
      <c r="A15" s="60">
        <v>14.0</v>
      </c>
      <c r="B15" s="66"/>
      <c r="C15" s="67"/>
      <c r="D15" s="63"/>
      <c r="E15" s="70"/>
      <c r="F15" s="69"/>
      <c r="G15" s="6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</row>
    <row r="16" ht="27.75" customHeight="1">
      <c r="A16" s="71">
        <v>15.0</v>
      </c>
      <c r="B16" s="72"/>
      <c r="C16" s="73"/>
      <c r="D16" s="63"/>
      <c r="E16" s="70"/>
      <c r="F16" s="69"/>
      <c r="G16" s="6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</row>
    <row r="17" ht="27.75" customHeight="1">
      <c r="A17" s="74"/>
      <c r="B17" s="75"/>
      <c r="C17" s="76"/>
      <c r="D17" s="76"/>
      <c r="E17" s="77" t="s">
        <v>144</v>
      </c>
      <c r="F17" s="78"/>
      <c r="G17" s="76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</row>
    <row r="18" ht="27.75" customHeight="1">
      <c r="A18" s="79"/>
      <c r="B18" s="75"/>
      <c r="C18" s="76"/>
      <c r="D18" s="76"/>
      <c r="E18" s="77" t="s">
        <v>145</v>
      </c>
      <c r="F18" s="80">
        <v>1230.0</v>
      </c>
      <c r="G18" s="76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</row>
    <row r="19" ht="27.75" customHeight="1">
      <c r="A19" s="79"/>
      <c r="B19" s="75"/>
      <c r="C19" s="76"/>
      <c r="D19" s="76"/>
      <c r="E19" s="77" t="s">
        <v>146</v>
      </c>
      <c r="F19" s="80">
        <v>535.0</v>
      </c>
      <c r="G19" s="76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</row>
    <row r="20" ht="27.75" customHeight="1">
      <c r="A20" s="79"/>
      <c r="B20" s="75"/>
      <c r="C20" s="76"/>
      <c r="D20" s="76"/>
      <c r="E20" s="77" t="s">
        <v>147</v>
      </c>
      <c r="F20" s="80">
        <v>400.0</v>
      </c>
      <c r="G20" s="76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</row>
    <row r="21" ht="27.75" customHeight="1">
      <c r="A21" s="79"/>
      <c r="B21" s="75"/>
      <c r="C21" s="76"/>
      <c r="D21" s="76"/>
      <c r="E21" s="77" t="s">
        <v>148</v>
      </c>
      <c r="F21" s="78"/>
      <c r="G21" s="76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</row>
    <row r="22" ht="27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</row>
    <row r="23" ht="27.75" customHeight="1">
      <c r="A23" s="56" t="s">
        <v>4</v>
      </c>
      <c r="B23" s="56" t="s">
        <v>5</v>
      </c>
      <c r="C23" s="56" t="s">
        <v>126</v>
      </c>
      <c r="D23" s="56" t="s">
        <v>6</v>
      </c>
      <c r="E23" s="56" t="s">
        <v>7</v>
      </c>
      <c r="F23" s="56" t="s">
        <v>127</v>
      </c>
      <c r="G23" s="57" t="s">
        <v>128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</row>
    <row r="24" ht="27.75" customHeight="1">
      <c r="A24" s="60">
        <v>1.0</v>
      </c>
      <c r="B24" s="61">
        <v>46083.0</v>
      </c>
      <c r="C24" s="62" t="s">
        <v>149</v>
      </c>
      <c r="D24" s="63" t="s">
        <v>1838</v>
      </c>
      <c r="E24" s="64" t="s">
        <v>36</v>
      </c>
      <c r="F24" s="68" t="s">
        <v>1839</v>
      </c>
      <c r="G24" s="6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</row>
    <row r="25" ht="27.75" customHeight="1">
      <c r="A25" s="60">
        <v>2.0</v>
      </c>
      <c r="B25" s="66"/>
      <c r="C25" s="67"/>
      <c r="D25" s="63"/>
      <c r="E25" s="64" t="s">
        <v>1840</v>
      </c>
      <c r="F25" s="68" t="s">
        <v>1841</v>
      </c>
      <c r="G25" s="6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</row>
    <row r="26" ht="27.75" customHeight="1">
      <c r="A26" s="60">
        <v>3.0</v>
      </c>
      <c r="B26" s="66"/>
      <c r="C26" s="67"/>
      <c r="D26" s="63"/>
      <c r="E26" s="64" t="s">
        <v>848</v>
      </c>
      <c r="F26" s="65">
        <v>3.0</v>
      </c>
      <c r="G26" s="6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</row>
    <row r="27" ht="27.75" customHeight="1">
      <c r="A27" s="60">
        <v>4.0</v>
      </c>
      <c r="B27" s="66"/>
      <c r="C27" s="67"/>
      <c r="D27" s="63"/>
      <c r="E27" s="64" t="s">
        <v>1842</v>
      </c>
      <c r="F27" s="65" t="s">
        <v>1843</v>
      </c>
      <c r="G27" s="6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</row>
    <row r="28" ht="27.75" customHeight="1">
      <c r="A28" s="60">
        <v>5.0</v>
      </c>
      <c r="B28" s="66"/>
      <c r="C28" s="67"/>
      <c r="D28" s="63"/>
      <c r="E28" s="64" t="s">
        <v>1844</v>
      </c>
      <c r="F28" s="65" t="s">
        <v>1845</v>
      </c>
      <c r="G28" s="6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ht="27.75" customHeight="1">
      <c r="A29" s="60">
        <v>6.0</v>
      </c>
      <c r="B29" s="66"/>
      <c r="C29" s="67"/>
      <c r="D29" s="63"/>
      <c r="E29" s="64" t="s">
        <v>1846</v>
      </c>
      <c r="F29" s="65">
        <v>30.0</v>
      </c>
      <c r="G29" s="6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ht="27.75" customHeight="1">
      <c r="A30" s="60">
        <v>7.0</v>
      </c>
      <c r="B30" s="66"/>
      <c r="C30" s="67"/>
      <c r="D30" s="63"/>
      <c r="E30" s="70"/>
      <c r="F30" s="69"/>
      <c r="G30" s="6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</row>
    <row r="31" ht="27.75" customHeight="1">
      <c r="A31" s="60">
        <v>8.0</v>
      </c>
      <c r="B31" s="66"/>
      <c r="C31" s="67"/>
      <c r="D31" s="63"/>
      <c r="E31" s="70"/>
      <c r="F31" s="69"/>
      <c r="G31" s="6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</row>
    <row r="32" ht="27.75" customHeight="1">
      <c r="A32" s="60">
        <v>9.0</v>
      </c>
      <c r="B32" s="66"/>
      <c r="C32" s="67"/>
      <c r="D32" s="63"/>
      <c r="E32" s="70"/>
      <c r="F32" s="69"/>
      <c r="G32" s="6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</row>
    <row r="33" ht="27.75" customHeight="1">
      <c r="A33" s="60">
        <v>10.0</v>
      </c>
      <c r="B33" s="66"/>
      <c r="C33" s="67"/>
      <c r="D33" s="63"/>
      <c r="E33" s="70"/>
      <c r="F33" s="69"/>
      <c r="G33" s="6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</row>
    <row r="34" ht="27.75" customHeight="1">
      <c r="A34" s="60">
        <v>11.0</v>
      </c>
      <c r="B34" s="66"/>
      <c r="C34" s="67"/>
      <c r="D34" s="63"/>
      <c r="E34" s="70"/>
      <c r="F34" s="69"/>
      <c r="G34" s="6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</row>
    <row r="35" ht="27.75" customHeight="1">
      <c r="A35" s="60">
        <v>12.0</v>
      </c>
      <c r="B35" s="66"/>
      <c r="C35" s="67"/>
      <c r="D35" s="63"/>
      <c r="E35" s="70"/>
      <c r="F35" s="69"/>
      <c r="G35" s="6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</row>
    <row r="36" ht="27.75" customHeight="1">
      <c r="A36" s="60">
        <v>13.0</v>
      </c>
      <c r="B36" s="66"/>
      <c r="C36" s="67"/>
      <c r="D36" s="63"/>
      <c r="E36" s="70"/>
      <c r="F36" s="69"/>
      <c r="G36" s="6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</row>
    <row r="37" ht="27.75" customHeight="1">
      <c r="A37" s="60">
        <v>14.0</v>
      </c>
      <c r="B37" s="66"/>
      <c r="C37" s="67"/>
      <c r="D37" s="63"/>
      <c r="E37" s="70"/>
      <c r="F37" s="69"/>
      <c r="G37" s="6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</row>
    <row r="38" ht="27.75" customHeight="1">
      <c r="A38" s="71">
        <v>15.0</v>
      </c>
      <c r="B38" s="72"/>
      <c r="C38" s="73"/>
      <c r="D38" s="63"/>
      <c r="E38" s="70"/>
      <c r="F38" s="69"/>
      <c r="G38" s="6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</row>
    <row r="39" ht="27.75" customHeight="1">
      <c r="A39" s="74"/>
      <c r="B39" s="75"/>
      <c r="C39" s="76"/>
      <c r="D39" s="76"/>
      <c r="E39" s="77" t="s">
        <v>144</v>
      </c>
      <c r="F39" s="86" t="s">
        <v>1847</v>
      </c>
      <c r="G39" s="76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</row>
    <row r="40" ht="27.75" customHeight="1">
      <c r="A40" s="79"/>
      <c r="B40" s="75"/>
      <c r="C40" s="76"/>
      <c r="D40" s="76"/>
      <c r="E40" s="77" t="s">
        <v>145</v>
      </c>
      <c r="F40" s="80">
        <v>870.0</v>
      </c>
      <c r="G40" s="76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</row>
    <row r="41" ht="27.75" customHeight="1">
      <c r="A41" s="79"/>
      <c r="B41" s="75"/>
      <c r="C41" s="76"/>
      <c r="D41" s="76"/>
      <c r="E41" s="77" t="s">
        <v>146</v>
      </c>
      <c r="F41" s="80">
        <v>270.0</v>
      </c>
      <c r="G41" s="76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</row>
    <row r="42" ht="27.75" customHeight="1">
      <c r="A42" s="79"/>
      <c r="B42" s="75"/>
      <c r="C42" s="76"/>
      <c r="D42" s="76"/>
      <c r="E42" s="77" t="s">
        <v>147</v>
      </c>
      <c r="F42" s="80">
        <v>205.0</v>
      </c>
      <c r="G42" s="76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</row>
    <row r="43" ht="27.75" customHeight="1">
      <c r="A43" s="79"/>
      <c r="B43" s="75"/>
      <c r="C43" s="76"/>
      <c r="D43" s="76"/>
      <c r="E43" s="77" t="s">
        <v>148</v>
      </c>
      <c r="F43" s="80">
        <v>665.0</v>
      </c>
      <c r="G43" s="76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</row>
    <row r="44" ht="27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</row>
    <row r="45" ht="27.75" customHeight="1">
      <c r="A45" s="56" t="s">
        <v>4</v>
      </c>
      <c r="B45" s="56" t="s">
        <v>5</v>
      </c>
      <c r="C45" s="56" t="s">
        <v>126</v>
      </c>
      <c r="D45" s="56" t="s">
        <v>6</v>
      </c>
      <c r="E45" s="56" t="s">
        <v>7</v>
      </c>
      <c r="F45" s="56" t="s">
        <v>127</v>
      </c>
      <c r="G45" s="57" t="s">
        <v>128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</row>
    <row r="46" ht="27.75" customHeight="1">
      <c r="A46" s="60">
        <v>1.0</v>
      </c>
      <c r="B46" s="61">
        <v>46084.0</v>
      </c>
      <c r="C46" s="62" t="s">
        <v>169</v>
      </c>
      <c r="D46" s="63"/>
      <c r="E46" s="64" t="s">
        <v>277</v>
      </c>
      <c r="F46" s="65">
        <v>35.0</v>
      </c>
      <c r="G46" s="6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</row>
    <row r="47" ht="27.75" customHeight="1">
      <c r="A47" s="60">
        <v>2.0</v>
      </c>
      <c r="B47" s="66"/>
      <c r="C47" s="67"/>
      <c r="D47" s="63"/>
      <c r="E47" s="64" t="s">
        <v>1138</v>
      </c>
      <c r="F47" s="65">
        <v>50.0</v>
      </c>
      <c r="G47" s="6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</row>
    <row r="48" ht="27.75" customHeight="1">
      <c r="A48" s="60">
        <v>3.0</v>
      </c>
      <c r="B48" s="66"/>
      <c r="C48" s="67"/>
      <c r="D48" s="63"/>
      <c r="E48" s="64" t="s">
        <v>1848</v>
      </c>
      <c r="F48" s="68" t="s">
        <v>402</v>
      </c>
      <c r="G48" s="6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ht="27.75" customHeight="1">
      <c r="A49" s="60">
        <v>4.0</v>
      </c>
      <c r="B49" s="66"/>
      <c r="C49" s="67"/>
      <c r="D49" s="63"/>
      <c r="E49" s="64" t="s">
        <v>1849</v>
      </c>
      <c r="F49" s="65">
        <v>35.0</v>
      </c>
      <c r="G49" s="6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ht="27.75" customHeight="1">
      <c r="A50" s="60">
        <v>5.0</v>
      </c>
      <c r="B50" s="66"/>
      <c r="C50" s="67"/>
      <c r="D50" s="63"/>
      <c r="E50" s="64" t="s">
        <v>1850</v>
      </c>
      <c r="F50" s="68" t="s">
        <v>1851</v>
      </c>
      <c r="G50" s="6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ht="27.75" customHeight="1">
      <c r="A51" s="60">
        <v>6.0</v>
      </c>
      <c r="B51" s="66"/>
      <c r="C51" s="67"/>
      <c r="D51" s="63"/>
      <c r="E51" s="64" t="s">
        <v>662</v>
      </c>
      <c r="F51" s="68" t="s">
        <v>1852</v>
      </c>
      <c r="G51" s="6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ht="27.75" customHeight="1">
      <c r="A52" s="60">
        <v>7.0</v>
      </c>
      <c r="B52" s="66"/>
      <c r="C52" s="67"/>
      <c r="D52" s="63"/>
      <c r="E52" s="70"/>
      <c r="F52" s="69"/>
      <c r="G52" s="6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ht="27.75" customHeight="1">
      <c r="A53" s="60">
        <v>8.0</v>
      </c>
      <c r="B53" s="66"/>
      <c r="C53" s="67"/>
      <c r="D53" s="63"/>
      <c r="E53" s="70"/>
      <c r="F53" s="69"/>
      <c r="G53" s="6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ht="27.75" customHeight="1">
      <c r="A54" s="60">
        <v>9.0</v>
      </c>
      <c r="B54" s="66"/>
      <c r="C54" s="67"/>
      <c r="D54" s="63"/>
      <c r="E54" s="70"/>
      <c r="F54" s="69"/>
      <c r="G54" s="6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ht="27.75" customHeight="1">
      <c r="A55" s="60">
        <v>10.0</v>
      </c>
      <c r="B55" s="66"/>
      <c r="C55" s="67"/>
      <c r="D55" s="63"/>
      <c r="E55" s="70"/>
      <c r="F55" s="69"/>
      <c r="G55" s="6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ht="27.75" customHeight="1">
      <c r="A56" s="60">
        <v>11.0</v>
      </c>
      <c r="B56" s="66"/>
      <c r="C56" s="67"/>
      <c r="D56" s="63"/>
      <c r="E56" s="70"/>
      <c r="F56" s="69"/>
      <c r="G56" s="6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ht="27.75" customHeight="1">
      <c r="A57" s="60">
        <v>12.0</v>
      </c>
      <c r="B57" s="66"/>
      <c r="C57" s="67"/>
      <c r="D57" s="63"/>
      <c r="E57" s="70"/>
      <c r="F57" s="69"/>
      <c r="G57" s="6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ht="27.75" customHeight="1">
      <c r="A58" s="60">
        <v>13.0</v>
      </c>
      <c r="B58" s="66"/>
      <c r="C58" s="67"/>
      <c r="D58" s="63"/>
      <c r="E58" s="70"/>
      <c r="F58" s="69"/>
      <c r="G58" s="6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ht="27.75" customHeight="1">
      <c r="A59" s="60">
        <v>14.0</v>
      </c>
      <c r="B59" s="66"/>
      <c r="C59" s="67"/>
      <c r="D59" s="63"/>
      <c r="E59" s="70"/>
      <c r="F59" s="69"/>
      <c r="G59" s="6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ht="27.75" customHeight="1">
      <c r="A60" s="71">
        <v>15.0</v>
      </c>
      <c r="B60" s="72"/>
      <c r="C60" s="73"/>
      <c r="D60" s="63"/>
      <c r="E60" s="70"/>
      <c r="F60" s="69"/>
      <c r="G60" s="6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ht="27.75" customHeight="1">
      <c r="A61" s="74"/>
      <c r="B61" s="75"/>
      <c r="C61" s="76"/>
      <c r="D61" s="76"/>
      <c r="E61" s="77" t="s">
        <v>144</v>
      </c>
      <c r="F61" s="78"/>
      <c r="G61" s="76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ht="27.75" customHeight="1">
      <c r="A62" s="79"/>
      <c r="B62" s="75"/>
      <c r="C62" s="76"/>
      <c r="D62" s="76"/>
      <c r="E62" s="77" t="s">
        <v>145</v>
      </c>
      <c r="F62" s="80">
        <v>120.0</v>
      </c>
      <c r="G62" s="76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ht="27.75" customHeight="1">
      <c r="A63" s="79"/>
      <c r="B63" s="75"/>
      <c r="C63" s="76"/>
      <c r="D63" s="76"/>
      <c r="E63" s="77" t="s">
        <v>146</v>
      </c>
      <c r="F63" s="80">
        <v>435.0</v>
      </c>
      <c r="G63" s="76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ht="27.75" customHeight="1">
      <c r="A64" s="79"/>
      <c r="B64" s="75"/>
      <c r="C64" s="76"/>
      <c r="D64" s="76"/>
      <c r="E64" s="77" t="s">
        <v>147</v>
      </c>
      <c r="F64" s="80">
        <v>325.0</v>
      </c>
      <c r="G64" s="76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ht="27.75" customHeight="1">
      <c r="A65" s="79"/>
      <c r="B65" s="75"/>
      <c r="C65" s="76"/>
      <c r="D65" s="76"/>
      <c r="E65" s="77" t="s">
        <v>148</v>
      </c>
      <c r="F65" s="78"/>
      <c r="G65" s="76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ht="27.75" customHeight="1">
      <c r="A66" s="56" t="s">
        <v>4</v>
      </c>
      <c r="B66" s="56" t="s">
        <v>5</v>
      </c>
      <c r="C66" s="56" t="s">
        <v>126</v>
      </c>
      <c r="D66" s="56" t="s">
        <v>6</v>
      </c>
      <c r="E66" s="56" t="s">
        <v>7</v>
      </c>
      <c r="F66" s="56" t="s">
        <v>127</v>
      </c>
      <c r="G66" s="57" t="s">
        <v>128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ht="27.75" customHeight="1">
      <c r="A67" s="60">
        <v>1.0</v>
      </c>
      <c r="B67" s="61">
        <v>46085.0</v>
      </c>
      <c r="C67" s="62" t="s">
        <v>588</v>
      </c>
      <c r="D67" s="63"/>
      <c r="E67" s="64" t="s">
        <v>36</v>
      </c>
      <c r="F67" s="68" t="s">
        <v>1853</v>
      </c>
      <c r="G67" s="6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ht="27.75" customHeight="1">
      <c r="A68" s="60">
        <v>2.0</v>
      </c>
      <c r="B68" s="66"/>
      <c r="C68" s="67"/>
      <c r="D68" s="63"/>
      <c r="E68" s="64" t="s">
        <v>36</v>
      </c>
      <c r="F68" s="68" t="s">
        <v>1854</v>
      </c>
      <c r="G68" s="6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ht="27.75" customHeight="1">
      <c r="A69" s="60">
        <v>3.0</v>
      </c>
      <c r="B69" s="66"/>
      <c r="C69" s="67"/>
      <c r="D69" s="63"/>
      <c r="E69" s="64" t="s">
        <v>36</v>
      </c>
      <c r="F69" s="68" t="s">
        <v>1855</v>
      </c>
      <c r="G69" s="6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ht="27.75" customHeight="1">
      <c r="A70" s="60">
        <v>4.0</v>
      </c>
      <c r="B70" s="66"/>
      <c r="C70" s="67"/>
      <c r="D70" s="63"/>
      <c r="E70" s="64" t="s">
        <v>1856</v>
      </c>
      <c r="F70" s="65">
        <v>50.0</v>
      </c>
      <c r="G70" s="6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ht="27.75" customHeight="1">
      <c r="A71" s="60">
        <v>5.0</v>
      </c>
      <c r="B71" s="66"/>
      <c r="C71" s="67"/>
      <c r="D71" s="63"/>
      <c r="E71" s="64" t="s">
        <v>130</v>
      </c>
      <c r="F71" s="68" t="s">
        <v>1857</v>
      </c>
      <c r="G71" s="6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ht="27.75" customHeight="1">
      <c r="A72" s="60">
        <v>6.0</v>
      </c>
      <c r="B72" s="66"/>
      <c r="C72" s="67"/>
      <c r="D72" s="63"/>
      <c r="E72" s="64" t="s">
        <v>1858</v>
      </c>
      <c r="F72" s="68" t="s">
        <v>1859</v>
      </c>
      <c r="G72" s="6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ht="27.75" customHeight="1">
      <c r="A73" s="60">
        <v>7.0</v>
      </c>
      <c r="B73" s="66"/>
      <c r="C73" s="67"/>
      <c r="D73" s="63"/>
      <c r="E73" s="64" t="s">
        <v>36</v>
      </c>
      <c r="F73" s="68" t="s">
        <v>1860</v>
      </c>
      <c r="G73" s="6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ht="27.75" customHeight="1">
      <c r="A74" s="60">
        <v>8.0</v>
      </c>
      <c r="B74" s="66"/>
      <c r="C74" s="67"/>
      <c r="D74" s="63"/>
      <c r="E74" s="64" t="s">
        <v>1861</v>
      </c>
      <c r="F74" s="65" t="s">
        <v>195</v>
      </c>
      <c r="G74" s="68" t="s">
        <v>1862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ht="27.75" customHeight="1">
      <c r="A75" s="60">
        <v>9.0</v>
      </c>
      <c r="B75" s="66"/>
      <c r="C75" s="67"/>
      <c r="D75" s="63"/>
      <c r="E75" s="64" t="s">
        <v>1863</v>
      </c>
      <c r="F75" s="68" t="s">
        <v>1864</v>
      </c>
      <c r="G75" s="6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ht="27.75" customHeight="1">
      <c r="A76" s="60">
        <v>10.0</v>
      </c>
      <c r="B76" s="66"/>
      <c r="C76" s="67"/>
      <c r="D76" s="63"/>
      <c r="E76" s="315"/>
      <c r="F76" s="316"/>
      <c r="G76" s="6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ht="27.75" customHeight="1">
      <c r="A77" s="60">
        <v>11.0</v>
      </c>
      <c r="B77" s="66"/>
      <c r="C77" s="67"/>
      <c r="D77" s="163"/>
      <c r="E77" s="317" t="s">
        <v>799</v>
      </c>
      <c r="F77" s="318">
        <f>-50+30+50+35+335</f>
        <v>400</v>
      </c>
      <c r="G77" s="165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ht="27.75" customHeight="1">
      <c r="A78" s="60">
        <v>12.0</v>
      </c>
      <c r="B78" s="66"/>
      <c r="C78" s="67"/>
      <c r="D78" s="163"/>
      <c r="E78" s="317" t="s">
        <v>1144</v>
      </c>
      <c r="F78" s="318">
        <f>50+30+35+50+35+35+35+35+40*75/100</f>
        <v>335</v>
      </c>
      <c r="G78" s="165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ht="27.75" customHeight="1">
      <c r="A79" s="60">
        <v>13.0</v>
      </c>
      <c r="B79" s="66"/>
      <c r="C79" s="67"/>
      <c r="D79" s="163"/>
      <c r="E79" s="317" t="s">
        <v>1145</v>
      </c>
      <c r="F79" s="318">
        <f>F77-F78</f>
        <v>65</v>
      </c>
      <c r="G79" s="165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ht="27.75" customHeight="1">
      <c r="A80" s="60">
        <v>14.0</v>
      </c>
      <c r="B80" s="66"/>
      <c r="C80" s="67"/>
      <c r="D80" s="63"/>
      <c r="E80" s="319"/>
      <c r="F80" s="320"/>
      <c r="G80" s="6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ht="27.75" customHeight="1">
      <c r="A81" s="71">
        <v>15.0</v>
      </c>
      <c r="B81" s="72"/>
      <c r="C81" s="73"/>
      <c r="D81" s="63"/>
      <c r="E81" s="70"/>
      <c r="F81" s="68"/>
      <c r="G81" s="6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ht="27.75" customHeight="1">
      <c r="A82" s="74"/>
      <c r="B82" s="75"/>
      <c r="C82" s="76"/>
      <c r="D82" s="76"/>
      <c r="E82" s="77" t="s">
        <v>144</v>
      </c>
      <c r="F82" s="78"/>
      <c r="G82" s="76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ht="27.75" customHeight="1">
      <c r="A83" s="79"/>
      <c r="B83" s="75"/>
      <c r="C83" s="76"/>
      <c r="D83" s="76"/>
      <c r="E83" s="77" t="s">
        <v>145</v>
      </c>
      <c r="F83" s="80"/>
      <c r="G83" s="76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ht="27.75" customHeight="1">
      <c r="A84" s="79"/>
      <c r="B84" s="75"/>
      <c r="C84" s="76"/>
      <c r="D84" s="76"/>
      <c r="E84" s="77" t="s">
        <v>146</v>
      </c>
      <c r="F84" s="80"/>
      <c r="G84" s="76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ht="27.75" customHeight="1">
      <c r="A85" s="79"/>
      <c r="B85" s="75"/>
      <c r="C85" s="76"/>
      <c r="D85" s="76"/>
      <c r="E85" s="77" t="s">
        <v>147</v>
      </c>
      <c r="F85" s="80"/>
      <c r="G85" s="76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ht="27.75" customHeight="1">
      <c r="A86" s="79"/>
      <c r="B86" s="75"/>
      <c r="C86" s="76"/>
      <c r="D86" s="76"/>
      <c r="E86" s="77" t="s">
        <v>148</v>
      </c>
      <c r="F86" s="78"/>
      <c r="G86" s="76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ht="27.75" customHeight="1">
      <c r="A87" s="321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ht="27.75" customHeight="1">
      <c r="A88" s="56" t="s">
        <v>4</v>
      </c>
      <c r="B88" s="56" t="s">
        <v>5</v>
      </c>
      <c r="C88" s="56" t="s">
        <v>126</v>
      </c>
      <c r="D88" s="56" t="s">
        <v>6</v>
      </c>
      <c r="E88" s="56" t="s">
        <v>7</v>
      </c>
      <c r="F88" s="56" t="s">
        <v>127</v>
      </c>
      <c r="G88" s="57" t="s">
        <v>128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ht="27.75" customHeight="1">
      <c r="A89" s="60">
        <v>1.0</v>
      </c>
      <c r="B89" s="61">
        <v>46086.0</v>
      </c>
      <c r="C89" s="62" t="s">
        <v>211</v>
      </c>
      <c r="D89" s="63" t="s">
        <v>1865</v>
      </c>
      <c r="E89" s="64" t="s">
        <v>1138</v>
      </c>
      <c r="F89" s="68" t="s">
        <v>1866</v>
      </c>
      <c r="G89" s="6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ht="27.75" customHeight="1">
      <c r="A90" s="60">
        <v>2.0</v>
      </c>
      <c r="B90" s="61">
        <v>46086.0</v>
      </c>
      <c r="C90" s="62" t="s">
        <v>470</v>
      </c>
      <c r="D90" s="63" t="s">
        <v>1865</v>
      </c>
      <c r="E90" s="64" t="s">
        <v>235</v>
      </c>
      <c r="F90" s="68" t="s">
        <v>1867</v>
      </c>
      <c r="G90" s="6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ht="27.75" customHeight="1">
      <c r="A91" s="60">
        <v>3.0</v>
      </c>
      <c r="B91" s="61">
        <v>46086.0</v>
      </c>
      <c r="C91" s="62" t="s">
        <v>341</v>
      </c>
      <c r="D91" s="63" t="s">
        <v>1865</v>
      </c>
      <c r="E91" s="64" t="s">
        <v>1868</v>
      </c>
      <c r="F91" s="68" t="s">
        <v>1869</v>
      </c>
      <c r="G91" s="6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ht="27.75" customHeight="1">
      <c r="A92" s="60">
        <v>4.0</v>
      </c>
      <c r="B92" s="61">
        <v>46086.0</v>
      </c>
      <c r="C92" s="62" t="s">
        <v>129</v>
      </c>
      <c r="D92" s="63" t="s">
        <v>1865</v>
      </c>
      <c r="E92" s="64" t="s">
        <v>1147</v>
      </c>
      <c r="F92" s="65"/>
      <c r="G92" s="6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ht="27.75" customHeight="1">
      <c r="A93" s="60">
        <v>5.0</v>
      </c>
      <c r="B93" s="61">
        <v>46086.0</v>
      </c>
      <c r="C93" s="62" t="s">
        <v>149</v>
      </c>
      <c r="D93" s="63" t="s">
        <v>1865</v>
      </c>
      <c r="E93" s="64" t="s">
        <v>1172</v>
      </c>
      <c r="F93" s="65">
        <v>30.0</v>
      </c>
      <c r="G93" s="6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ht="27.75" customHeight="1">
      <c r="A94" s="60">
        <v>6.0</v>
      </c>
      <c r="B94" s="61">
        <v>46086.0</v>
      </c>
      <c r="C94" s="62" t="s">
        <v>169</v>
      </c>
      <c r="D94" s="63" t="s">
        <v>1865</v>
      </c>
      <c r="E94" s="64" t="s">
        <v>282</v>
      </c>
      <c r="F94" s="68" t="s">
        <v>1870</v>
      </c>
      <c r="G94" s="6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ht="27.75" customHeight="1">
      <c r="A95" s="60">
        <v>7.0</v>
      </c>
      <c r="B95" s="61">
        <v>46086.0</v>
      </c>
      <c r="C95" s="62" t="s">
        <v>299</v>
      </c>
      <c r="D95" s="63" t="s">
        <v>1865</v>
      </c>
      <c r="E95" s="64" t="s">
        <v>177</v>
      </c>
      <c r="F95" s="68" t="s">
        <v>1871</v>
      </c>
      <c r="G95" s="6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ht="27.75" customHeight="1">
      <c r="A96" s="60">
        <v>8.0</v>
      </c>
      <c r="B96" s="61">
        <v>46086.0</v>
      </c>
      <c r="C96" s="62" t="s">
        <v>211</v>
      </c>
      <c r="D96" s="63" t="s">
        <v>1865</v>
      </c>
      <c r="E96" s="64" t="s">
        <v>1872</v>
      </c>
      <c r="F96" s="65">
        <v>35.0</v>
      </c>
      <c r="G96" s="68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ht="27.75" customHeight="1">
      <c r="A97" s="60">
        <v>9.0</v>
      </c>
      <c r="B97" s="66"/>
      <c r="C97" s="67"/>
      <c r="D97" s="63"/>
      <c r="E97" s="64"/>
      <c r="F97" s="68"/>
      <c r="G97" s="6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ht="27.75" customHeight="1">
      <c r="A98" s="60">
        <v>10.0</v>
      </c>
      <c r="B98" s="66"/>
      <c r="C98" s="67"/>
      <c r="D98" s="63"/>
      <c r="E98" s="315"/>
      <c r="F98" s="316"/>
      <c r="G98" s="6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ht="27.75" customHeight="1">
      <c r="A99" s="60">
        <v>11.0</v>
      </c>
      <c r="B99" s="66"/>
      <c r="C99" s="67"/>
      <c r="D99" s="163"/>
      <c r="E99" s="317" t="s">
        <v>799</v>
      </c>
      <c r="F99" s="318">
        <f>50+35+100+30+30+40+35</f>
        <v>320</v>
      </c>
      <c r="G99" s="165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ht="27.75" customHeight="1">
      <c r="A100" s="60">
        <v>12.0</v>
      </c>
      <c r="B100" s="66"/>
      <c r="C100" s="67"/>
      <c r="D100" s="163"/>
      <c r="E100" s="317" t="s">
        <v>1144</v>
      </c>
      <c r="F100" s="322">
        <v>375.0</v>
      </c>
      <c r="G100" s="165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ht="27.75" customHeight="1">
      <c r="A101" s="60">
        <v>13.0</v>
      </c>
      <c r="B101" s="66"/>
      <c r="C101" s="67"/>
      <c r="D101" s="163"/>
      <c r="E101" s="317" t="s">
        <v>1145</v>
      </c>
      <c r="F101" s="317" t="s">
        <v>1873</v>
      </c>
      <c r="G101" s="165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ht="27.75" customHeight="1">
      <c r="A102" s="60">
        <v>14.0</v>
      </c>
      <c r="B102" s="66"/>
      <c r="C102" s="67"/>
      <c r="D102" s="63"/>
      <c r="E102" s="319"/>
      <c r="F102" s="320"/>
      <c r="G102" s="6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ht="27.75" customHeight="1">
      <c r="A103" s="71">
        <v>15.0</v>
      </c>
      <c r="B103" s="72"/>
      <c r="C103" s="73"/>
      <c r="D103" s="63"/>
      <c r="E103" s="70"/>
      <c r="F103" s="68"/>
      <c r="G103" s="6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ht="27.75" customHeight="1">
      <c r="A104" s="74"/>
      <c r="B104" s="75"/>
      <c r="C104" s="76"/>
      <c r="D104" s="76"/>
      <c r="E104" s="77" t="s">
        <v>144</v>
      </c>
      <c r="F104" s="78"/>
      <c r="G104" s="76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ht="27.75" customHeight="1">
      <c r="A105" s="79"/>
      <c r="B105" s="75"/>
      <c r="C105" s="76"/>
      <c r="D105" s="76"/>
      <c r="E105" s="77" t="s">
        <v>145</v>
      </c>
      <c r="F105" s="80"/>
      <c r="G105" s="76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ht="27.75" customHeight="1">
      <c r="A106" s="79"/>
      <c r="B106" s="75"/>
      <c r="C106" s="76"/>
      <c r="D106" s="76"/>
      <c r="E106" s="77" t="s">
        <v>146</v>
      </c>
      <c r="F106" s="80"/>
      <c r="G106" s="76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ht="27.75" customHeight="1">
      <c r="A107" s="79"/>
      <c r="B107" s="75"/>
      <c r="C107" s="76"/>
      <c r="D107" s="76"/>
      <c r="E107" s="77" t="s">
        <v>147</v>
      </c>
      <c r="F107" s="80"/>
      <c r="G107" s="76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ht="27.75" customHeight="1">
      <c r="A108" s="79"/>
      <c r="B108" s="75"/>
      <c r="C108" s="76"/>
      <c r="D108" s="76"/>
      <c r="E108" s="77" t="s">
        <v>148</v>
      </c>
      <c r="F108" s="78"/>
      <c r="G108" s="76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ht="27.75" customHeight="1">
      <c r="A109" s="56" t="s">
        <v>4</v>
      </c>
      <c r="B109" s="56" t="s">
        <v>5</v>
      </c>
      <c r="C109" s="56" t="s">
        <v>126</v>
      </c>
      <c r="D109" s="56" t="s">
        <v>6</v>
      </c>
      <c r="E109" s="56" t="s">
        <v>7</v>
      </c>
      <c r="F109" s="56" t="s">
        <v>127</v>
      </c>
      <c r="G109" s="57" t="s">
        <v>128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ht="27.75" customHeight="1">
      <c r="A110" s="60">
        <v>1.0</v>
      </c>
      <c r="B110" s="61">
        <v>46087.0</v>
      </c>
      <c r="C110" s="62" t="s">
        <v>618</v>
      </c>
      <c r="D110" s="63" t="s">
        <v>1865</v>
      </c>
      <c r="E110" s="64" t="s">
        <v>1874</v>
      </c>
      <c r="F110" s="68" t="s">
        <v>1875</v>
      </c>
      <c r="G110" s="6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ht="27.75" customHeight="1">
      <c r="A111" s="60">
        <v>2.0</v>
      </c>
      <c r="B111" s="61">
        <v>46087.0</v>
      </c>
      <c r="C111" s="62" t="s">
        <v>618</v>
      </c>
      <c r="D111" s="63" t="s">
        <v>1865</v>
      </c>
      <c r="E111" s="64" t="s">
        <v>36</v>
      </c>
      <c r="F111" s="68" t="s">
        <v>1876</v>
      </c>
      <c r="G111" s="6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ht="27.75" customHeight="1">
      <c r="A112" s="60">
        <v>3.0</v>
      </c>
      <c r="B112" s="61">
        <v>46087.0</v>
      </c>
      <c r="C112" s="62" t="s">
        <v>618</v>
      </c>
      <c r="D112" s="63" t="s">
        <v>1865</v>
      </c>
      <c r="E112" s="64" t="s">
        <v>1877</v>
      </c>
      <c r="F112" s="65">
        <v>35.0</v>
      </c>
      <c r="G112" s="6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ht="27.75" customHeight="1">
      <c r="A113" s="60">
        <v>4.0</v>
      </c>
      <c r="B113" s="61">
        <v>46087.0</v>
      </c>
      <c r="C113" s="62" t="s">
        <v>618</v>
      </c>
      <c r="D113" s="63" t="s">
        <v>1865</v>
      </c>
      <c r="E113" s="64" t="s">
        <v>1878</v>
      </c>
      <c r="F113" s="65"/>
      <c r="G113" s="6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ht="27.75" customHeight="1">
      <c r="A114" s="60">
        <v>5.0</v>
      </c>
      <c r="B114" s="61">
        <v>46087.0</v>
      </c>
      <c r="C114" s="62" t="s">
        <v>618</v>
      </c>
      <c r="D114" s="63" t="s">
        <v>1865</v>
      </c>
      <c r="E114" s="64"/>
      <c r="F114" s="65">
        <f>200+30+35-170-50</f>
        <v>45</v>
      </c>
      <c r="G114" s="6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ht="27.75" customHeight="1">
      <c r="A115" s="60">
        <v>6.0</v>
      </c>
      <c r="B115" s="61">
        <v>46087.0</v>
      </c>
      <c r="C115" s="62" t="s">
        <v>618</v>
      </c>
      <c r="D115" s="63" t="s">
        <v>1865</v>
      </c>
      <c r="E115" s="64"/>
      <c r="F115" s="68">
        <f>70+30+35</f>
        <v>135</v>
      </c>
      <c r="G115" s="6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ht="27.75" customHeight="1">
      <c r="A116" s="60">
        <v>7.0</v>
      </c>
      <c r="B116" s="61">
        <v>46087.0</v>
      </c>
      <c r="C116" s="62" t="s">
        <v>618</v>
      </c>
      <c r="D116" s="63" t="s">
        <v>1865</v>
      </c>
      <c r="E116" s="64"/>
      <c r="F116" s="68">
        <f>45-135</f>
        <v>-90</v>
      </c>
      <c r="G116" s="6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ht="27.75" customHeight="1">
      <c r="A117" s="60">
        <v>8.0</v>
      </c>
      <c r="B117" s="61">
        <v>46087.0</v>
      </c>
      <c r="C117" s="62" t="s">
        <v>618</v>
      </c>
      <c r="D117" s="63" t="s">
        <v>1865</v>
      </c>
      <c r="E117" s="64"/>
      <c r="F117" s="65"/>
      <c r="G117" s="6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ht="27.75" customHeight="1">
      <c r="A118" s="60">
        <v>9.0</v>
      </c>
      <c r="B118" s="66"/>
      <c r="C118" s="67"/>
      <c r="D118" s="63"/>
      <c r="E118" s="64"/>
      <c r="F118" s="68"/>
      <c r="G118" s="6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ht="27.75" customHeight="1">
      <c r="A119" s="60">
        <v>10.0</v>
      </c>
      <c r="B119" s="66"/>
      <c r="C119" s="67"/>
      <c r="D119" s="63"/>
      <c r="E119" s="315"/>
      <c r="F119" s="316"/>
      <c r="G119" s="6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ht="27.75" customHeight="1">
      <c r="A120" s="60">
        <v>11.0</v>
      </c>
      <c r="B120" s="66"/>
      <c r="C120" s="67"/>
      <c r="D120" s="163"/>
      <c r="E120" s="317" t="s">
        <v>799</v>
      </c>
      <c r="F120" s="317" t="s">
        <v>1879</v>
      </c>
      <c r="G120" s="165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ht="27.75" customHeight="1">
      <c r="A121" s="60">
        <v>12.0</v>
      </c>
      <c r="B121" s="66"/>
      <c r="C121" s="67"/>
      <c r="D121" s="163"/>
      <c r="E121" s="317" t="s">
        <v>1144</v>
      </c>
      <c r="F121" s="322"/>
      <c r="G121" s="165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ht="27.75" customHeight="1">
      <c r="A122" s="60">
        <v>13.0</v>
      </c>
      <c r="B122" s="66"/>
      <c r="C122" s="67"/>
      <c r="D122" s="163"/>
      <c r="E122" s="317" t="s">
        <v>1145</v>
      </c>
      <c r="F122" s="317"/>
      <c r="G122" s="165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ht="27.75" customHeight="1">
      <c r="A123" s="60">
        <v>14.0</v>
      </c>
      <c r="B123" s="66"/>
      <c r="C123" s="67"/>
      <c r="D123" s="63"/>
      <c r="E123" s="319"/>
      <c r="F123" s="320"/>
      <c r="G123" s="6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ht="27.75" customHeight="1">
      <c r="A124" s="71">
        <v>15.0</v>
      </c>
      <c r="B124" s="72"/>
      <c r="C124" s="73"/>
      <c r="D124" s="63"/>
      <c r="E124" s="70"/>
      <c r="F124" s="68"/>
      <c r="G124" s="6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ht="27.75" customHeight="1">
      <c r="A125" s="321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ht="27.75" customHeight="1">
      <c r="A126" s="56" t="s">
        <v>4</v>
      </c>
      <c r="B126" s="56" t="s">
        <v>5</v>
      </c>
      <c r="C126" s="56" t="s">
        <v>126</v>
      </c>
      <c r="D126" s="56" t="s">
        <v>6</v>
      </c>
      <c r="E126" s="56" t="s">
        <v>7</v>
      </c>
      <c r="F126" s="56" t="s">
        <v>127</v>
      </c>
      <c r="G126" s="57" t="s">
        <v>128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ht="27.75" customHeight="1">
      <c r="A127" s="60">
        <v>1.0</v>
      </c>
      <c r="B127" s="61">
        <v>46088.0</v>
      </c>
      <c r="C127" s="62" t="s">
        <v>1041</v>
      </c>
      <c r="D127" s="63" t="s">
        <v>48</v>
      </c>
      <c r="E127" s="64" t="s">
        <v>1880</v>
      </c>
      <c r="F127" s="323">
        <v>40.0</v>
      </c>
      <c r="G127" s="6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ht="27.75" customHeight="1">
      <c r="A128" s="60">
        <v>2.0</v>
      </c>
      <c r="B128" s="66"/>
      <c r="C128" s="67"/>
      <c r="D128" s="63"/>
      <c r="E128" s="64" t="s">
        <v>1881</v>
      </c>
      <c r="F128" s="65">
        <v>45.0</v>
      </c>
      <c r="G128" s="6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ht="27.75" customHeight="1">
      <c r="A129" s="60">
        <v>3.0</v>
      </c>
      <c r="B129" s="66"/>
      <c r="C129" s="67"/>
      <c r="D129" s="63"/>
      <c r="E129" s="64" t="s">
        <v>1882</v>
      </c>
      <c r="F129" s="323">
        <v>35.0</v>
      </c>
      <c r="G129" s="6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ht="27.75" customHeight="1">
      <c r="A130" s="60">
        <v>4.0</v>
      </c>
      <c r="B130" s="66"/>
      <c r="C130" s="67"/>
      <c r="D130" s="63"/>
      <c r="E130" s="64" t="s">
        <v>1883</v>
      </c>
      <c r="F130" s="65">
        <v>30.0</v>
      </c>
      <c r="G130" s="6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ht="27.75" customHeight="1">
      <c r="A131" s="60">
        <v>5.0</v>
      </c>
      <c r="B131" s="66"/>
      <c r="C131" s="67"/>
      <c r="D131" s="63"/>
      <c r="E131" s="64" t="s">
        <v>1884</v>
      </c>
      <c r="F131" s="65">
        <v>50.0</v>
      </c>
      <c r="G131" s="6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ht="27.75" customHeight="1">
      <c r="A132" s="60">
        <v>6.0</v>
      </c>
      <c r="B132" s="66"/>
      <c r="C132" s="67"/>
      <c r="D132" s="63"/>
      <c r="E132" s="64" t="s">
        <v>1885</v>
      </c>
      <c r="F132" s="270">
        <v>105.0</v>
      </c>
      <c r="G132" s="177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ht="27.75" customHeight="1">
      <c r="A133" s="60">
        <v>7.0</v>
      </c>
      <c r="B133" s="66"/>
      <c r="C133" s="67"/>
      <c r="D133" s="63"/>
      <c r="E133" s="64" t="s">
        <v>1886</v>
      </c>
      <c r="F133" s="65">
        <v>105.0</v>
      </c>
      <c r="G133" s="6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ht="27.75" customHeight="1">
      <c r="A134" s="60">
        <v>8.0</v>
      </c>
      <c r="B134" s="66"/>
      <c r="C134" s="67"/>
      <c r="D134" s="63"/>
      <c r="E134" s="64"/>
      <c r="F134" s="68"/>
      <c r="G134" s="6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ht="27.75" customHeight="1">
      <c r="A135" s="60">
        <v>9.0</v>
      </c>
      <c r="B135" s="66"/>
      <c r="C135" s="67"/>
      <c r="D135" s="63"/>
      <c r="E135" s="64" t="s">
        <v>1887</v>
      </c>
      <c r="F135" s="68">
        <f>40+45+30+50+105+105</f>
        <v>375</v>
      </c>
      <c r="G135" s="6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ht="27.75" customHeight="1">
      <c r="A136" s="60">
        <v>10.0</v>
      </c>
      <c r="B136" s="66"/>
      <c r="C136" s="67"/>
      <c r="D136" s="63"/>
      <c r="E136" s="64" t="s">
        <v>204</v>
      </c>
      <c r="F136" s="65">
        <v>310.0</v>
      </c>
      <c r="G136" s="6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ht="27.75" customHeight="1">
      <c r="A137" s="60">
        <v>11.0</v>
      </c>
      <c r="B137" s="66"/>
      <c r="C137" s="67"/>
      <c r="D137" s="63"/>
      <c r="E137" s="64" t="s">
        <v>1145</v>
      </c>
      <c r="F137" s="65">
        <f>F135-F136</f>
        <v>65</v>
      </c>
      <c r="G137" s="6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ht="27.75" customHeight="1">
      <c r="A138" s="60">
        <v>12.0</v>
      </c>
      <c r="B138" s="66"/>
      <c r="C138" s="67"/>
      <c r="D138" s="63"/>
      <c r="E138" s="64"/>
      <c r="F138" s="65"/>
      <c r="G138" s="6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ht="27.75" customHeight="1">
      <c r="A139" s="60">
        <v>13.0</v>
      </c>
      <c r="B139" s="66"/>
      <c r="C139" s="67"/>
      <c r="D139" s="63"/>
      <c r="E139" s="64"/>
      <c r="F139" s="65"/>
      <c r="G139" s="6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ht="27.75" customHeight="1">
      <c r="A140" s="60">
        <v>14.0</v>
      </c>
      <c r="B140" s="66"/>
      <c r="C140" s="67"/>
      <c r="D140" s="63"/>
      <c r="E140" s="64"/>
      <c r="F140" s="65"/>
      <c r="G140" s="6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ht="27.75" customHeight="1">
      <c r="A141" s="71">
        <v>15.0</v>
      </c>
      <c r="B141" s="72"/>
      <c r="C141" s="73"/>
      <c r="D141" s="63"/>
      <c r="E141" s="64"/>
      <c r="F141" s="65"/>
      <c r="G141" s="6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ht="27.75" customHeight="1">
      <c r="A142" s="74"/>
      <c r="B142" s="75"/>
      <c r="C142" s="76"/>
      <c r="D142" s="76"/>
      <c r="E142" s="64"/>
      <c r="F142" s="68"/>
      <c r="G142" s="76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ht="27.75" customHeight="1">
      <c r="A143" s="79"/>
      <c r="B143" s="75"/>
      <c r="C143" s="76"/>
      <c r="D143" s="76"/>
      <c r="E143" s="64" t="s">
        <v>1887</v>
      </c>
      <c r="F143" s="68">
        <f>40+45+30+50+105+105</f>
        <v>375</v>
      </c>
      <c r="G143" s="76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ht="27.75" customHeight="1">
      <c r="A144" s="79"/>
      <c r="B144" s="75"/>
      <c r="C144" s="76"/>
      <c r="D144" s="76"/>
      <c r="E144" s="64" t="s">
        <v>204</v>
      </c>
      <c r="F144" s="65">
        <v>310.0</v>
      </c>
      <c r="G144" s="76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ht="27.75" customHeight="1">
      <c r="A145" s="79"/>
      <c r="B145" s="75"/>
      <c r="C145" s="76"/>
      <c r="D145" s="76"/>
      <c r="E145" s="64" t="s">
        <v>1145</v>
      </c>
      <c r="F145" s="65">
        <f>F143-F144</f>
        <v>65</v>
      </c>
      <c r="G145" s="76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ht="27.75" customHeight="1">
      <c r="A146" s="79"/>
      <c r="B146" s="75"/>
      <c r="C146" s="76"/>
      <c r="D146" s="76"/>
      <c r="E146" s="81"/>
      <c r="F146" s="78"/>
      <c r="G146" s="76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ht="27.75" customHeight="1">
      <c r="A147" s="56" t="s">
        <v>4</v>
      </c>
      <c r="B147" s="56" t="s">
        <v>5</v>
      </c>
      <c r="C147" s="56" t="s">
        <v>126</v>
      </c>
      <c r="D147" s="56" t="s">
        <v>6</v>
      </c>
      <c r="E147" s="56" t="s">
        <v>7</v>
      </c>
      <c r="F147" s="56" t="s">
        <v>127</v>
      </c>
      <c r="G147" s="57" t="s">
        <v>128</v>
      </c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ht="27.75" customHeight="1">
      <c r="A148" s="60">
        <v>1.0</v>
      </c>
      <c r="B148" s="61">
        <v>46089.0</v>
      </c>
      <c r="C148" s="62" t="s">
        <v>476</v>
      </c>
      <c r="D148" s="63"/>
      <c r="E148" s="64" t="s">
        <v>1888</v>
      </c>
      <c r="F148" s="65">
        <v>70.0</v>
      </c>
      <c r="G148" s="6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ht="27.75" customHeight="1">
      <c r="A149" s="60">
        <v>2.0</v>
      </c>
      <c r="B149" s="66"/>
      <c r="C149" s="67"/>
      <c r="D149" s="63"/>
      <c r="E149" s="64" t="s">
        <v>1889</v>
      </c>
      <c r="F149" s="68" t="s">
        <v>1890</v>
      </c>
      <c r="G149" s="6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ht="27.75" customHeight="1">
      <c r="A150" s="60">
        <v>3.0</v>
      </c>
      <c r="B150" s="66"/>
      <c r="C150" s="67"/>
      <c r="D150" s="63"/>
      <c r="E150" s="64" t="s">
        <v>277</v>
      </c>
      <c r="F150" s="68" t="s">
        <v>1891</v>
      </c>
      <c r="G150" s="6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ht="27.75" customHeight="1">
      <c r="A151" s="60">
        <v>4.0</v>
      </c>
      <c r="B151" s="66"/>
      <c r="C151" s="67"/>
      <c r="D151" s="63"/>
      <c r="E151" s="64" t="s">
        <v>235</v>
      </c>
      <c r="F151" s="65">
        <v>40.0</v>
      </c>
      <c r="G151" s="6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ht="27.75" customHeight="1">
      <c r="A152" s="60">
        <v>5.0</v>
      </c>
      <c r="B152" s="66"/>
      <c r="C152" s="67"/>
      <c r="D152" s="63"/>
      <c r="E152" s="64" t="s">
        <v>869</v>
      </c>
      <c r="F152" s="65">
        <v>120.0</v>
      </c>
      <c r="G152" s="6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ht="27.75" customHeight="1">
      <c r="A153" s="60">
        <v>6.0</v>
      </c>
      <c r="B153" s="66"/>
      <c r="C153" s="67"/>
      <c r="D153" s="63"/>
      <c r="E153" s="64" t="s">
        <v>1892</v>
      </c>
      <c r="F153" s="68" t="s">
        <v>1893</v>
      </c>
      <c r="G153" s="6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ht="27.75" customHeight="1">
      <c r="A154" s="60">
        <v>7.0</v>
      </c>
      <c r="B154" s="66"/>
      <c r="C154" s="67"/>
      <c r="D154" s="63"/>
      <c r="E154" s="64"/>
      <c r="F154" s="68"/>
      <c r="G154" s="6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ht="27.75" customHeight="1">
      <c r="A155" s="60">
        <v>8.0</v>
      </c>
      <c r="B155" s="66"/>
      <c r="C155" s="67"/>
      <c r="D155" s="63"/>
      <c r="E155" s="64"/>
      <c r="F155" s="65"/>
      <c r="G155" s="6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ht="27.75" customHeight="1">
      <c r="A156" s="60">
        <v>9.0</v>
      </c>
      <c r="B156" s="66"/>
      <c r="C156" s="67"/>
      <c r="D156" s="63"/>
      <c r="E156" s="64"/>
      <c r="F156" s="68"/>
      <c r="G156" s="6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ht="27.75" customHeight="1">
      <c r="A157" s="60">
        <v>10.0</v>
      </c>
      <c r="B157" s="66"/>
      <c r="C157" s="67"/>
      <c r="D157" s="63"/>
      <c r="E157" s="315"/>
      <c r="F157" s="316"/>
      <c r="G157" s="6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ht="27.75" customHeight="1">
      <c r="A158" s="60">
        <v>11.0</v>
      </c>
      <c r="B158" s="66"/>
      <c r="C158" s="67"/>
      <c r="D158" s="163"/>
      <c r="E158" s="317" t="s">
        <v>1894</v>
      </c>
      <c r="F158" s="318"/>
      <c r="G158" s="165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ht="27.75" customHeight="1">
      <c r="A159" s="60">
        <v>12.0</v>
      </c>
      <c r="B159" s="66"/>
      <c r="C159" s="67"/>
      <c r="D159" s="163"/>
      <c r="E159" s="317" t="s">
        <v>1895</v>
      </c>
      <c r="F159" s="317" t="s">
        <v>1896</v>
      </c>
      <c r="G159" s="165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ht="27.75" customHeight="1">
      <c r="A160" s="60">
        <v>13.0</v>
      </c>
      <c r="B160" s="66"/>
      <c r="C160" s="67"/>
      <c r="D160" s="163"/>
      <c r="E160" s="317" t="s">
        <v>1145</v>
      </c>
      <c r="F160" s="318"/>
      <c r="G160" s="165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ht="27.75" customHeight="1">
      <c r="A161" s="60">
        <v>14.0</v>
      </c>
      <c r="B161" s="66"/>
      <c r="C161" s="67"/>
      <c r="D161" s="63"/>
      <c r="E161" s="319"/>
      <c r="F161" s="320"/>
      <c r="G161" s="6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ht="27.75" customHeight="1">
      <c r="A162" s="71">
        <v>15.0</v>
      </c>
      <c r="B162" s="72"/>
      <c r="C162" s="73"/>
      <c r="D162" s="63"/>
      <c r="E162" s="70"/>
      <c r="F162" s="68"/>
      <c r="G162" s="6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ht="27.75" customHeight="1">
      <c r="A163" s="74"/>
      <c r="B163" s="75"/>
      <c r="C163" s="76"/>
      <c r="D163" s="76"/>
      <c r="E163" s="77" t="s">
        <v>144</v>
      </c>
      <c r="F163" s="78"/>
      <c r="G163" s="76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ht="27.75" customHeight="1">
      <c r="A164" s="79"/>
      <c r="B164" s="75"/>
      <c r="C164" s="76"/>
      <c r="D164" s="76"/>
      <c r="E164" s="77" t="s">
        <v>145</v>
      </c>
      <c r="F164" s="80"/>
      <c r="G164" s="76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ht="27.75" customHeight="1">
      <c r="A165" s="79"/>
      <c r="B165" s="75"/>
      <c r="C165" s="76"/>
      <c r="D165" s="76"/>
      <c r="E165" s="77" t="s">
        <v>146</v>
      </c>
      <c r="F165" s="80"/>
      <c r="G165" s="76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ht="27.75" customHeight="1">
      <c r="A166" s="79"/>
      <c r="B166" s="75"/>
      <c r="C166" s="76"/>
      <c r="D166" s="76"/>
      <c r="E166" s="77" t="s">
        <v>147</v>
      </c>
      <c r="F166" s="80"/>
      <c r="G166" s="76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ht="27.75" customHeight="1">
      <c r="A167" s="79"/>
      <c r="B167" s="75"/>
      <c r="C167" s="76"/>
      <c r="D167" s="76"/>
      <c r="E167" s="77" t="s">
        <v>148</v>
      </c>
      <c r="F167" s="78"/>
      <c r="G167" s="76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ht="27.75" customHeight="1">
      <c r="A168" s="321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ht="27.75" customHeight="1">
      <c r="A169" s="89"/>
      <c r="B169" s="90"/>
      <c r="C169" s="90"/>
      <c r="D169" s="90"/>
      <c r="E169" s="90"/>
      <c r="F169" s="90"/>
      <c r="G169" s="90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ht="27.75" customHeight="1">
      <c r="A170" s="102" t="s">
        <v>4</v>
      </c>
      <c r="B170" s="102" t="s">
        <v>5</v>
      </c>
      <c r="C170" s="102" t="s">
        <v>126</v>
      </c>
      <c r="D170" s="102" t="s">
        <v>6</v>
      </c>
      <c r="E170" s="102" t="s">
        <v>7</v>
      </c>
      <c r="F170" s="102" t="s">
        <v>127</v>
      </c>
      <c r="G170" s="103" t="s">
        <v>128</v>
      </c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ht="27.75" customHeight="1">
      <c r="A171" s="104">
        <v>1.0</v>
      </c>
      <c r="B171" s="105">
        <v>46090.0</v>
      </c>
      <c r="C171" s="106" t="s">
        <v>261</v>
      </c>
      <c r="D171" s="107"/>
      <c r="E171" s="107" t="s">
        <v>1897</v>
      </c>
      <c r="F171" s="108">
        <v>35.0</v>
      </c>
      <c r="G171" s="10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ht="27.75" customHeight="1">
      <c r="A172" s="104">
        <v>2.0</v>
      </c>
      <c r="B172" s="120"/>
      <c r="C172" s="110"/>
      <c r="D172" s="107"/>
      <c r="E172" s="107" t="s">
        <v>1898</v>
      </c>
      <c r="F172" s="108">
        <v>35.0</v>
      </c>
      <c r="G172" s="10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ht="27.75" customHeight="1">
      <c r="A173" s="104">
        <v>3.0</v>
      </c>
      <c r="B173" s="120"/>
      <c r="C173" s="110"/>
      <c r="D173" s="107"/>
      <c r="E173" s="107" t="s">
        <v>1899</v>
      </c>
      <c r="F173" s="108">
        <v>50.0</v>
      </c>
      <c r="G173" s="10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ht="27.75" customHeight="1">
      <c r="A174" s="104">
        <v>4.0</v>
      </c>
      <c r="B174" s="120"/>
      <c r="C174" s="110"/>
      <c r="D174" s="107"/>
      <c r="E174" s="107" t="s">
        <v>36</v>
      </c>
      <c r="F174" s="111" t="s">
        <v>1900</v>
      </c>
      <c r="G174" s="111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ht="27.75" customHeight="1">
      <c r="A175" s="104">
        <v>5.0</v>
      </c>
      <c r="B175" s="120"/>
      <c r="C175" s="110"/>
      <c r="D175" s="107"/>
      <c r="E175" s="107" t="s">
        <v>796</v>
      </c>
      <c r="F175" s="108">
        <v>30.0</v>
      </c>
      <c r="G175" s="10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ht="27.75" customHeight="1">
      <c r="A176" s="104">
        <v>6.0</v>
      </c>
      <c r="B176" s="120"/>
      <c r="C176" s="110"/>
      <c r="D176" s="107"/>
      <c r="E176" s="107" t="s">
        <v>1901</v>
      </c>
      <c r="F176" s="111" t="s">
        <v>840</v>
      </c>
      <c r="G176" s="10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ht="27.75" customHeight="1">
      <c r="A177" s="104">
        <v>7.0</v>
      </c>
      <c r="B177" s="120"/>
      <c r="C177" s="110"/>
      <c r="D177" s="107"/>
      <c r="E177" s="107"/>
      <c r="F177" s="108"/>
      <c r="G177" s="10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ht="27.75" customHeight="1">
      <c r="A178" s="112"/>
      <c r="B178" s="113"/>
      <c r="C178" s="114"/>
      <c r="D178" s="114"/>
      <c r="E178" s="99" t="s">
        <v>144</v>
      </c>
      <c r="F178" s="100">
        <v>600.0</v>
      </c>
      <c r="G178" s="114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ht="27.75" customHeight="1">
      <c r="A179" s="115"/>
      <c r="B179" s="113"/>
      <c r="C179" s="114"/>
      <c r="D179" s="114"/>
      <c r="E179" s="99" t="s">
        <v>145</v>
      </c>
      <c r="F179" s="100">
        <f>600+35+35+50+30+30</f>
        <v>780</v>
      </c>
      <c r="G179" s="114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ht="27.75" customHeight="1">
      <c r="A180" s="115"/>
      <c r="B180" s="113"/>
      <c r="C180" s="114"/>
      <c r="D180" s="114"/>
      <c r="E180" s="99" t="s">
        <v>146</v>
      </c>
      <c r="F180" s="100">
        <f>35+35+50+30+30+35</f>
        <v>215</v>
      </c>
      <c r="G180" s="114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ht="27.75" customHeight="1">
      <c r="A181" s="115"/>
      <c r="B181" s="113"/>
      <c r="C181" s="114"/>
      <c r="D181" s="114"/>
      <c r="E181" s="99" t="s">
        <v>147</v>
      </c>
      <c r="F181" s="100">
        <v>160.0</v>
      </c>
      <c r="G181" s="114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ht="27.75" customHeight="1">
      <c r="A182" s="115"/>
      <c r="B182" s="113"/>
      <c r="C182" s="114"/>
      <c r="D182" s="114"/>
      <c r="E182" s="99" t="s">
        <v>148</v>
      </c>
      <c r="F182" s="100">
        <f>F179-F181</f>
        <v>620</v>
      </c>
      <c r="G182" s="114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ht="27.75" customHeight="1">
      <c r="A183" s="290"/>
      <c r="B183" s="187"/>
      <c r="C183" s="188"/>
      <c r="D183" s="188"/>
      <c r="E183" s="291"/>
      <c r="F183" s="190" t="s">
        <v>1902</v>
      </c>
      <c r="G183" s="18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ht="27.75" customHeight="1">
      <c r="A184" s="102" t="s">
        <v>4</v>
      </c>
      <c r="B184" s="102" t="s">
        <v>5</v>
      </c>
      <c r="C184" s="102" t="s">
        <v>126</v>
      </c>
      <c r="D184" s="102" t="s">
        <v>6</v>
      </c>
      <c r="E184" s="102" t="s">
        <v>7</v>
      </c>
      <c r="F184" s="102" t="s">
        <v>127</v>
      </c>
      <c r="G184" s="103" t="s">
        <v>128</v>
      </c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ht="27.75" customHeight="1">
      <c r="A185" s="104">
        <v>1.0</v>
      </c>
      <c r="B185" s="105">
        <v>46091.0</v>
      </c>
      <c r="C185" s="106" t="s">
        <v>169</v>
      </c>
      <c r="D185" s="107"/>
      <c r="E185" s="107" t="s">
        <v>1903</v>
      </c>
      <c r="F185" s="108">
        <v>100.0</v>
      </c>
      <c r="G185" s="10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ht="27.75" customHeight="1">
      <c r="A186" s="104">
        <v>2.0</v>
      </c>
      <c r="B186" s="120"/>
      <c r="C186" s="110"/>
      <c r="D186" s="107"/>
      <c r="E186" s="107" t="s">
        <v>1904</v>
      </c>
      <c r="F186" s="108">
        <v>30.0</v>
      </c>
      <c r="G186" s="10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ht="27.75" customHeight="1">
      <c r="A187" s="104">
        <v>3.0</v>
      </c>
      <c r="B187" s="120"/>
      <c r="C187" s="110"/>
      <c r="D187" s="107"/>
      <c r="E187" s="107" t="s">
        <v>1905</v>
      </c>
      <c r="F187" s="111" t="s">
        <v>1906</v>
      </c>
      <c r="G187" s="10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ht="27.75" customHeight="1">
      <c r="A188" s="104">
        <v>4.0</v>
      </c>
      <c r="B188" s="120"/>
      <c r="C188" s="110"/>
      <c r="D188" s="107"/>
      <c r="E188" s="107" t="s">
        <v>154</v>
      </c>
      <c r="F188" s="111" t="s">
        <v>1907</v>
      </c>
      <c r="G188" s="111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ht="27.75" customHeight="1">
      <c r="A189" s="104">
        <v>5.0</v>
      </c>
      <c r="B189" s="120"/>
      <c r="C189" s="110"/>
      <c r="D189" s="107"/>
      <c r="E189" s="107" t="s">
        <v>1908</v>
      </c>
      <c r="F189" s="108">
        <v>50.0</v>
      </c>
      <c r="G189" s="10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ht="27.75" customHeight="1">
      <c r="A190" s="104">
        <v>6.0</v>
      </c>
      <c r="B190" s="120"/>
      <c r="C190" s="110"/>
      <c r="D190" s="107"/>
      <c r="E190" s="107" t="s">
        <v>130</v>
      </c>
      <c r="F190" s="111" t="s">
        <v>1909</v>
      </c>
      <c r="G190" s="10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ht="27.75" customHeight="1">
      <c r="A191" s="104">
        <v>7.0</v>
      </c>
      <c r="B191" s="120"/>
      <c r="C191" s="110"/>
      <c r="D191" s="107"/>
      <c r="E191" s="107" t="s">
        <v>130</v>
      </c>
      <c r="F191" s="111" t="s">
        <v>1910</v>
      </c>
      <c r="G191" s="10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ht="27.75" customHeight="1">
      <c r="A192" s="104">
        <v>8.0</v>
      </c>
      <c r="B192" s="120"/>
      <c r="C192" s="106"/>
      <c r="D192" s="107"/>
      <c r="E192" s="107" t="s">
        <v>1911</v>
      </c>
      <c r="F192" s="108">
        <v>40.0</v>
      </c>
      <c r="G192" s="10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ht="27.75" customHeight="1">
      <c r="A193" s="104">
        <v>9.0</v>
      </c>
      <c r="B193" s="120"/>
      <c r="C193" s="110"/>
      <c r="D193" s="107"/>
      <c r="E193" s="107" t="s">
        <v>1912</v>
      </c>
      <c r="F193" s="108"/>
      <c r="G193" s="10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ht="27.75" customHeight="1">
      <c r="A194" s="104">
        <v>10.0</v>
      </c>
      <c r="B194" s="120"/>
      <c r="C194" s="110"/>
      <c r="D194" s="107"/>
      <c r="E194" s="107" t="s">
        <v>1913</v>
      </c>
      <c r="F194" s="128" t="s">
        <v>1914</v>
      </c>
      <c r="G194" s="10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ht="27.75" customHeight="1">
      <c r="A195" s="104">
        <v>11.0</v>
      </c>
      <c r="B195" s="120"/>
      <c r="C195" s="110"/>
      <c r="D195" s="107"/>
      <c r="E195" s="107" t="s">
        <v>1915</v>
      </c>
      <c r="F195" s="108" t="s">
        <v>290</v>
      </c>
      <c r="G195" s="10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ht="27.75" customHeight="1">
      <c r="A196" s="112"/>
      <c r="B196" s="113"/>
      <c r="C196" s="114"/>
      <c r="D196" s="114"/>
      <c r="E196" s="99" t="s">
        <v>144</v>
      </c>
      <c r="F196" s="100">
        <v>0.0</v>
      </c>
      <c r="G196" s="114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ht="27.75" customHeight="1">
      <c r="A197" s="115"/>
      <c r="B197" s="113"/>
      <c r="C197" s="114"/>
      <c r="D197" s="114"/>
      <c r="E197" s="99" t="s">
        <v>145</v>
      </c>
      <c r="F197" s="100">
        <f>100+30+50+30+30+40+800+35</f>
        <v>1115</v>
      </c>
      <c r="G197" s="114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ht="27.75" customHeight="1">
      <c r="A198" s="115"/>
      <c r="B198" s="113"/>
      <c r="C198" s="114"/>
      <c r="D198" s="114"/>
      <c r="E198" s="99" t="s">
        <v>146</v>
      </c>
      <c r="F198" s="100">
        <f>100+30+150+50+30+30+40+35+35+35</f>
        <v>535</v>
      </c>
      <c r="G198" s="114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ht="27.75" customHeight="1">
      <c r="A199" s="115"/>
      <c r="B199" s="113"/>
      <c r="C199" s="114"/>
      <c r="D199" s="114"/>
      <c r="E199" s="99" t="s">
        <v>147</v>
      </c>
      <c r="F199" s="100">
        <v>400.0</v>
      </c>
      <c r="G199" s="114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ht="27.75" customHeight="1">
      <c r="A200" s="115"/>
      <c r="B200" s="113"/>
      <c r="C200" s="114"/>
      <c r="D200" s="114"/>
      <c r="E200" s="99" t="s">
        <v>148</v>
      </c>
      <c r="F200" s="100">
        <f>F197-F199</f>
        <v>715</v>
      </c>
      <c r="G200" s="114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ht="27.75" customHeight="1">
      <c r="A201" s="290"/>
      <c r="B201" s="187"/>
      <c r="C201" s="188"/>
      <c r="D201" s="188"/>
      <c r="E201" s="291"/>
      <c r="F201" s="324" t="s">
        <v>1916</v>
      </c>
      <c r="G201" s="293" t="s">
        <v>1917</v>
      </c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ht="27.75" customHeight="1">
      <c r="A202" s="102" t="s">
        <v>4</v>
      </c>
      <c r="B202" s="102" t="s">
        <v>5</v>
      </c>
      <c r="C202" s="102" t="s">
        <v>126</v>
      </c>
      <c r="D202" s="102" t="s">
        <v>6</v>
      </c>
      <c r="E202" s="102" t="s">
        <v>7</v>
      </c>
      <c r="F202" s="102" t="s">
        <v>127</v>
      </c>
      <c r="G202" s="103" t="s">
        <v>128</v>
      </c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ht="27.75" customHeight="1">
      <c r="A203" s="104">
        <v>1.0</v>
      </c>
      <c r="B203" s="105">
        <v>46092.0</v>
      </c>
      <c r="C203" s="106" t="s">
        <v>299</v>
      </c>
      <c r="D203" s="107"/>
      <c r="E203" s="107" t="s">
        <v>1918</v>
      </c>
      <c r="F203" s="108"/>
      <c r="G203" s="10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ht="27.75" customHeight="1">
      <c r="A204" s="104">
        <v>2.0</v>
      </c>
      <c r="B204" s="120"/>
      <c r="C204" s="110"/>
      <c r="D204" s="107"/>
      <c r="E204" s="107" t="s">
        <v>1919</v>
      </c>
      <c r="F204" s="108" t="s">
        <v>1920</v>
      </c>
      <c r="G204" s="10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ht="27.75" customHeight="1">
      <c r="A205" s="104">
        <v>3.0</v>
      </c>
      <c r="B205" s="120"/>
      <c r="C205" s="110"/>
      <c r="D205" s="107"/>
      <c r="E205" s="107" t="s">
        <v>36</v>
      </c>
      <c r="F205" s="108">
        <v>30.0</v>
      </c>
      <c r="G205" s="10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ht="27.75" customHeight="1">
      <c r="A206" s="104">
        <v>4.0</v>
      </c>
      <c r="B206" s="120"/>
      <c r="C206" s="110"/>
      <c r="D206" s="107"/>
      <c r="E206" s="107" t="s">
        <v>1921</v>
      </c>
      <c r="F206" s="108">
        <v>30.0</v>
      </c>
      <c r="G206" s="111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ht="27.75" customHeight="1">
      <c r="A207" s="104">
        <v>5.0</v>
      </c>
      <c r="B207" s="120"/>
      <c r="C207" s="110"/>
      <c r="D207" s="107"/>
      <c r="E207" s="107" t="s">
        <v>36</v>
      </c>
      <c r="F207" s="111" t="s">
        <v>1922</v>
      </c>
      <c r="G207" s="10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ht="27.75" customHeight="1">
      <c r="A208" s="104">
        <v>6.0</v>
      </c>
      <c r="B208" s="120"/>
      <c r="C208" s="110"/>
      <c r="D208" s="107"/>
      <c r="E208" s="107" t="s">
        <v>133</v>
      </c>
      <c r="F208" s="108">
        <v>50.0</v>
      </c>
      <c r="G208" s="10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ht="27.75" customHeight="1">
      <c r="A209" s="104">
        <v>7.0</v>
      </c>
      <c r="B209" s="120"/>
      <c r="C209" s="110"/>
      <c r="D209" s="127" t="s">
        <v>132</v>
      </c>
      <c r="E209" s="107" t="s">
        <v>277</v>
      </c>
      <c r="F209" s="108" t="s">
        <v>1923</v>
      </c>
      <c r="G209" s="10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ht="27.75" customHeight="1">
      <c r="A210" s="104">
        <v>8.0</v>
      </c>
      <c r="B210" s="120"/>
      <c r="C210" s="106"/>
      <c r="D210" s="107"/>
      <c r="E210" s="107" t="s">
        <v>1924</v>
      </c>
      <c r="F210" s="108" t="s">
        <v>1925</v>
      </c>
      <c r="G210" s="10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ht="27.75" customHeight="1">
      <c r="A211" s="104">
        <v>9.0</v>
      </c>
      <c r="B211" s="120"/>
      <c r="C211" s="110"/>
      <c r="D211" s="107"/>
      <c r="E211" s="107" t="s">
        <v>1926</v>
      </c>
      <c r="F211" s="108"/>
      <c r="G211" s="10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ht="27.75" customHeight="1">
      <c r="A212" s="104">
        <v>10.0</v>
      </c>
      <c r="B212" s="120"/>
      <c r="C212" s="110"/>
      <c r="D212" s="107"/>
      <c r="E212" s="107" t="s">
        <v>130</v>
      </c>
      <c r="F212" s="108" t="s">
        <v>1927</v>
      </c>
      <c r="G212" s="10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ht="27.75" customHeight="1">
      <c r="A213" s="104">
        <v>11.0</v>
      </c>
      <c r="B213" s="120"/>
      <c r="C213" s="110"/>
      <c r="D213" s="107"/>
      <c r="E213" s="107" t="s">
        <v>1928</v>
      </c>
      <c r="F213" s="108">
        <v>70.0</v>
      </c>
      <c r="G213" s="10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ht="27.75" customHeight="1">
      <c r="A214" s="104">
        <v>12.0</v>
      </c>
      <c r="B214" s="120"/>
      <c r="C214" s="110"/>
      <c r="D214" s="107"/>
      <c r="E214" s="107" t="s">
        <v>1929</v>
      </c>
      <c r="F214" s="108">
        <v>50.0</v>
      </c>
      <c r="G214" s="111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ht="27.75" customHeight="1">
      <c r="A215" s="104">
        <v>13.0</v>
      </c>
      <c r="B215" s="120"/>
      <c r="C215" s="110"/>
      <c r="D215" s="107"/>
      <c r="E215" s="107"/>
      <c r="F215" s="121"/>
      <c r="G215" s="10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ht="27.75" customHeight="1">
      <c r="A216" s="104">
        <v>14.0</v>
      </c>
      <c r="B216" s="120"/>
      <c r="C216" s="110"/>
      <c r="D216" s="107"/>
      <c r="E216" s="107"/>
      <c r="F216" s="108"/>
      <c r="G216" s="10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ht="27.75" customHeight="1">
      <c r="A217" s="122">
        <v>15.0</v>
      </c>
      <c r="B217" s="123"/>
      <c r="C217" s="124"/>
      <c r="D217" s="107"/>
      <c r="E217" s="125"/>
      <c r="F217" s="109"/>
      <c r="G217" s="10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ht="27.75" customHeight="1">
      <c r="A218" s="112"/>
      <c r="B218" s="113"/>
      <c r="C218" s="114"/>
      <c r="D218" s="114"/>
      <c r="E218" s="99" t="s">
        <v>144</v>
      </c>
      <c r="F218" s="131"/>
      <c r="G218" s="114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ht="27.75" customHeight="1">
      <c r="A219" s="115"/>
      <c r="B219" s="113"/>
      <c r="C219" s="114"/>
      <c r="D219" s="114"/>
      <c r="E219" s="99" t="s">
        <v>145</v>
      </c>
      <c r="F219" s="100"/>
      <c r="G219" s="114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ht="27.75" customHeight="1">
      <c r="A220" s="115"/>
      <c r="B220" s="113"/>
      <c r="C220" s="114"/>
      <c r="D220" s="114"/>
      <c r="E220" s="99" t="s">
        <v>146</v>
      </c>
      <c r="F220" s="100">
        <v>460.0</v>
      </c>
      <c r="G220" s="114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ht="27.75" customHeight="1">
      <c r="A221" s="115"/>
      <c r="B221" s="113"/>
      <c r="C221" s="114"/>
      <c r="D221" s="114"/>
      <c r="E221" s="99" t="s">
        <v>147</v>
      </c>
      <c r="F221" s="100">
        <v>345.0</v>
      </c>
      <c r="G221" s="114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ht="27.75" customHeight="1">
      <c r="A222" s="115"/>
      <c r="B222" s="113"/>
      <c r="C222" s="114"/>
      <c r="D222" s="114"/>
      <c r="E222" s="99" t="s">
        <v>148</v>
      </c>
      <c r="F222" s="126" t="s">
        <v>1930</v>
      </c>
      <c r="G222" s="114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ht="27.75" customHeight="1">
      <c r="A223" s="89"/>
      <c r="B223" s="90"/>
      <c r="C223" s="90"/>
      <c r="D223" s="90"/>
      <c r="E223" s="90"/>
      <c r="F223" s="90"/>
      <c r="G223" s="90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ht="27.75" customHeight="1">
      <c r="A224" s="56" t="s">
        <v>4</v>
      </c>
      <c r="B224" s="56" t="s">
        <v>5</v>
      </c>
      <c r="C224" s="56" t="s">
        <v>126</v>
      </c>
      <c r="D224" s="56" t="s">
        <v>6</v>
      </c>
      <c r="E224" s="56" t="s">
        <v>7</v>
      </c>
      <c r="F224" s="56" t="s">
        <v>127</v>
      </c>
      <c r="G224" s="57" t="s">
        <v>128</v>
      </c>
      <c r="H224" s="325"/>
      <c r="I224" s="325"/>
      <c r="J224" s="325"/>
      <c r="K224" s="79"/>
      <c r="L224" s="79"/>
      <c r="M224" s="79"/>
      <c r="N224" s="79"/>
      <c r="O224" s="79"/>
      <c r="P224" s="79"/>
      <c r="Q224" s="79"/>
      <c r="R224" s="79"/>
      <c r="S224" s="79"/>
    </row>
    <row r="225" ht="27.75" customHeight="1">
      <c r="A225" s="60">
        <v>1.0</v>
      </c>
      <c r="B225" s="61">
        <v>46093.0</v>
      </c>
      <c r="C225" s="62" t="s">
        <v>310</v>
      </c>
      <c r="D225" s="63"/>
      <c r="E225" s="64" t="s">
        <v>1230</v>
      </c>
      <c r="F225" s="65">
        <v>50.0</v>
      </c>
      <c r="G225" s="69"/>
      <c r="H225" s="326"/>
      <c r="I225" s="326"/>
      <c r="J225" s="326"/>
      <c r="K225" s="79"/>
      <c r="L225" s="79"/>
      <c r="M225" s="79"/>
      <c r="N225" s="79"/>
      <c r="O225" s="79"/>
      <c r="P225" s="79"/>
      <c r="Q225" s="79"/>
      <c r="R225" s="79"/>
      <c r="S225" s="79"/>
    </row>
    <row r="226" ht="27.75" customHeight="1">
      <c r="A226" s="60">
        <v>2.0</v>
      </c>
      <c r="B226" s="66"/>
      <c r="C226" s="67"/>
      <c r="D226" s="63"/>
      <c r="E226" s="64" t="s">
        <v>1931</v>
      </c>
      <c r="F226" s="65" t="s">
        <v>1932</v>
      </c>
      <c r="G226" s="69"/>
      <c r="H226" s="326"/>
      <c r="I226" s="326"/>
      <c r="J226" s="326"/>
      <c r="K226" s="79"/>
      <c r="L226" s="79"/>
      <c r="M226" s="79"/>
      <c r="N226" s="79"/>
      <c r="O226" s="79"/>
      <c r="P226" s="79"/>
      <c r="Q226" s="79"/>
      <c r="R226" s="79"/>
      <c r="S226" s="79"/>
    </row>
    <row r="227" ht="27.75" customHeight="1">
      <c r="A227" s="60">
        <v>3.0</v>
      </c>
      <c r="B227" s="66"/>
      <c r="C227" s="67"/>
      <c r="D227" s="63"/>
      <c r="E227" s="64" t="s">
        <v>1933</v>
      </c>
      <c r="F227" s="65" t="s">
        <v>1934</v>
      </c>
      <c r="G227" s="69"/>
      <c r="H227" s="326"/>
      <c r="I227" s="326"/>
      <c r="J227" s="326"/>
      <c r="K227" s="79"/>
      <c r="L227" s="79"/>
      <c r="M227" s="79"/>
      <c r="N227" s="79"/>
      <c r="O227" s="79"/>
      <c r="P227" s="79"/>
      <c r="Q227" s="79"/>
      <c r="R227" s="79"/>
      <c r="S227" s="79"/>
    </row>
    <row r="228" ht="27.75" customHeight="1">
      <c r="A228" s="60">
        <v>4.0</v>
      </c>
      <c r="B228" s="66"/>
      <c r="C228" s="67"/>
      <c r="D228" s="63"/>
      <c r="E228" s="64" t="s">
        <v>1935</v>
      </c>
      <c r="F228" s="65">
        <v>35.0</v>
      </c>
      <c r="G228" s="68"/>
      <c r="H228" s="327"/>
      <c r="I228" s="327"/>
      <c r="J228" s="327"/>
      <c r="K228" s="79"/>
      <c r="L228" s="79"/>
      <c r="M228" s="79"/>
      <c r="N228" s="79"/>
      <c r="O228" s="79"/>
      <c r="P228" s="79"/>
      <c r="Q228" s="79"/>
      <c r="R228" s="79"/>
      <c r="S228" s="79"/>
    </row>
    <row r="229" ht="27.75" customHeight="1">
      <c r="A229" s="60">
        <v>5.0</v>
      </c>
      <c r="B229" s="66"/>
      <c r="C229" s="67"/>
      <c r="D229" s="63"/>
      <c r="E229" s="64" t="s">
        <v>1936</v>
      </c>
      <c r="F229" s="65"/>
      <c r="G229" s="69"/>
      <c r="H229" s="326"/>
      <c r="I229" s="326"/>
      <c r="J229" s="326"/>
      <c r="K229" s="79"/>
      <c r="L229" s="79"/>
      <c r="M229" s="79"/>
      <c r="N229" s="79"/>
      <c r="O229" s="79"/>
      <c r="P229" s="79"/>
      <c r="Q229" s="79"/>
      <c r="R229" s="79"/>
      <c r="S229" s="79"/>
    </row>
    <row r="230" ht="27.75" customHeight="1">
      <c r="A230" s="60"/>
      <c r="B230" s="66"/>
      <c r="C230" s="67"/>
      <c r="D230" s="63"/>
      <c r="E230" s="64" t="s">
        <v>1937</v>
      </c>
      <c r="F230" s="65" t="s">
        <v>1938</v>
      </c>
      <c r="G230" s="68" t="s">
        <v>1939</v>
      </c>
      <c r="H230" s="327"/>
      <c r="I230" s="327"/>
      <c r="J230" s="327"/>
      <c r="K230" s="79"/>
      <c r="L230" s="79"/>
      <c r="M230" s="79"/>
      <c r="N230" s="79"/>
      <c r="O230" s="79"/>
      <c r="P230" s="79"/>
      <c r="Q230" s="79"/>
      <c r="R230" s="79"/>
      <c r="S230" s="79"/>
    </row>
    <row r="231" ht="27.75" customHeight="1">
      <c r="A231" s="60">
        <v>6.0</v>
      </c>
      <c r="B231" s="66"/>
      <c r="C231" s="67"/>
      <c r="D231" s="63"/>
      <c r="E231" s="64" t="s">
        <v>796</v>
      </c>
      <c r="F231" s="65">
        <v>30.0</v>
      </c>
      <c r="G231" s="68" t="s">
        <v>1940</v>
      </c>
      <c r="H231" s="327"/>
      <c r="I231" s="327"/>
      <c r="J231" s="327"/>
      <c r="K231" s="79"/>
      <c r="L231" s="79"/>
      <c r="M231" s="79"/>
      <c r="N231" s="79"/>
      <c r="O231" s="79"/>
      <c r="P231" s="79"/>
      <c r="Q231" s="79"/>
      <c r="R231" s="79"/>
      <c r="S231" s="79"/>
    </row>
    <row r="232" ht="27.75" customHeight="1">
      <c r="A232" s="74"/>
      <c r="B232" s="75"/>
      <c r="C232" s="76"/>
      <c r="D232" s="76"/>
      <c r="E232" s="81" t="s">
        <v>144</v>
      </c>
      <c r="F232" s="80">
        <v>0.0</v>
      </c>
      <c r="G232" s="76"/>
      <c r="H232" s="328"/>
      <c r="I232" s="328"/>
      <c r="J232" s="328"/>
      <c r="K232" s="79"/>
      <c r="L232" s="79"/>
      <c r="M232" s="79"/>
      <c r="N232" s="79"/>
      <c r="O232" s="79"/>
      <c r="P232" s="79"/>
      <c r="Q232" s="79"/>
      <c r="R232" s="79"/>
      <c r="S232" s="79"/>
    </row>
    <row r="233" ht="27.75" customHeight="1">
      <c r="A233" s="79"/>
      <c r="B233" s="75"/>
      <c r="C233" s="76"/>
      <c r="D233" s="76"/>
      <c r="E233" s="81" t="s">
        <v>145</v>
      </c>
      <c r="F233" s="80">
        <f>50+50+30+30+40+35+30+1940++35</f>
        <v>2240</v>
      </c>
      <c r="G233" s="76"/>
      <c r="H233" s="328"/>
      <c r="I233" s="328"/>
      <c r="J233" s="328"/>
      <c r="K233" s="79"/>
      <c r="L233" s="79"/>
      <c r="M233" s="79"/>
      <c r="N233" s="79"/>
      <c r="O233" s="79"/>
      <c r="P233" s="79"/>
      <c r="Q233" s="79"/>
      <c r="R233" s="79"/>
      <c r="S233" s="79"/>
    </row>
    <row r="234" ht="27.75" customHeight="1">
      <c r="A234" s="79"/>
      <c r="B234" s="75"/>
      <c r="C234" s="76"/>
      <c r="D234" s="76"/>
      <c r="E234" s="81" t="s">
        <v>146</v>
      </c>
      <c r="F234" s="80">
        <f>50+60+50+40+35+35+30+150</f>
        <v>450</v>
      </c>
      <c r="G234" s="76"/>
      <c r="H234" s="328"/>
      <c r="I234" s="328"/>
      <c r="J234" s="328"/>
      <c r="K234" s="79"/>
      <c r="L234" s="79"/>
      <c r="M234" s="79"/>
      <c r="N234" s="79"/>
      <c r="O234" s="79"/>
      <c r="P234" s="79"/>
      <c r="Q234" s="79"/>
      <c r="R234" s="79"/>
      <c r="S234" s="79"/>
    </row>
    <row r="235" ht="27.75" customHeight="1">
      <c r="A235" s="79"/>
      <c r="B235" s="75"/>
      <c r="C235" s="76"/>
      <c r="D235" s="76"/>
      <c r="E235" s="81" t="s">
        <v>147</v>
      </c>
      <c r="F235" s="80">
        <v>335.0</v>
      </c>
      <c r="G235" s="76"/>
      <c r="H235" s="328"/>
      <c r="I235" s="328"/>
      <c r="J235" s="328"/>
      <c r="K235" s="79"/>
      <c r="L235" s="79"/>
      <c r="M235" s="79"/>
      <c r="N235" s="79"/>
      <c r="O235" s="79"/>
      <c r="P235" s="79"/>
      <c r="Q235" s="79"/>
      <c r="R235" s="79"/>
      <c r="S235" s="79"/>
    </row>
    <row r="236" ht="27.75" customHeight="1">
      <c r="A236" s="79"/>
      <c r="B236" s="75"/>
      <c r="C236" s="76"/>
      <c r="D236" s="76"/>
      <c r="E236" s="81" t="s">
        <v>148</v>
      </c>
      <c r="F236" s="80">
        <f>F233-F235</f>
        <v>1905</v>
      </c>
      <c r="G236" s="76"/>
      <c r="H236" s="328"/>
      <c r="I236" s="328"/>
      <c r="J236" s="328"/>
      <c r="K236" s="79"/>
      <c r="L236" s="79"/>
      <c r="M236" s="79"/>
      <c r="N236" s="79"/>
      <c r="O236" s="79"/>
      <c r="P236" s="79"/>
      <c r="Q236" s="79"/>
      <c r="R236" s="79"/>
      <c r="S236" s="79"/>
    </row>
    <row r="237" ht="27.75" customHeight="1">
      <c r="A237" s="118"/>
      <c r="B237" s="119"/>
      <c r="C237" s="119"/>
      <c r="D237" s="119"/>
      <c r="E237" s="81"/>
      <c r="F237" s="81" t="s">
        <v>1941</v>
      </c>
      <c r="G237" s="119"/>
      <c r="H237" s="186"/>
      <c r="I237" s="186"/>
      <c r="J237" s="186"/>
      <c r="K237" s="79"/>
      <c r="L237" s="79"/>
      <c r="M237" s="79"/>
      <c r="N237" s="79"/>
      <c r="O237" s="79"/>
      <c r="P237" s="79"/>
      <c r="Q237" s="79"/>
      <c r="R237" s="79"/>
      <c r="S237" s="79"/>
    </row>
    <row r="238" ht="27.75" customHeight="1">
      <c r="A238" s="118"/>
      <c r="B238" s="119"/>
      <c r="C238" s="119"/>
      <c r="D238" s="119"/>
      <c r="E238" s="119"/>
      <c r="F238" s="144" t="s">
        <v>1942</v>
      </c>
      <c r="G238" s="119"/>
      <c r="H238" s="186"/>
      <c r="I238" s="186"/>
      <c r="J238" s="186"/>
      <c r="K238" s="79"/>
      <c r="L238" s="79"/>
      <c r="M238" s="79"/>
      <c r="N238" s="79"/>
      <c r="O238" s="79"/>
      <c r="P238" s="79"/>
      <c r="Q238" s="79"/>
      <c r="R238" s="79"/>
      <c r="S238" s="79"/>
    </row>
    <row r="239" ht="27.75" customHeight="1">
      <c r="A239" s="102" t="s">
        <v>4</v>
      </c>
      <c r="B239" s="102" t="s">
        <v>5</v>
      </c>
      <c r="C239" s="102" t="s">
        <v>126</v>
      </c>
      <c r="D239" s="102" t="s">
        <v>6</v>
      </c>
      <c r="E239" s="102" t="s">
        <v>7</v>
      </c>
      <c r="F239" s="102" t="s">
        <v>127</v>
      </c>
      <c r="G239" s="103" t="s">
        <v>128</v>
      </c>
      <c r="H239" s="329"/>
      <c r="I239" s="329"/>
      <c r="J239" s="329"/>
      <c r="K239" s="79"/>
      <c r="L239" s="79"/>
      <c r="M239" s="79"/>
      <c r="N239" s="79"/>
      <c r="O239" s="79"/>
      <c r="P239" s="79"/>
      <c r="Q239" s="79"/>
      <c r="R239" s="79"/>
      <c r="S239" s="79"/>
    </row>
    <row r="240" ht="27.75" customHeight="1">
      <c r="A240" s="104">
        <v>1.0</v>
      </c>
      <c r="B240" s="105">
        <v>46095.0</v>
      </c>
      <c r="C240" s="106" t="s">
        <v>1041</v>
      </c>
      <c r="D240" s="107"/>
      <c r="E240" s="107" t="s">
        <v>1358</v>
      </c>
      <c r="F240" s="108">
        <v>50.0</v>
      </c>
      <c r="G240" s="109"/>
      <c r="H240" s="330"/>
      <c r="I240" s="330"/>
      <c r="J240" s="330"/>
      <c r="K240" s="79"/>
      <c r="L240" s="79"/>
      <c r="M240" s="79"/>
      <c r="N240" s="79"/>
      <c r="O240" s="79"/>
      <c r="P240" s="79"/>
      <c r="Q240" s="79"/>
      <c r="R240" s="79"/>
      <c r="S240" s="79"/>
    </row>
    <row r="241" ht="27.75" customHeight="1">
      <c r="A241" s="104">
        <v>2.0</v>
      </c>
      <c r="B241" s="120"/>
      <c r="C241" s="110"/>
      <c r="D241" s="107"/>
      <c r="E241" s="107" t="s">
        <v>346</v>
      </c>
      <c r="F241" s="108" t="s">
        <v>1943</v>
      </c>
      <c r="G241" s="109"/>
      <c r="H241" s="330"/>
      <c r="I241" s="330"/>
      <c r="J241" s="330"/>
      <c r="K241" s="79"/>
      <c r="L241" s="79"/>
      <c r="M241" s="79"/>
      <c r="N241" s="79"/>
      <c r="O241" s="79"/>
      <c r="P241" s="79"/>
      <c r="Q241" s="79"/>
      <c r="R241" s="79"/>
      <c r="S241" s="79"/>
    </row>
    <row r="242" ht="27.75" customHeight="1">
      <c r="A242" s="104">
        <v>3.0</v>
      </c>
      <c r="B242" s="120"/>
      <c r="C242" s="110"/>
      <c r="D242" s="107"/>
      <c r="E242" s="107" t="s">
        <v>1944</v>
      </c>
      <c r="F242" s="111" t="s">
        <v>1945</v>
      </c>
      <c r="G242" s="109"/>
      <c r="H242" s="330"/>
      <c r="I242" s="330"/>
      <c r="J242" s="330"/>
      <c r="K242" s="79"/>
      <c r="L242" s="79"/>
      <c r="M242" s="79"/>
      <c r="N242" s="79"/>
      <c r="O242" s="79"/>
      <c r="P242" s="79"/>
      <c r="Q242" s="79"/>
      <c r="R242" s="79"/>
      <c r="S242" s="79"/>
    </row>
    <row r="243" ht="27.75" customHeight="1">
      <c r="A243" s="104">
        <v>4.0</v>
      </c>
      <c r="B243" s="120"/>
      <c r="C243" s="110"/>
      <c r="D243" s="107"/>
      <c r="E243" s="107" t="s">
        <v>1138</v>
      </c>
      <c r="F243" s="111" t="s">
        <v>1946</v>
      </c>
      <c r="G243" s="111"/>
      <c r="H243" s="331"/>
      <c r="I243" s="331"/>
      <c r="J243" s="331"/>
      <c r="K243" s="79"/>
      <c r="L243" s="79"/>
      <c r="M243" s="79"/>
      <c r="N243" s="79"/>
      <c r="O243" s="79"/>
      <c r="P243" s="79"/>
      <c r="Q243" s="79"/>
      <c r="R243" s="79"/>
      <c r="S243" s="79"/>
    </row>
    <row r="244" ht="27.75" customHeight="1">
      <c r="A244" s="104">
        <v>5.0</v>
      </c>
      <c r="B244" s="120"/>
      <c r="C244" s="110"/>
      <c r="D244" s="107"/>
      <c r="E244" s="107" t="s">
        <v>848</v>
      </c>
      <c r="F244" s="108">
        <v>50.0</v>
      </c>
      <c r="G244" s="109"/>
      <c r="H244" s="330"/>
      <c r="I244" s="330"/>
      <c r="J244" s="330"/>
      <c r="K244" s="79"/>
      <c r="L244" s="79"/>
      <c r="M244" s="79"/>
      <c r="N244" s="79"/>
      <c r="O244" s="79"/>
      <c r="P244" s="79"/>
      <c r="Q244" s="79"/>
      <c r="R244" s="79"/>
      <c r="S244" s="79"/>
    </row>
    <row r="245" ht="27.75" customHeight="1">
      <c r="A245" s="104">
        <v>6.0</v>
      </c>
      <c r="B245" s="120"/>
      <c r="C245" s="110"/>
      <c r="D245" s="107"/>
      <c r="E245" s="107"/>
      <c r="F245" s="108"/>
      <c r="G245" s="109"/>
      <c r="H245" s="330"/>
      <c r="I245" s="330"/>
      <c r="J245" s="330"/>
      <c r="K245" s="79"/>
      <c r="L245" s="79"/>
      <c r="M245" s="79"/>
      <c r="N245" s="79"/>
      <c r="O245" s="79"/>
      <c r="P245" s="79"/>
      <c r="Q245" s="79"/>
      <c r="R245" s="79"/>
      <c r="S245" s="79"/>
    </row>
    <row r="246" ht="27.75" customHeight="1">
      <c r="A246" s="104">
        <v>7.0</v>
      </c>
      <c r="B246" s="120"/>
      <c r="C246" s="110"/>
      <c r="D246" s="107"/>
      <c r="E246" s="107"/>
      <c r="F246" s="108"/>
      <c r="G246" s="109"/>
      <c r="H246" s="330"/>
      <c r="I246" s="330"/>
      <c r="J246" s="330"/>
      <c r="K246" s="79"/>
      <c r="L246" s="79"/>
      <c r="M246" s="79"/>
      <c r="N246" s="79"/>
      <c r="O246" s="79"/>
      <c r="P246" s="79"/>
      <c r="Q246" s="79"/>
      <c r="R246" s="79"/>
      <c r="S246" s="79"/>
    </row>
    <row r="247" ht="27.75" customHeight="1">
      <c r="A247" s="104">
        <v>8.0</v>
      </c>
      <c r="B247" s="120"/>
      <c r="C247" s="106"/>
      <c r="D247" s="107"/>
      <c r="E247" s="107"/>
      <c r="F247" s="108"/>
      <c r="G247" s="109"/>
      <c r="H247" s="330"/>
      <c r="I247" s="330"/>
      <c r="J247" s="330"/>
      <c r="K247" s="79"/>
      <c r="L247" s="79"/>
      <c r="M247" s="79"/>
      <c r="N247" s="79"/>
      <c r="O247" s="79"/>
      <c r="P247" s="79"/>
      <c r="Q247" s="79"/>
      <c r="R247" s="79"/>
      <c r="S247" s="79"/>
    </row>
    <row r="248" ht="27.75" customHeight="1">
      <c r="A248" s="104">
        <v>9.0</v>
      </c>
      <c r="B248" s="120"/>
      <c r="C248" s="110"/>
      <c r="D248" s="107"/>
      <c r="E248" s="107"/>
      <c r="F248" s="108"/>
      <c r="G248" s="109"/>
      <c r="H248" s="330"/>
      <c r="I248" s="330"/>
      <c r="J248" s="330"/>
      <c r="K248" s="79"/>
      <c r="L248" s="79"/>
      <c r="M248" s="79"/>
      <c r="N248" s="79"/>
      <c r="O248" s="79"/>
      <c r="P248" s="79"/>
      <c r="Q248" s="79"/>
      <c r="R248" s="79"/>
      <c r="S248" s="79"/>
    </row>
    <row r="249" ht="27.75" customHeight="1">
      <c r="A249" s="104">
        <v>10.0</v>
      </c>
      <c r="B249" s="120"/>
      <c r="C249" s="110"/>
      <c r="D249" s="107"/>
      <c r="E249" s="107"/>
      <c r="F249" s="108"/>
      <c r="G249" s="109"/>
      <c r="H249" s="330"/>
      <c r="I249" s="330"/>
      <c r="J249" s="330"/>
      <c r="K249" s="79"/>
      <c r="L249" s="79"/>
      <c r="M249" s="79"/>
      <c r="N249" s="79"/>
      <c r="O249" s="79"/>
      <c r="P249" s="79"/>
      <c r="Q249" s="79"/>
      <c r="R249" s="79"/>
      <c r="S249" s="79"/>
    </row>
    <row r="250" ht="27.75" customHeight="1">
      <c r="A250" s="104">
        <v>11.0</v>
      </c>
      <c r="B250" s="120"/>
      <c r="C250" s="110"/>
      <c r="D250" s="107"/>
      <c r="E250" s="107"/>
      <c r="F250" s="108"/>
      <c r="G250" s="109"/>
      <c r="H250" s="330"/>
      <c r="I250" s="330"/>
      <c r="J250" s="330"/>
      <c r="K250" s="79"/>
      <c r="L250" s="79"/>
      <c r="M250" s="79"/>
      <c r="N250" s="79"/>
      <c r="O250" s="79"/>
      <c r="P250" s="79"/>
      <c r="Q250" s="79"/>
      <c r="R250" s="79"/>
      <c r="S250" s="79"/>
    </row>
    <row r="251" ht="27.75" customHeight="1">
      <c r="A251" s="104">
        <v>12.0</v>
      </c>
      <c r="B251" s="120"/>
      <c r="C251" s="110"/>
      <c r="D251" s="107"/>
      <c r="E251" s="107"/>
      <c r="F251" s="109"/>
      <c r="G251" s="111"/>
      <c r="H251" s="331"/>
      <c r="I251" s="331"/>
      <c r="J251" s="331"/>
      <c r="K251" s="79"/>
      <c r="L251" s="79"/>
      <c r="M251" s="79"/>
      <c r="N251" s="79"/>
      <c r="O251" s="79"/>
      <c r="P251" s="79"/>
      <c r="Q251" s="79"/>
      <c r="R251" s="79"/>
      <c r="S251" s="79"/>
    </row>
    <row r="252" ht="27.75" customHeight="1">
      <c r="A252" s="104">
        <v>13.0</v>
      </c>
      <c r="B252" s="120"/>
      <c r="C252" s="110"/>
      <c r="D252" s="107"/>
      <c r="E252" s="107"/>
      <c r="F252" s="121"/>
      <c r="G252" s="109"/>
      <c r="H252" s="330"/>
      <c r="I252" s="330"/>
      <c r="J252" s="330"/>
      <c r="K252" s="79"/>
      <c r="L252" s="79"/>
      <c r="M252" s="79"/>
      <c r="N252" s="79"/>
      <c r="O252" s="79"/>
      <c r="P252" s="79"/>
      <c r="Q252" s="79"/>
      <c r="R252" s="79"/>
      <c r="S252" s="79"/>
    </row>
    <row r="253" ht="27.75" customHeight="1">
      <c r="A253" s="104">
        <v>14.0</v>
      </c>
      <c r="B253" s="120"/>
      <c r="C253" s="110"/>
      <c r="D253" s="107"/>
      <c r="E253" s="107"/>
      <c r="F253" s="108"/>
      <c r="G253" s="109"/>
      <c r="H253" s="330"/>
      <c r="I253" s="330"/>
      <c r="J253" s="330"/>
      <c r="K253" s="79"/>
      <c r="L253" s="79"/>
      <c r="M253" s="79"/>
      <c r="N253" s="79"/>
      <c r="O253" s="79"/>
      <c r="P253" s="79"/>
      <c r="Q253" s="79"/>
      <c r="R253" s="79"/>
      <c r="S253" s="79"/>
    </row>
    <row r="254" ht="27.75" customHeight="1">
      <c r="A254" s="122">
        <v>15.0</v>
      </c>
      <c r="B254" s="123"/>
      <c r="C254" s="124"/>
      <c r="D254" s="107"/>
      <c r="E254" s="125"/>
      <c r="F254" s="109"/>
      <c r="G254" s="109"/>
      <c r="H254" s="330"/>
      <c r="I254" s="330"/>
      <c r="J254" s="330"/>
      <c r="K254" s="79"/>
      <c r="L254" s="79"/>
      <c r="M254" s="79"/>
      <c r="N254" s="79"/>
      <c r="O254" s="79"/>
      <c r="P254" s="79"/>
      <c r="Q254" s="79"/>
      <c r="R254" s="79"/>
      <c r="S254" s="79"/>
    </row>
    <row r="255" ht="27.75" customHeight="1">
      <c r="A255" s="112"/>
      <c r="B255" s="113"/>
      <c r="C255" s="114"/>
      <c r="D255" s="114"/>
      <c r="E255" s="99" t="s">
        <v>144</v>
      </c>
      <c r="F255" s="131"/>
      <c r="G255" s="114"/>
      <c r="H255" s="332"/>
      <c r="I255" s="332"/>
      <c r="J255" s="332"/>
      <c r="K255" s="79"/>
      <c r="L255" s="79"/>
      <c r="M255" s="79"/>
      <c r="N255" s="79"/>
      <c r="O255" s="79"/>
      <c r="P255" s="79"/>
      <c r="Q255" s="79"/>
      <c r="R255" s="79"/>
      <c r="S255" s="79"/>
    </row>
    <row r="256" ht="27.75" customHeight="1">
      <c r="A256" s="115"/>
      <c r="B256" s="113"/>
      <c r="C256" s="114"/>
      <c r="D256" s="114"/>
      <c r="E256" s="99" t="s">
        <v>145</v>
      </c>
      <c r="F256" s="100">
        <v>1260.0</v>
      </c>
      <c r="G256" s="114"/>
      <c r="H256" s="332"/>
      <c r="I256" s="332"/>
      <c r="J256" s="332"/>
      <c r="K256" s="79"/>
      <c r="L256" s="79"/>
      <c r="M256" s="79"/>
      <c r="N256" s="79"/>
      <c r="O256" s="79"/>
      <c r="P256" s="79"/>
      <c r="Q256" s="79"/>
      <c r="R256" s="79"/>
      <c r="S256" s="79"/>
    </row>
    <row r="257" ht="27.75" customHeight="1">
      <c r="A257" s="115"/>
      <c r="B257" s="113"/>
      <c r="C257" s="114"/>
      <c r="D257" s="114"/>
      <c r="E257" s="99" t="s">
        <v>146</v>
      </c>
      <c r="F257" s="100">
        <v>375.0</v>
      </c>
      <c r="G257" s="114"/>
      <c r="H257" s="332"/>
      <c r="I257" s="332"/>
      <c r="J257" s="332"/>
      <c r="K257" s="79"/>
      <c r="L257" s="79"/>
      <c r="M257" s="79"/>
      <c r="N257" s="79"/>
      <c r="O257" s="79"/>
      <c r="P257" s="79"/>
      <c r="Q257" s="79"/>
      <c r="R257" s="79"/>
      <c r="S257" s="79"/>
    </row>
    <row r="258" ht="27.75" customHeight="1">
      <c r="A258" s="115"/>
      <c r="B258" s="113"/>
      <c r="C258" s="114"/>
      <c r="D258" s="114"/>
      <c r="E258" s="99" t="s">
        <v>147</v>
      </c>
      <c r="F258" s="100">
        <v>280.0</v>
      </c>
      <c r="G258" s="114"/>
      <c r="H258" s="332"/>
      <c r="I258" s="332"/>
      <c r="J258" s="332"/>
      <c r="K258" s="79"/>
      <c r="L258" s="79"/>
      <c r="M258" s="79"/>
      <c r="N258" s="79"/>
      <c r="O258" s="79"/>
      <c r="P258" s="79"/>
      <c r="Q258" s="79"/>
      <c r="R258" s="79"/>
      <c r="S258" s="79"/>
    </row>
    <row r="259" ht="27.75" customHeight="1">
      <c r="A259" s="115"/>
      <c r="B259" s="113"/>
      <c r="C259" s="114"/>
      <c r="D259" s="114"/>
      <c r="E259" s="99" t="s">
        <v>148</v>
      </c>
      <c r="F259" s="100"/>
      <c r="G259" s="114"/>
      <c r="H259" s="332"/>
      <c r="I259" s="332"/>
      <c r="J259" s="332"/>
      <c r="K259" s="79"/>
      <c r="L259" s="79"/>
      <c r="M259" s="79"/>
      <c r="N259" s="79"/>
      <c r="O259" s="79"/>
      <c r="P259" s="79"/>
      <c r="Q259" s="79"/>
      <c r="R259" s="79"/>
      <c r="S259" s="79"/>
    </row>
    <row r="260" ht="27.75" customHeight="1">
      <c r="A260" s="118"/>
      <c r="B260" s="119"/>
      <c r="C260" s="119"/>
      <c r="D260" s="119"/>
      <c r="E260" s="119"/>
      <c r="F260" s="119"/>
      <c r="G260" s="119"/>
      <c r="H260" s="186"/>
      <c r="I260" s="186"/>
      <c r="J260" s="186"/>
      <c r="K260" s="79"/>
      <c r="L260" s="79"/>
      <c r="M260" s="79"/>
      <c r="N260" s="79"/>
      <c r="O260" s="79"/>
      <c r="P260" s="79"/>
      <c r="Q260" s="79"/>
      <c r="R260" s="79"/>
      <c r="S260" s="79"/>
    </row>
    <row r="261" ht="27.75" customHeight="1">
      <c r="A261" s="102" t="s">
        <v>4</v>
      </c>
      <c r="B261" s="102" t="s">
        <v>5</v>
      </c>
      <c r="C261" s="102" t="s">
        <v>126</v>
      </c>
      <c r="D261" s="102" t="s">
        <v>6</v>
      </c>
      <c r="E261" s="102" t="s">
        <v>7</v>
      </c>
      <c r="F261" s="102" t="s">
        <v>127</v>
      </c>
      <c r="G261" s="103" t="s">
        <v>128</v>
      </c>
      <c r="H261" s="329"/>
      <c r="I261" s="329"/>
      <c r="J261" s="329"/>
      <c r="K261" s="79"/>
      <c r="L261" s="79"/>
      <c r="M261" s="79"/>
      <c r="N261" s="79"/>
      <c r="O261" s="79"/>
      <c r="P261" s="79"/>
      <c r="Q261" s="79"/>
      <c r="R261" s="79"/>
      <c r="S261" s="79"/>
    </row>
    <row r="262" ht="27.75" customHeight="1">
      <c r="A262" s="104">
        <v>1.0</v>
      </c>
      <c r="B262" s="105">
        <v>46096.0</v>
      </c>
      <c r="C262" s="106" t="s">
        <v>561</v>
      </c>
      <c r="D262" s="107"/>
      <c r="E262" s="107" t="s">
        <v>69</v>
      </c>
      <c r="F262" s="111" t="s">
        <v>1947</v>
      </c>
      <c r="G262" s="109"/>
      <c r="H262" s="330"/>
      <c r="I262" s="330"/>
      <c r="J262" s="330"/>
      <c r="K262" s="79"/>
      <c r="L262" s="79"/>
      <c r="M262" s="79"/>
      <c r="N262" s="79"/>
      <c r="O262" s="79"/>
      <c r="P262" s="79"/>
      <c r="Q262" s="79"/>
      <c r="R262" s="79"/>
      <c r="S262" s="79"/>
    </row>
    <row r="263" ht="27.75" customHeight="1">
      <c r="A263" s="104">
        <v>2.0</v>
      </c>
      <c r="B263" s="120"/>
      <c r="C263" s="110"/>
      <c r="D263" s="107"/>
      <c r="E263" s="107" t="s">
        <v>1948</v>
      </c>
      <c r="F263" s="108">
        <v>70.0</v>
      </c>
      <c r="G263" s="109"/>
      <c r="H263" s="330"/>
      <c r="I263" s="330"/>
      <c r="J263" s="330"/>
      <c r="K263" s="79"/>
      <c r="L263" s="79"/>
      <c r="M263" s="79"/>
      <c r="N263" s="79"/>
      <c r="O263" s="79"/>
      <c r="P263" s="79"/>
      <c r="Q263" s="79"/>
      <c r="R263" s="79"/>
      <c r="S263" s="79"/>
    </row>
    <row r="264" ht="27.75" customHeight="1">
      <c r="A264" s="104">
        <v>3.0</v>
      </c>
      <c r="B264" s="120"/>
      <c r="C264" s="110"/>
      <c r="D264" s="107"/>
      <c r="E264" s="107" t="s">
        <v>1215</v>
      </c>
      <c r="F264" s="111" t="s">
        <v>1949</v>
      </c>
      <c r="G264" s="109"/>
      <c r="H264" s="330"/>
      <c r="I264" s="330"/>
      <c r="J264" s="330"/>
      <c r="K264" s="79"/>
      <c r="L264" s="79"/>
      <c r="M264" s="79"/>
      <c r="N264" s="79"/>
      <c r="O264" s="79"/>
      <c r="P264" s="79"/>
      <c r="Q264" s="79"/>
      <c r="R264" s="79"/>
      <c r="S264" s="79"/>
    </row>
    <row r="265" ht="27.75" customHeight="1">
      <c r="A265" s="104">
        <v>4.0</v>
      </c>
      <c r="B265" s="120"/>
      <c r="C265" s="110"/>
      <c r="D265" s="107"/>
      <c r="E265" s="107" t="s">
        <v>1172</v>
      </c>
      <c r="F265" s="108">
        <v>30.0</v>
      </c>
      <c r="G265" s="111"/>
      <c r="H265" s="331"/>
      <c r="I265" s="331"/>
      <c r="J265" s="331"/>
      <c r="K265" s="79"/>
      <c r="L265" s="79"/>
      <c r="M265" s="79"/>
      <c r="N265" s="79"/>
      <c r="O265" s="79"/>
      <c r="P265" s="79"/>
      <c r="Q265" s="79"/>
      <c r="R265" s="79"/>
      <c r="S265" s="79"/>
    </row>
    <row r="266" ht="27.75" customHeight="1">
      <c r="A266" s="104">
        <v>5.0</v>
      </c>
      <c r="B266" s="120"/>
      <c r="C266" s="110"/>
      <c r="D266" s="107"/>
      <c r="E266" s="107" t="s">
        <v>930</v>
      </c>
      <c r="F266" s="108">
        <v>-680.0</v>
      </c>
      <c r="G266" s="109"/>
      <c r="H266" s="330"/>
      <c r="I266" s="330"/>
      <c r="J266" s="330"/>
      <c r="K266" s="79"/>
      <c r="L266" s="79"/>
      <c r="M266" s="79"/>
      <c r="N266" s="79"/>
      <c r="O266" s="79"/>
      <c r="P266" s="79"/>
      <c r="Q266" s="79"/>
      <c r="R266" s="79"/>
      <c r="S266" s="79"/>
    </row>
    <row r="267" ht="27.75" customHeight="1">
      <c r="A267" s="104">
        <v>6.0</v>
      </c>
      <c r="B267" s="120"/>
      <c r="C267" s="110"/>
      <c r="D267" s="107"/>
      <c r="E267" s="107" t="s">
        <v>1950</v>
      </c>
      <c r="F267" s="108">
        <v>40.0</v>
      </c>
      <c r="G267" s="109"/>
      <c r="H267" s="330"/>
      <c r="I267" s="330"/>
      <c r="J267" s="330"/>
      <c r="K267" s="79"/>
      <c r="L267" s="79"/>
      <c r="M267" s="79"/>
      <c r="N267" s="79"/>
      <c r="O267" s="79"/>
      <c r="P267" s="79"/>
      <c r="Q267" s="79"/>
      <c r="R267" s="79"/>
      <c r="S267" s="79"/>
    </row>
    <row r="268" ht="27.75" customHeight="1">
      <c r="A268" s="104">
        <v>7.0</v>
      </c>
      <c r="B268" s="120"/>
      <c r="C268" s="110"/>
      <c r="D268" s="107"/>
      <c r="E268" s="107" t="s">
        <v>1951</v>
      </c>
      <c r="F268" s="108">
        <v>100.0</v>
      </c>
      <c r="G268" s="109"/>
      <c r="H268" s="330"/>
      <c r="I268" s="330"/>
      <c r="J268" s="330"/>
      <c r="K268" s="79"/>
      <c r="L268" s="79"/>
      <c r="M268" s="79"/>
      <c r="N268" s="79"/>
      <c r="O268" s="79"/>
      <c r="P268" s="79"/>
      <c r="Q268" s="79"/>
      <c r="R268" s="79"/>
      <c r="S268" s="79"/>
    </row>
    <row r="269" ht="27.75" customHeight="1">
      <c r="A269" s="104">
        <v>8.0</v>
      </c>
      <c r="B269" s="120"/>
      <c r="C269" s="106"/>
      <c r="D269" s="107"/>
      <c r="E269" s="107"/>
      <c r="F269" s="108"/>
      <c r="G269" s="109"/>
      <c r="H269" s="330"/>
      <c r="I269" s="330"/>
      <c r="J269" s="330"/>
      <c r="K269" s="79"/>
      <c r="L269" s="79"/>
      <c r="M269" s="79"/>
      <c r="N269" s="79"/>
      <c r="O269" s="79"/>
      <c r="P269" s="79"/>
      <c r="Q269" s="79"/>
      <c r="R269" s="79"/>
      <c r="S269" s="79"/>
    </row>
    <row r="270" ht="27.75" customHeight="1">
      <c r="A270" s="104">
        <v>9.0</v>
      </c>
      <c r="B270" s="120"/>
      <c r="C270" s="110"/>
      <c r="D270" s="107"/>
      <c r="E270" s="107"/>
      <c r="F270" s="108"/>
      <c r="G270" s="109"/>
      <c r="H270" s="330"/>
      <c r="I270" s="330"/>
      <c r="J270" s="330"/>
      <c r="K270" s="79"/>
      <c r="L270" s="79"/>
      <c r="M270" s="79"/>
      <c r="N270" s="79"/>
      <c r="O270" s="79"/>
      <c r="P270" s="79"/>
      <c r="Q270" s="79"/>
      <c r="R270" s="79"/>
      <c r="S270" s="79"/>
    </row>
    <row r="271" ht="27.75" customHeight="1">
      <c r="A271" s="104">
        <v>10.0</v>
      </c>
      <c r="B271" s="120"/>
      <c r="C271" s="110"/>
      <c r="D271" s="107"/>
      <c r="E271" s="107"/>
      <c r="F271" s="108"/>
      <c r="G271" s="109"/>
      <c r="H271" s="330"/>
      <c r="I271" s="330"/>
      <c r="J271" s="330"/>
      <c r="K271" s="79"/>
      <c r="L271" s="79"/>
      <c r="M271" s="79"/>
      <c r="N271" s="79"/>
      <c r="O271" s="79"/>
      <c r="P271" s="79"/>
      <c r="Q271" s="79"/>
      <c r="R271" s="79"/>
      <c r="S271" s="79"/>
    </row>
    <row r="272" ht="27.75" customHeight="1">
      <c r="A272" s="104">
        <v>11.0</v>
      </c>
      <c r="B272" s="120"/>
      <c r="C272" s="110"/>
      <c r="D272" s="107"/>
      <c r="E272" s="107"/>
      <c r="F272" s="108"/>
      <c r="G272" s="109"/>
      <c r="H272" s="330"/>
      <c r="I272" s="330"/>
      <c r="J272" s="330"/>
      <c r="K272" s="79"/>
      <c r="L272" s="79"/>
      <c r="M272" s="79"/>
      <c r="N272" s="79"/>
      <c r="O272" s="79"/>
      <c r="P272" s="79"/>
      <c r="Q272" s="79"/>
      <c r="R272" s="79"/>
      <c r="S272" s="79"/>
    </row>
    <row r="273" ht="27.75" customHeight="1">
      <c r="A273" s="104">
        <v>12.0</v>
      </c>
      <c r="B273" s="120"/>
      <c r="C273" s="110"/>
      <c r="D273" s="107"/>
      <c r="E273" s="107"/>
      <c r="F273" s="108"/>
      <c r="G273" s="111"/>
      <c r="H273" s="331"/>
      <c r="I273" s="331"/>
      <c r="J273" s="331"/>
      <c r="K273" s="79"/>
      <c r="L273" s="79"/>
      <c r="M273" s="79"/>
      <c r="N273" s="79"/>
      <c r="O273" s="79"/>
      <c r="P273" s="79"/>
      <c r="Q273" s="79"/>
      <c r="R273" s="79"/>
      <c r="S273" s="79"/>
    </row>
    <row r="274" ht="27.75" customHeight="1">
      <c r="A274" s="104">
        <v>13.0</v>
      </c>
      <c r="B274" s="120"/>
      <c r="C274" s="110"/>
      <c r="D274" s="107"/>
      <c r="E274" s="107"/>
      <c r="F274" s="108"/>
      <c r="G274" s="109"/>
      <c r="H274" s="330"/>
      <c r="I274" s="330"/>
      <c r="J274" s="330"/>
      <c r="K274" s="79"/>
      <c r="L274" s="79"/>
      <c r="M274" s="79"/>
      <c r="N274" s="79"/>
      <c r="O274" s="79"/>
      <c r="P274" s="79"/>
      <c r="Q274" s="79"/>
      <c r="R274" s="79"/>
      <c r="S274" s="79"/>
    </row>
    <row r="275" ht="27.75" customHeight="1">
      <c r="A275" s="104">
        <v>14.0</v>
      </c>
      <c r="B275" s="120"/>
      <c r="C275" s="110"/>
      <c r="D275" s="107"/>
      <c r="E275" s="107"/>
      <c r="F275" s="108"/>
      <c r="G275" s="109"/>
      <c r="H275" s="330"/>
      <c r="I275" s="330"/>
      <c r="J275" s="330"/>
      <c r="K275" s="79"/>
      <c r="L275" s="79"/>
      <c r="M275" s="79"/>
      <c r="N275" s="79"/>
      <c r="O275" s="79"/>
      <c r="P275" s="79"/>
      <c r="Q275" s="79"/>
      <c r="R275" s="79"/>
      <c r="S275" s="79"/>
    </row>
    <row r="276" ht="27.75" customHeight="1">
      <c r="A276" s="122">
        <v>15.0</v>
      </c>
      <c r="B276" s="123"/>
      <c r="C276" s="124"/>
      <c r="D276" s="107"/>
      <c r="E276" s="125"/>
      <c r="F276" s="109"/>
      <c r="G276" s="109"/>
      <c r="H276" s="330"/>
      <c r="I276" s="330"/>
      <c r="J276" s="330"/>
      <c r="K276" s="79"/>
      <c r="L276" s="79"/>
      <c r="M276" s="79"/>
      <c r="N276" s="79"/>
      <c r="O276" s="79"/>
      <c r="P276" s="79"/>
      <c r="Q276" s="79"/>
      <c r="R276" s="79"/>
      <c r="S276" s="79"/>
    </row>
    <row r="277" ht="27.75" customHeight="1">
      <c r="A277" s="112"/>
      <c r="B277" s="113"/>
      <c r="C277" s="114"/>
      <c r="D277" s="114"/>
      <c r="E277" s="99" t="s">
        <v>144</v>
      </c>
      <c r="F277" s="131"/>
      <c r="G277" s="114"/>
      <c r="H277" s="332"/>
      <c r="I277" s="332"/>
      <c r="J277" s="332"/>
      <c r="K277" s="79"/>
      <c r="L277" s="79"/>
      <c r="M277" s="79"/>
      <c r="N277" s="79"/>
      <c r="O277" s="79"/>
      <c r="P277" s="79"/>
      <c r="Q277" s="79"/>
      <c r="R277" s="79"/>
      <c r="S277" s="79"/>
    </row>
    <row r="278" ht="27.75" customHeight="1">
      <c r="A278" s="115"/>
      <c r="B278" s="113"/>
      <c r="C278" s="114"/>
      <c r="D278" s="114"/>
      <c r="E278" s="99" t="s">
        <v>145</v>
      </c>
      <c r="F278" s="100">
        <v>2050.0</v>
      </c>
      <c r="G278" s="114"/>
      <c r="H278" s="332"/>
      <c r="I278" s="332"/>
      <c r="J278" s="332"/>
      <c r="K278" s="79"/>
      <c r="L278" s="79"/>
      <c r="M278" s="79"/>
      <c r="N278" s="79"/>
      <c r="O278" s="79"/>
      <c r="P278" s="79"/>
      <c r="Q278" s="79"/>
      <c r="R278" s="79"/>
      <c r="S278" s="79"/>
    </row>
    <row r="279" ht="27.75" customHeight="1">
      <c r="A279" s="115"/>
      <c r="B279" s="113"/>
      <c r="C279" s="114"/>
      <c r="D279" s="114"/>
      <c r="E279" s="99" t="s">
        <v>146</v>
      </c>
      <c r="F279" s="100">
        <v>380.0</v>
      </c>
      <c r="G279" s="114"/>
      <c r="H279" s="332"/>
      <c r="I279" s="332"/>
      <c r="J279" s="332"/>
      <c r="K279" s="79"/>
      <c r="L279" s="79"/>
      <c r="M279" s="79"/>
      <c r="N279" s="79"/>
      <c r="O279" s="79"/>
      <c r="P279" s="79"/>
      <c r="Q279" s="79"/>
      <c r="R279" s="79"/>
      <c r="S279" s="79"/>
    </row>
    <row r="280" ht="27.75" customHeight="1">
      <c r="A280" s="115"/>
      <c r="B280" s="113"/>
      <c r="C280" s="114"/>
      <c r="D280" s="114"/>
      <c r="E280" s="99" t="s">
        <v>147</v>
      </c>
      <c r="F280" s="100">
        <v>285.0</v>
      </c>
      <c r="G280" s="114"/>
      <c r="H280" s="332"/>
      <c r="I280" s="332"/>
      <c r="J280" s="332"/>
      <c r="K280" s="79"/>
      <c r="L280" s="79"/>
      <c r="M280" s="79"/>
      <c r="N280" s="79"/>
      <c r="O280" s="79"/>
      <c r="P280" s="79"/>
      <c r="Q280" s="79"/>
      <c r="R280" s="79"/>
      <c r="S280" s="79"/>
    </row>
    <row r="281" ht="27.75" customHeight="1">
      <c r="A281" s="115"/>
      <c r="B281" s="113"/>
      <c r="C281" s="114"/>
      <c r="D281" s="114"/>
      <c r="E281" s="99" t="s">
        <v>148</v>
      </c>
      <c r="F281" s="100"/>
      <c r="G281" s="114"/>
      <c r="H281" s="332"/>
      <c r="I281" s="332"/>
      <c r="J281" s="332"/>
      <c r="K281" s="79"/>
      <c r="L281" s="79"/>
      <c r="M281" s="79"/>
      <c r="N281" s="79"/>
      <c r="O281" s="79"/>
      <c r="P281" s="79"/>
      <c r="Q281" s="79"/>
      <c r="R281" s="79"/>
      <c r="S281" s="79"/>
    </row>
    <row r="282" ht="27.75" customHeight="1">
      <c r="A282" s="118"/>
      <c r="B282" s="119"/>
      <c r="C282" s="119"/>
      <c r="D282" s="119"/>
      <c r="E282" s="119"/>
      <c r="F282" s="119"/>
      <c r="G282" s="119"/>
      <c r="H282" s="186"/>
      <c r="I282" s="186"/>
      <c r="J282" s="186"/>
      <c r="K282" s="79"/>
      <c r="L282" s="79"/>
      <c r="M282" s="79"/>
      <c r="N282" s="79"/>
      <c r="O282" s="79"/>
      <c r="P282" s="79"/>
      <c r="Q282" s="79"/>
      <c r="R282" s="79"/>
      <c r="S282" s="79"/>
    </row>
    <row r="283" ht="27.75" customHeight="1">
      <c r="A283" s="102" t="s">
        <v>4</v>
      </c>
      <c r="B283" s="102" t="s">
        <v>5</v>
      </c>
      <c r="C283" s="102" t="s">
        <v>126</v>
      </c>
      <c r="D283" s="102" t="s">
        <v>6</v>
      </c>
      <c r="E283" s="102" t="s">
        <v>7</v>
      </c>
      <c r="F283" s="102" t="s">
        <v>127</v>
      </c>
      <c r="G283" s="103" t="s">
        <v>128</v>
      </c>
      <c r="H283" s="329"/>
      <c r="I283" s="329"/>
      <c r="J283" s="329"/>
      <c r="K283" s="79"/>
      <c r="L283" s="79"/>
      <c r="M283" s="79"/>
      <c r="N283" s="79"/>
      <c r="O283" s="79"/>
      <c r="P283" s="79"/>
      <c r="Q283" s="79"/>
      <c r="R283" s="79"/>
      <c r="S283" s="79"/>
    </row>
    <row r="284" ht="27.75" customHeight="1">
      <c r="A284" s="104">
        <v>1.0</v>
      </c>
      <c r="B284" s="105">
        <v>46097.0</v>
      </c>
      <c r="C284" s="106" t="s">
        <v>129</v>
      </c>
      <c r="D284" s="107"/>
      <c r="E284" s="107" t="s">
        <v>262</v>
      </c>
      <c r="F284" s="108" t="s">
        <v>1952</v>
      </c>
      <c r="G284" s="109"/>
      <c r="H284" s="330"/>
      <c r="I284" s="330"/>
      <c r="J284" s="330"/>
      <c r="K284" s="79"/>
      <c r="L284" s="79"/>
      <c r="M284" s="79"/>
      <c r="N284" s="79"/>
      <c r="O284" s="79"/>
      <c r="P284" s="79"/>
      <c r="Q284" s="79"/>
      <c r="R284" s="79"/>
      <c r="S284" s="79"/>
    </row>
    <row r="285" ht="27.75" customHeight="1">
      <c r="A285" s="104">
        <v>2.0</v>
      </c>
      <c r="B285" s="120"/>
      <c r="C285" s="110"/>
      <c r="D285" s="107"/>
      <c r="E285" s="107"/>
      <c r="F285" s="108"/>
      <c r="G285" s="109"/>
      <c r="H285" s="330"/>
      <c r="I285" s="330"/>
      <c r="J285" s="330"/>
      <c r="K285" s="79"/>
      <c r="L285" s="79"/>
      <c r="M285" s="79"/>
      <c r="N285" s="79"/>
      <c r="O285" s="79"/>
      <c r="P285" s="79"/>
      <c r="Q285" s="79"/>
      <c r="R285" s="79"/>
      <c r="S285" s="79"/>
    </row>
    <row r="286" ht="27.75" customHeight="1">
      <c r="A286" s="104">
        <v>3.0</v>
      </c>
      <c r="B286" s="120"/>
      <c r="C286" s="110"/>
      <c r="D286" s="107"/>
      <c r="E286" s="107"/>
      <c r="F286" s="111"/>
      <c r="G286" s="109"/>
      <c r="H286" s="330"/>
      <c r="I286" s="330"/>
      <c r="J286" s="330"/>
      <c r="K286" s="79"/>
      <c r="L286" s="79"/>
      <c r="M286" s="79"/>
      <c r="N286" s="79"/>
      <c r="O286" s="79"/>
      <c r="P286" s="79"/>
      <c r="Q286" s="79"/>
      <c r="R286" s="79"/>
      <c r="S286" s="79"/>
    </row>
    <row r="287" ht="27.75" customHeight="1">
      <c r="A287" s="104">
        <v>4.0</v>
      </c>
      <c r="B287" s="120"/>
      <c r="C287" s="110"/>
      <c r="D287" s="107"/>
      <c r="E287" s="107"/>
      <c r="F287" s="108"/>
      <c r="G287" s="111"/>
      <c r="H287" s="331"/>
      <c r="I287" s="331"/>
      <c r="J287" s="331"/>
      <c r="K287" s="79"/>
      <c r="L287" s="79"/>
      <c r="M287" s="79"/>
      <c r="N287" s="79"/>
      <c r="O287" s="79"/>
      <c r="P287" s="79"/>
      <c r="Q287" s="79"/>
      <c r="R287" s="79"/>
      <c r="S287" s="79"/>
    </row>
    <row r="288" ht="27.75" customHeight="1">
      <c r="A288" s="104">
        <v>5.0</v>
      </c>
      <c r="B288" s="120"/>
      <c r="C288" s="110"/>
      <c r="D288" s="107"/>
      <c r="E288" s="107"/>
      <c r="F288" s="108"/>
      <c r="G288" s="109"/>
      <c r="H288" s="330"/>
      <c r="I288" s="330"/>
      <c r="J288" s="330"/>
      <c r="K288" s="79"/>
      <c r="L288" s="79"/>
      <c r="M288" s="79"/>
      <c r="N288" s="79"/>
      <c r="O288" s="79"/>
      <c r="P288" s="79"/>
      <c r="Q288" s="79"/>
      <c r="R288" s="79"/>
      <c r="S288" s="79"/>
    </row>
    <row r="289" ht="27.75" customHeight="1">
      <c r="A289" s="104">
        <v>6.0</v>
      </c>
      <c r="B289" s="120"/>
      <c r="C289" s="110"/>
      <c r="D289" s="107"/>
      <c r="E289" s="107"/>
      <c r="F289" s="108"/>
      <c r="G289" s="109"/>
      <c r="H289" s="330"/>
      <c r="I289" s="330"/>
      <c r="J289" s="330"/>
      <c r="K289" s="79"/>
      <c r="L289" s="79"/>
      <c r="M289" s="79"/>
      <c r="N289" s="79"/>
      <c r="O289" s="79"/>
      <c r="P289" s="79"/>
      <c r="Q289" s="79"/>
      <c r="R289" s="79"/>
      <c r="S289" s="79"/>
    </row>
    <row r="290" ht="27.75" customHeight="1">
      <c r="A290" s="104">
        <v>7.0</v>
      </c>
      <c r="B290" s="120"/>
      <c r="C290" s="110"/>
      <c r="D290" s="107"/>
      <c r="E290" s="107"/>
      <c r="F290" s="108"/>
      <c r="G290" s="109"/>
      <c r="H290" s="330"/>
      <c r="I290" s="330"/>
      <c r="J290" s="330"/>
      <c r="K290" s="79"/>
      <c r="L290" s="79"/>
      <c r="M290" s="79"/>
      <c r="N290" s="79"/>
      <c r="O290" s="79"/>
      <c r="P290" s="79"/>
      <c r="Q290" s="79"/>
      <c r="R290" s="79"/>
      <c r="S290" s="79"/>
    </row>
    <row r="291" ht="27.75" customHeight="1">
      <c r="A291" s="104">
        <v>8.0</v>
      </c>
      <c r="B291" s="120"/>
      <c r="C291" s="106"/>
      <c r="D291" s="107"/>
      <c r="E291" s="107"/>
      <c r="F291" s="108"/>
      <c r="G291" s="109"/>
      <c r="H291" s="330"/>
      <c r="I291" s="330"/>
      <c r="J291" s="330"/>
      <c r="K291" s="79"/>
      <c r="L291" s="79"/>
      <c r="M291" s="79"/>
      <c r="N291" s="79"/>
      <c r="O291" s="79"/>
      <c r="P291" s="79"/>
      <c r="Q291" s="79"/>
      <c r="R291" s="79"/>
      <c r="S291" s="79"/>
    </row>
    <row r="292" ht="27.75" customHeight="1">
      <c r="A292" s="104">
        <v>9.0</v>
      </c>
      <c r="B292" s="120"/>
      <c r="C292" s="110"/>
      <c r="D292" s="107"/>
      <c r="E292" s="107"/>
      <c r="F292" s="108"/>
      <c r="G292" s="109"/>
      <c r="H292" s="330"/>
      <c r="I292" s="330"/>
      <c r="J292" s="330"/>
      <c r="K292" s="79"/>
      <c r="L292" s="79"/>
      <c r="M292" s="79"/>
      <c r="N292" s="79"/>
      <c r="O292" s="79"/>
      <c r="P292" s="79"/>
      <c r="Q292" s="79"/>
      <c r="R292" s="79"/>
      <c r="S292" s="79"/>
    </row>
    <row r="293" ht="27.75" customHeight="1">
      <c r="A293" s="104">
        <v>10.0</v>
      </c>
      <c r="B293" s="120"/>
      <c r="C293" s="110"/>
      <c r="D293" s="107"/>
      <c r="E293" s="107"/>
      <c r="F293" s="108"/>
      <c r="G293" s="109"/>
      <c r="H293" s="330"/>
      <c r="I293" s="330"/>
      <c r="J293" s="330"/>
      <c r="K293" s="79"/>
      <c r="L293" s="79"/>
      <c r="M293" s="79"/>
      <c r="N293" s="79"/>
      <c r="O293" s="79"/>
      <c r="P293" s="79"/>
      <c r="Q293" s="79"/>
      <c r="R293" s="79"/>
      <c r="S293" s="79"/>
    </row>
    <row r="294" ht="27.75" customHeight="1">
      <c r="A294" s="104">
        <v>11.0</v>
      </c>
      <c r="B294" s="120"/>
      <c r="C294" s="110"/>
      <c r="D294" s="107"/>
      <c r="E294" s="107"/>
      <c r="F294" s="108"/>
      <c r="G294" s="109"/>
      <c r="H294" s="330"/>
      <c r="I294" s="330"/>
      <c r="J294" s="330"/>
      <c r="K294" s="79"/>
      <c r="L294" s="79"/>
      <c r="M294" s="79"/>
      <c r="N294" s="79"/>
      <c r="O294" s="79"/>
      <c r="P294" s="79"/>
      <c r="Q294" s="79"/>
      <c r="R294" s="79"/>
      <c r="S294" s="79"/>
    </row>
    <row r="295" ht="27.75" customHeight="1">
      <c r="A295" s="104">
        <v>12.0</v>
      </c>
      <c r="B295" s="120"/>
      <c r="C295" s="110"/>
      <c r="D295" s="107"/>
      <c r="E295" s="107"/>
      <c r="F295" s="109"/>
      <c r="G295" s="111"/>
      <c r="H295" s="331"/>
      <c r="I295" s="331"/>
      <c r="J295" s="331"/>
      <c r="K295" s="79"/>
      <c r="L295" s="79"/>
      <c r="M295" s="79"/>
      <c r="N295" s="79"/>
      <c r="O295" s="79"/>
      <c r="P295" s="79"/>
      <c r="Q295" s="79"/>
      <c r="R295" s="79"/>
      <c r="S295" s="79"/>
    </row>
    <row r="296" ht="27.75" customHeight="1">
      <c r="A296" s="104">
        <v>13.0</v>
      </c>
      <c r="B296" s="120"/>
      <c r="C296" s="110"/>
      <c r="D296" s="107"/>
      <c r="E296" s="107"/>
      <c r="F296" s="108"/>
      <c r="G296" s="109"/>
      <c r="H296" s="330"/>
      <c r="I296" s="330"/>
      <c r="J296" s="330"/>
      <c r="K296" s="79"/>
      <c r="L296" s="79"/>
      <c r="M296" s="79"/>
      <c r="N296" s="79"/>
      <c r="O296" s="79"/>
      <c r="P296" s="79"/>
      <c r="Q296" s="79"/>
      <c r="R296" s="79"/>
      <c r="S296" s="79"/>
    </row>
    <row r="297" ht="27.75" customHeight="1">
      <c r="A297" s="104">
        <v>14.0</v>
      </c>
      <c r="B297" s="120"/>
      <c r="C297" s="110"/>
      <c r="D297" s="107"/>
      <c r="E297" s="107"/>
      <c r="F297" s="108"/>
      <c r="G297" s="109"/>
      <c r="H297" s="330"/>
      <c r="I297" s="330"/>
      <c r="J297" s="330"/>
      <c r="K297" s="79"/>
      <c r="L297" s="79"/>
      <c r="M297" s="79"/>
      <c r="N297" s="79"/>
      <c r="O297" s="79"/>
      <c r="P297" s="79"/>
      <c r="Q297" s="79"/>
      <c r="R297" s="79"/>
      <c r="S297" s="79"/>
    </row>
    <row r="298" ht="27.75" customHeight="1">
      <c r="A298" s="122">
        <v>15.0</v>
      </c>
      <c r="B298" s="123"/>
      <c r="C298" s="124"/>
      <c r="D298" s="107"/>
      <c r="E298" s="125"/>
      <c r="F298" s="109"/>
      <c r="G298" s="109"/>
      <c r="H298" s="330"/>
      <c r="I298" s="330"/>
      <c r="J298" s="330"/>
      <c r="K298" s="79"/>
      <c r="L298" s="79"/>
      <c r="M298" s="79"/>
      <c r="N298" s="79"/>
      <c r="O298" s="79"/>
      <c r="P298" s="79"/>
      <c r="Q298" s="79"/>
      <c r="R298" s="79"/>
      <c r="S298" s="79"/>
    </row>
    <row r="299" ht="27.75" customHeight="1">
      <c r="A299" s="112"/>
      <c r="B299" s="113"/>
      <c r="C299" s="114"/>
      <c r="D299" s="114"/>
      <c r="E299" s="99" t="s">
        <v>144</v>
      </c>
      <c r="F299" s="131"/>
      <c r="G299" s="114"/>
      <c r="H299" s="332"/>
      <c r="I299" s="332"/>
      <c r="J299" s="332"/>
      <c r="K299" s="79"/>
      <c r="L299" s="79"/>
      <c r="M299" s="79"/>
      <c r="N299" s="79"/>
      <c r="O299" s="79"/>
      <c r="P299" s="79"/>
      <c r="Q299" s="79"/>
      <c r="R299" s="79"/>
      <c r="S299" s="79"/>
    </row>
    <row r="300" ht="27.75" customHeight="1">
      <c r="A300" s="115"/>
      <c r="B300" s="113"/>
      <c r="C300" s="114"/>
      <c r="D300" s="114"/>
      <c r="E300" s="99" t="s">
        <v>145</v>
      </c>
      <c r="F300" s="100"/>
      <c r="G300" s="114"/>
      <c r="H300" s="332"/>
      <c r="I300" s="332"/>
      <c r="J300" s="332"/>
      <c r="K300" s="79"/>
      <c r="L300" s="79"/>
      <c r="M300" s="79"/>
      <c r="N300" s="79"/>
      <c r="O300" s="79"/>
      <c r="P300" s="79"/>
      <c r="Q300" s="79"/>
      <c r="R300" s="79"/>
      <c r="S300" s="79"/>
    </row>
    <row r="301" ht="27.75" customHeight="1">
      <c r="A301" s="115"/>
      <c r="B301" s="113"/>
      <c r="C301" s="114"/>
      <c r="D301" s="114"/>
      <c r="E301" s="99" t="s">
        <v>146</v>
      </c>
      <c r="F301" s="100"/>
      <c r="G301" s="114"/>
      <c r="H301" s="332"/>
      <c r="I301" s="332"/>
      <c r="J301" s="332"/>
      <c r="K301" s="79"/>
      <c r="L301" s="79"/>
      <c r="M301" s="79"/>
      <c r="N301" s="79"/>
      <c r="O301" s="79"/>
      <c r="P301" s="79"/>
      <c r="Q301" s="79"/>
      <c r="R301" s="79"/>
      <c r="S301" s="79"/>
    </row>
    <row r="302" ht="27.75" customHeight="1">
      <c r="A302" s="115"/>
      <c r="B302" s="113"/>
      <c r="C302" s="114"/>
      <c r="D302" s="114"/>
      <c r="E302" s="99" t="s">
        <v>147</v>
      </c>
      <c r="F302" s="100"/>
      <c r="G302" s="114"/>
      <c r="H302" s="332"/>
      <c r="I302" s="332"/>
      <c r="J302" s="332"/>
      <c r="K302" s="79"/>
      <c r="L302" s="79"/>
      <c r="M302" s="79"/>
      <c r="N302" s="79"/>
      <c r="O302" s="79"/>
      <c r="P302" s="79"/>
      <c r="Q302" s="79"/>
      <c r="R302" s="79"/>
      <c r="S302" s="79"/>
    </row>
    <row r="303" ht="27.75" customHeight="1">
      <c r="A303" s="115"/>
      <c r="B303" s="113"/>
      <c r="C303" s="114"/>
      <c r="D303" s="114"/>
      <c r="E303" s="99" t="s">
        <v>148</v>
      </c>
      <c r="F303" s="100"/>
      <c r="G303" s="114"/>
      <c r="H303" s="332"/>
      <c r="I303" s="332"/>
      <c r="J303" s="332"/>
      <c r="K303" s="79"/>
      <c r="L303" s="79"/>
      <c r="M303" s="79"/>
      <c r="N303" s="79"/>
      <c r="O303" s="79"/>
      <c r="P303" s="79"/>
      <c r="Q303" s="79"/>
      <c r="R303" s="79"/>
      <c r="S303" s="79"/>
    </row>
    <row r="304" ht="27.75" customHeight="1">
      <c r="A304" s="118"/>
      <c r="B304" s="119"/>
      <c r="C304" s="119"/>
      <c r="D304" s="119"/>
      <c r="E304" s="119"/>
      <c r="F304" s="119"/>
      <c r="G304" s="119"/>
      <c r="H304" s="186"/>
      <c r="I304" s="186"/>
      <c r="J304" s="186"/>
      <c r="K304" s="79"/>
      <c r="L304" s="79"/>
      <c r="M304" s="79"/>
      <c r="N304" s="79"/>
      <c r="O304" s="79"/>
      <c r="P304" s="79"/>
      <c r="Q304" s="79"/>
      <c r="R304" s="79"/>
      <c r="S304" s="79"/>
    </row>
    <row r="305" ht="27.75" customHeight="1">
      <c r="A305" s="102" t="s">
        <v>4</v>
      </c>
      <c r="B305" s="102" t="s">
        <v>5</v>
      </c>
      <c r="C305" s="102" t="s">
        <v>126</v>
      </c>
      <c r="D305" s="102" t="s">
        <v>6</v>
      </c>
      <c r="E305" s="102" t="s">
        <v>7</v>
      </c>
      <c r="F305" s="102" t="s">
        <v>127</v>
      </c>
      <c r="G305" s="103" t="s">
        <v>128</v>
      </c>
      <c r="H305" s="329"/>
      <c r="I305" s="329"/>
      <c r="J305" s="329"/>
      <c r="K305" s="79"/>
      <c r="L305" s="79"/>
      <c r="M305" s="79"/>
      <c r="N305" s="79"/>
      <c r="O305" s="79"/>
      <c r="P305" s="79"/>
      <c r="Q305" s="79"/>
      <c r="R305" s="79"/>
      <c r="S305" s="79"/>
    </row>
    <row r="306" ht="27.75" customHeight="1">
      <c r="A306" s="104">
        <v>1.0</v>
      </c>
      <c r="B306" s="105">
        <v>46098.0</v>
      </c>
      <c r="C306" s="106" t="s">
        <v>261</v>
      </c>
      <c r="D306" s="107"/>
      <c r="E306" s="107" t="s">
        <v>1953</v>
      </c>
      <c r="F306" s="108"/>
      <c r="G306" s="109"/>
      <c r="H306" s="330"/>
      <c r="I306" s="330"/>
      <c r="J306" s="330"/>
      <c r="K306" s="79"/>
      <c r="L306" s="79"/>
      <c r="M306" s="79"/>
      <c r="N306" s="79"/>
      <c r="O306" s="79"/>
      <c r="P306" s="79"/>
      <c r="Q306" s="79"/>
      <c r="R306" s="79"/>
      <c r="S306" s="79"/>
    </row>
    <row r="307" ht="27.75" customHeight="1">
      <c r="A307" s="104">
        <v>2.0</v>
      </c>
      <c r="B307" s="120"/>
      <c r="C307" s="110"/>
      <c r="D307" s="107"/>
      <c r="E307" s="107" t="s">
        <v>1954</v>
      </c>
      <c r="F307" s="108"/>
      <c r="G307" s="109"/>
      <c r="H307" s="330"/>
      <c r="I307" s="330"/>
      <c r="J307" s="330"/>
      <c r="K307" s="79"/>
      <c r="L307" s="79"/>
      <c r="M307" s="79"/>
      <c r="N307" s="79"/>
      <c r="O307" s="79"/>
      <c r="P307" s="79"/>
      <c r="Q307" s="79"/>
      <c r="R307" s="79"/>
      <c r="S307" s="79"/>
    </row>
    <row r="308" ht="27.75" customHeight="1">
      <c r="A308" s="104">
        <v>3.0</v>
      </c>
      <c r="B308" s="120"/>
      <c r="C308" s="110"/>
      <c r="D308" s="107"/>
      <c r="E308" s="107" t="s">
        <v>1955</v>
      </c>
      <c r="F308" s="111"/>
      <c r="G308" s="109"/>
      <c r="H308" s="330"/>
      <c r="I308" s="330"/>
      <c r="J308" s="330"/>
      <c r="K308" s="79"/>
      <c r="L308" s="79"/>
      <c r="M308" s="79"/>
      <c r="N308" s="79"/>
      <c r="O308" s="79"/>
      <c r="P308" s="79"/>
      <c r="Q308" s="79"/>
      <c r="R308" s="79"/>
      <c r="S308" s="79"/>
    </row>
    <row r="309" ht="27.75" customHeight="1">
      <c r="A309" s="104">
        <v>4.0</v>
      </c>
      <c r="B309" s="120"/>
      <c r="C309" s="110"/>
      <c r="D309" s="107"/>
      <c r="E309" s="107" t="s">
        <v>1956</v>
      </c>
      <c r="F309" s="108"/>
      <c r="G309" s="111"/>
      <c r="H309" s="331"/>
      <c r="I309" s="331"/>
      <c r="J309" s="331"/>
      <c r="K309" s="79"/>
      <c r="L309" s="79"/>
      <c r="M309" s="79"/>
      <c r="N309" s="79"/>
      <c r="O309" s="79"/>
      <c r="P309" s="79"/>
      <c r="Q309" s="79"/>
      <c r="R309" s="79"/>
      <c r="S309" s="79"/>
    </row>
    <row r="310" ht="27.75" customHeight="1">
      <c r="A310" s="104">
        <v>5.0</v>
      </c>
      <c r="B310" s="120"/>
      <c r="C310" s="110"/>
      <c r="D310" s="107"/>
      <c r="E310" s="107" t="s">
        <v>1957</v>
      </c>
      <c r="F310" s="108">
        <v>-150.0</v>
      </c>
      <c r="G310" s="109"/>
      <c r="H310" s="330"/>
      <c r="I310" s="330"/>
      <c r="J310" s="330"/>
      <c r="K310" s="79"/>
      <c r="L310" s="79"/>
      <c r="M310" s="79"/>
      <c r="N310" s="79"/>
      <c r="O310" s="79"/>
      <c r="P310" s="79"/>
      <c r="Q310" s="79"/>
      <c r="R310" s="79"/>
      <c r="S310" s="79"/>
    </row>
    <row r="311" ht="27.75" customHeight="1">
      <c r="A311" s="104">
        <v>6.0</v>
      </c>
      <c r="B311" s="120"/>
      <c r="C311" s="110"/>
      <c r="D311" s="107"/>
      <c r="E311" s="107" t="s">
        <v>1958</v>
      </c>
      <c r="F311" s="108"/>
      <c r="G311" s="111" t="s">
        <v>1959</v>
      </c>
      <c r="H311" s="331"/>
      <c r="I311" s="331"/>
      <c r="J311" s="331"/>
      <c r="K311" s="79"/>
      <c r="L311" s="79"/>
      <c r="M311" s="79"/>
      <c r="N311" s="79"/>
      <c r="O311" s="79"/>
      <c r="P311" s="79"/>
      <c r="Q311" s="79"/>
      <c r="R311" s="79"/>
      <c r="S311" s="79"/>
    </row>
    <row r="312" ht="27.75" customHeight="1">
      <c r="A312" s="104">
        <v>7.0</v>
      </c>
      <c r="B312" s="120"/>
      <c r="C312" s="110"/>
      <c r="D312" s="107"/>
      <c r="E312" s="107" t="s">
        <v>1960</v>
      </c>
      <c r="F312" s="108">
        <v>120.0</v>
      </c>
      <c r="G312" s="111" t="s">
        <v>1961</v>
      </c>
      <c r="H312" s="331"/>
      <c r="I312" s="331"/>
      <c r="J312" s="331"/>
      <c r="K312" s="79"/>
      <c r="L312" s="79"/>
      <c r="M312" s="79"/>
      <c r="N312" s="79"/>
      <c r="O312" s="79"/>
      <c r="P312" s="79"/>
      <c r="Q312" s="79"/>
      <c r="R312" s="79"/>
      <c r="S312" s="79"/>
    </row>
    <row r="313" ht="27.75" customHeight="1">
      <c r="A313" s="104">
        <v>8.0</v>
      </c>
      <c r="B313" s="120"/>
      <c r="C313" s="106"/>
      <c r="D313" s="107"/>
      <c r="E313" s="107" t="s">
        <v>390</v>
      </c>
      <c r="F313" s="108">
        <v>120.0</v>
      </c>
      <c r="G313" s="111" t="s">
        <v>156</v>
      </c>
      <c r="H313" s="331"/>
      <c r="I313" s="331"/>
      <c r="J313" s="331"/>
      <c r="K313" s="79"/>
      <c r="L313" s="79"/>
      <c r="M313" s="79"/>
      <c r="N313" s="79"/>
      <c r="O313" s="79"/>
      <c r="P313" s="79"/>
      <c r="Q313" s="79"/>
      <c r="R313" s="79"/>
      <c r="S313" s="79"/>
    </row>
    <row r="314" ht="27.75" customHeight="1">
      <c r="A314" s="104">
        <v>9.0</v>
      </c>
      <c r="B314" s="120"/>
      <c r="C314" s="110"/>
      <c r="D314" s="107"/>
      <c r="E314" s="107" t="s">
        <v>390</v>
      </c>
      <c r="F314" s="108" t="s">
        <v>1962</v>
      </c>
      <c r="G314" s="111" t="s">
        <v>1963</v>
      </c>
      <c r="H314" s="331"/>
      <c r="I314" s="331"/>
      <c r="J314" s="331"/>
      <c r="K314" s="79"/>
      <c r="L314" s="79"/>
      <c r="M314" s="79"/>
      <c r="N314" s="79"/>
      <c r="O314" s="79"/>
      <c r="P314" s="79"/>
      <c r="Q314" s="79"/>
      <c r="R314" s="79"/>
      <c r="S314" s="79"/>
    </row>
    <row r="315" ht="27.75" customHeight="1">
      <c r="A315" s="104">
        <v>10.0</v>
      </c>
      <c r="B315" s="120"/>
      <c r="C315" s="110"/>
      <c r="D315" s="107"/>
      <c r="E315" s="107" t="s">
        <v>1964</v>
      </c>
      <c r="F315" s="108"/>
      <c r="G315" s="109"/>
      <c r="H315" s="330"/>
      <c r="I315" s="330"/>
      <c r="J315" s="330"/>
      <c r="K315" s="79"/>
      <c r="L315" s="79"/>
      <c r="M315" s="79"/>
      <c r="N315" s="79"/>
      <c r="O315" s="79"/>
      <c r="P315" s="79"/>
      <c r="Q315" s="79"/>
      <c r="R315" s="79"/>
      <c r="S315" s="79"/>
    </row>
    <row r="316" ht="27.75" customHeight="1">
      <c r="A316" s="104">
        <v>11.0</v>
      </c>
      <c r="B316" s="120"/>
      <c r="C316" s="110"/>
      <c r="D316" s="107"/>
      <c r="E316" s="107"/>
      <c r="F316" s="108"/>
      <c r="G316" s="109"/>
      <c r="H316" s="330"/>
      <c r="I316" s="330"/>
      <c r="J316" s="330"/>
      <c r="K316" s="79"/>
      <c r="L316" s="79"/>
      <c r="M316" s="79"/>
      <c r="N316" s="79"/>
      <c r="O316" s="79"/>
      <c r="P316" s="79"/>
      <c r="Q316" s="79"/>
      <c r="R316" s="79"/>
      <c r="S316" s="79"/>
    </row>
    <row r="317" ht="27.75" customHeight="1">
      <c r="A317" s="104">
        <v>12.0</v>
      </c>
      <c r="B317" s="120"/>
      <c r="C317" s="110"/>
      <c r="D317" s="107"/>
      <c r="E317" s="107"/>
      <c r="F317" s="109"/>
      <c r="G317" s="111"/>
      <c r="H317" s="331"/>
      <c r="I317" s="331"/>
      <c r="J317" s="331"/>
      <c r="K317" s="79"/>
      <c r="L317" s="79"/>
      <c r="M317" s="79"/>
      <c r="N317" s="79"/>
      <c r="O317" s="79"/>
      <c r="P317" s="79"/>
      <c r="Q317" s="79"/>
      <c r="R317" s="79"/>
      <c r="S317" s="79"/>
    </row>
    <row r="318" ht="27.75" customHeight="1">
      <c r="A318" s="104">
        <v>13.0</v>
      </c>
      <c r="B318" s="120"/>
      <c r="C318" s="110"/>
      <c r="D318" s="107"/>
      <c r="E318" s="107"/>
      <c r="F318" s="109"/>
      <c r="G318" s="109"/>
      <c r="H318" s="330"/>
      <c r="I318" s="330"/>
      <c r="J318" s="330"/>
      <c r="K318" s="79"/>
      <c r="L318" s="79"/>
      <c r="M318" s="79"/>
      <c r="N318" s="79"/>
      <c r="O318" s="79"/>
      <c r="P318" s="79"/>
      <c r="Q318" s="79"/>
      <c r="R318" s="79"/>
      <c r="S318" s="79"/>
    </row>
    <row r="319" ht="27.75" customHeight="1">
      <c r="A319" s="104">
        <v>14.0</v>
      </c>
      <c r="B319" s="120"/>
      <c r="C319" s="110"/>
      <c r="D319" s="107"/>
      <c r="E319" s="107"/>
      <c r="F319" s="108"/>
      <c r="G319" s="109"/>
      <c r="H319" s="330"/>
      <c r="I319" s="330"/>
      <c r="J319" s="330"/>
      <c r="K319" s="79"/>
      <c r="L319" s="79"/>
      <c r="M319" s="79"/>
      <c r="N319" s="79"/>
      <c r="O319" s="79"/>
      <c r="P319" s="79"/>
      <c r="Q319" s="79"/>
      <c r="R319" s="79"/>
      <c r="S319" s="79"/>
    </row>
    <row r="320" ht="27.75" customHeight="1">
      <c r="A320" s="122">
        <v>15.0</v>
      </c>
      <c r="B320" s="123"/>
      <c r="C320" s="124"/>
      <c r="D320" s="107"/>
      <c r="E320" s="125"/>
      <c r="F320" s="109"/>
      <c r="G320" s="109"/>
      <c r="H320" s="330"/>
      <c r="I320" s="330"/>
      <c r="J320" s="330"/>
      <c r="K320" s="79"/>
      <c r="L320" s="79"/>
      <c r="M320" s="79"/>
      <c r="N320" s="79"/>
      <c r="O320" s="79"/>
      <c r="P320" s="79"/>
      <c r="Q320" s="79"/>
      <c r="R320" s="79"/>
      <c r="S320" s="79"/>
    </row>
    <row r="321" ht="27.75" customHeight="1">
      <c r="A321" s="112"/>
      <c r="B321" s="113"/>
      <c r="C321" s="114"/>
      <c r="D321" s="114"/>
      <c r="E321" s="99" t="s">
        <v>144</v>
      </c>
      <c r="F321" s="131"/>
      <c r="G321" s="114"/>
      <c r="H321" s="332"/>
      <c r="I321" s="332"/>
      <c r="J321" s="332"/>
      <c r="K321" s="79"/>
      <c r="L321" s="79"/>
      <c r="M321" s="79"/>
      <c r="N321" s="79"/>
      <c r="O321" s="79"/>
      <c r="P321" s="79"/>
      <c r="Q321" s="79"/>
      <c r="R321" s="79"/>
      <c r="S321" s="79"/>
    </row>
    <row r="322" ht="27.75" customHeight="1">
      <c r="A322" s="115"/>
      <c r="B322" s="113"/>
      <c r="C322" s="114"/>
      <c r="D322" s="114"/>
      <c r="E322" s="99" t="s">
        <v>145</v>
      </c>
      <c r="F322" s="100">
        <f>560+40+510+35+120+120+1000+120-1500-150</f>
        <v>855</v>
      </c>
      <c r="G322" s="114"/>
      <c r="H322" s="332"/>
      <c r="I322" s="332"/>
      <c r="J322" s="332"/>
      <c r="K322" s="79"/>
      <c r="L322" s="79"/>
      <c r="M322" s="79"/>
      <c r="N322" s="79"/>
      <c r="O322" s="79"/>
      <c r="P322" s="79"/>
      <c r="Q322" s="79"/>
      <c r="R322" s="79"/>
      <c r="S322" s="79"/>
    </row>
    <row r="323" ht="27.75" customHeight="1">
      <c r="A323" s="115"/>
      <c r="B323" s="113"/>
      <c r="C323" s="114"/>
      <c r="D323" s="114"/>
      <c r="E323" s="99" t="s">
        <v>146</v>
      </c>
      <c r="F323" s="100">
        <f>100+30+30+35+35+40+35+40+120+120+120</f>
        <v>705</v>
      </c>
      <c r="G323" s="114"/>
      <c r="H323" s="332"/>
      <c r="I323" s="332"/>
      <c r="J323" s="332"/>
      <c r="K323" s="79"/>
      <c r="L323" s="79"/>
      <c r="M323" s="79"/>
      <c r="N323" s="79"/>
      <c r="O323" s="79"/>
      <c r="P323" s="79"/>
      <c r="Q323" s="79"/>
      <c r="R323" s="79"/>
      <c r="S323" s="79"/>
    </row>
    <row r="324" ht="27.75" customHeight="1">
      <c r="A324" s="115"/>
      <c r="B324" s="113"/>
      <c r="C324" s="114"/>
      <c r="D324" s="114"/>
      <c r="E324" s="99" t="s">
        <v>147</v>
      </c>
      <c r="F324" s="100">
        <v>530.0</v>
      </c>
      <c r="G324" s="114"/>
      <c r="H324" s="332"/>
      <c r="I324" s="332"/>
      <c r="J324" s="332"/>
      <c r="K324" s="79"/>
      <c r="L324" s="79"/>
      <c r="M324" s="79"/>
      <c r="N324" s="79"/>
      <c r="O324" s="79"/>
      <c r="P324" s="79"/>
      <c r="Q324" s="79"/>
      <c r="R324" s="79"/>
      <c r="S324" s="79"/>
    </row>
    <row r="325" ht="27.75" customHeight="1">
      <c r="A325" s="115"/>
      <c r="B325" s="113"/>
      <c r="C325" s="114"/>
      <c r="D325" s="114"/>
      <c r="E325" s="99" t="s">
        <v>148</v>
      </c>
      <c r="F325" s="100">
        <v>330.0</v>
      </c>
      <c r="G325" s="114"/>
      <c r="H325" s="332"/>
      <c r="I325" s="332"/>
      <c r="J325" s="332"/>
      <c r="K325" s="79"/>
      <c r="L325" s="79"/>
      <c r="M325" s="79"/>
      <c r="N325" s="79"/>
      <c r="O325" s="79"/>
      <c r="P325" s="79"/>
      <c r="Q325" s="79"/>
      <c r="R325" s="79"/>
      <c r="S325" s="79"/>
    </row>
    <row r="326" ht="27.75" customHeight="1">
      <c r="A326" s="118"/>
      <c r="B326" s="119"/>
      <c r="C326" s="119"/>
      <c r="D326" s="119"/>
      <c r="E326" s="119"/>
      <c r="F326" s="119"/>
      <c r="G326" s="119"/>
      <c r="H326" s="186"/>
      <c r="I326" s="186"/>
      <c r="J326" s="186"/>
      <c r="K326" s="79"/>
      <c r="L326" s="79"/>
      <c r="M326" s="79"/>
      <c r="N326" s="79"/>
      <c r="O326" s="79"/>
      <c r="P326" s="79"/>
      <c r="Q326" s="79"/>
      <c r="R326" s="79"/>
      <c r="S326" s="79"/>
    </row>
    <row r="327" ht="27.75" customHeight="1">
      <c r="A327" s="102" t="s">
        <v>4</v>
      </c>
      <c r="B327" s="102" t="s">
        <v>5</v>
      </c>
      <c r="C327" s="102" t="s">
        <v>126</v>
      </c>
      <c r="D327" s="102" t="s">
        <v>6</v>
      </c>
      <c r="E327" s="102" t="s">
        <v>7</v>
      </c>
      <c r="F327" s="102" t="s">
        <v>127</v>
      </c>
      <c r="G327" s="103" t="s">
        <v>128</v>
      </c>
      <c r="H327" s="329"/>
      <c r="I327" s="329"/>
      <c r="J327" s="329"/>
      <c r="K327" s="79"/>
      <c r="L327" s="79"/>
      <c r="M327" s="79"/>
      <c r="N327" s="79"/>
      <c r="O327" s="79"/>
      <c r="P327" s="79"/>
      <c r="Q327" s="79"/>
      <c r="R327" s="79"/>
      <c r="S327" s="79"/>
    </row>
    <row r="328" ht="27.75" customHeight="1">
      <c r="A328" s="104">
        <v>1.0</v>
      </c>
      <c r="B328" s="105">
        <v>46098.0</v>
      </c>
      <c r="C328" s="106" t="s">
        <v>169</v>
      </c>
      <c r="D328" s="107"/>
      <c r="E328" s="107" t="s">
        <v>871</v>
      </c>
      <c r="F328" s="108">
        <v>10490.0</v>
      </c>
      <c r="G328" s="109"/>
      <c r="H328" s="330"/>
      <c r="I328" s="330"/>
      <c r="J328" s="330"/>
      <c r="K328" s="79"/>
      <c r="L328" s="79"/>
      <c r="M328" s="79"/>
      <c r="N328" s="79"/>
      <c r="O328" s="79"/>
      <c r="P328" s="79"/>
      <c r="Q328" s="79"/>
      <c r="R328" s="79"/>
      <c r="S328" s="79"/>
    </row>
    <row r="329" ht="27.75" customHeight="1">
      <c r="A329" s="104">
        <v>2.0</v>
      </c>
      <c r="B329" s="120"/>
      <c r="C329" s="110"/>
      <c r="D329" s="107"/>
      <c r="E329" s="107" t="s">
        <v>1965</v>
      </c>
      <c r="F329" s="108">
        <v>6830.0</v>
      </c>
      <c r="G329" s="109"/>
      <c r="H329" s="330"/>
      <c r="I329" s="330"/>
      <c r="J329" s="330"/>
      <c r="K329" s="79"/>
      <c r="L329" s="79"/>
      <c r="M329" s="79"/>
      <c r="N329" s="79"/>
      <c r="O329" s="79"/>
      <c r="P329" s="79"/>
      <c r="Q329" s="79"/>
      <c r="R329" s="79"/>
      <c r="S329" s="79"/>
    </row>
    <row r="330" ht="27.75" customHeight="1">
      <c r="A330" s="104">
        <v>3.0</v>
      </c>
      <c r="B330" s="120"/>
      <c r="C330" s="110"/>
      <c r="D330" s="107"/>
      <c r="E330" s="107" t="s">
        <v>873</v>
      </c>
      <c r="F330" s="108">
        <v>2240.0</v>
      </c>
      <c r="G330" s="109"/>
      <c r="H330" s="330"/>
      <c r="I330" s="330"/>
      <c r="J330" s="330"/>
      <c r="K330" s="79"/>
      <c r="L330" s="79"/>
      <c r="M330" s="79"/>
      <c r="N330" s="79"/>
      <c r="O330" s="79"/>
      <c r="P330" s="79"/>
      <c r="Q330" s="79"/>
      <c r="R330" s="79"/>
      <c r="S330" s="79"/>
    </row>
    <row r="331" ht="27.75" customHeight="1">
      <c r="A331" s="104">
        <v>4.0</v>
      </c>
      <c r="B331" s="120"/>
      <c r="C331" s="110"/>
      <c r="D331" s="107"/>
      <c r="E331" s="107"/>
      <c r="F331" s="108"/>
      <c r="G331" s="111"/>
      <c r="H331" s="331"/>
      <c r="I331" s="331"/>
      <c r="J331" s="331"/>
      <c r="K331" s="79"/>
      <c r="L331" s="79"/>
      <c r="M331" s="79"/>
      <c r="N331" s="79"/>
      <c r="O331" s="79"/>
      <c r="P331" s="79"/>
      <c r="Q331" s="79"/>
      <c r="R331" s="79"/>
      <c r="S331" s="79"/>
    </row>
    <row r="332" ht="27.75" customHeight="1">
      <c r="A332" s="104">
        <v>5.0</v>
      </c>
      <c r="B332" s="120"/>
      <c r="C332" s="110"/>
      <c r="D332" s="107"/>
      <c r="E332" s="107"/>
      <c r="F332" s="108"/>
      <c r="G332" s="109"/>
      <c r="H332" s="330"/>
      <c r="I332" s="330"/>
      <c r="J332" s="330"/>
      <c r="K332" s="79"/>
      <c r="L332" s="79"/>
      <c r="M332" s="79"/>
      <c r="N332" s="79"/>
      <c r="O332" s="79"/>
      <c r="P332" s="79"/>
      <c r="Q332" s="79"/>
      <c r="R332" s="79"/>
      <c r="S332" s="79"/>
    </row>
    <row r="333" ht="27.75" customHeight="1">
      <c r="A333" s="104">
        <v>6.0</v>
      </c>
      <c r="B333" s="120"/>
      <c r="C333" s="110"/>
      <c r="D333" s="107"/>
      <c r="E333" s="107"/>
      <c r="F333" s="108"/>
      <c r="G333" s="109"/>
      <c r="H333" s="330"/>
      <c r="I333" s="330"/>
      <c r="J333" s="330"/>
      <c r="K333" s="79"/>
      <c r="L333" s="79"/>
      <c r="M333" s="79"/>
      <c r="N333" s="79"/>
      <c r="O333" s="79"/>
      <c r="P333" s="79"/>
      <c r="Q333" s="79"/>
      <c r="R333" s="79"/>
      <c r="S333" s="79"/>
    </row>
    <row r="334" ht="27.75" customHeight="1">
      <c r="A334" s="104">
        <v>7.0</v>
      </c>
      <c r="B334" s="120"/>
      <c r="C334" s="110"/>
      <c r="D334" s="107"/>
      <c r="E334" s="107"/>
      <c r="F334" s="108"/>
      <c r="G334" s="109"/>
      <c r="H334" s="330"/>
      <c r="I334" s="330"/>
      <c r="J334" s="330"/>
      <c r="K334" s="79"/>
      <c r="L334" s="79"/>
      <c r="M334" s="79"/>
      <c r="N334" s="79"/>
      <c r="O334" s="79"/>
      <c r="P334" s="79"/>
      <c r="Q334" s="79"/>
      <c r="R334" s="79"/>
      <c r="S334" s="79"/>
    </row>
    <row r="335" ht="27.75" customHeight="1">
      <c r="A335" s="104">
        <v>8.0</v>
      </c>
      <c r="B335" s="120"/>
      <c r="C335" s="106"/>
      <c r="D335" s="107"/>
      <c r="E335" s="107"/>
      <c r="F335" s="108"/>
      <c r="G335" s="109"/>
      <c r="H335" s="330"/>
      <c r="I335" s="330"/>
      <c r="J335" s="330"/>
      <c r="K335" s="79"/>
      <c r="L335" s="79"/>
      <c r="M335" s="79"/>
      <c r="N335" s="79"/>
      <c r="O335" s="79"/>
      <c r="P335" s="79"/>
      <c r="Q335" s="79"/>
      <c r="R335" s="79"/>
      <c r="S335" s="79"/>
    </row>
    <row r="336" ht="27.75" customHeight="1">
      <c r="A336" s="104">
        <v>9.0</v>
      </c>
      <c r="B336" s="120"/>
      <c r="C336" s="110"/>
      <c r="D336" s="107"/>
      <c r="E336" s="107"/>
      <c r="F336" s="108"/>
      <c r="G336" s="109"/>
      <c r="H336" s="330"/>
      <c r="I336" s="330"/>
      <c r="J336" s="330"/>
      <c r="K336" s="79"/>
      <c r="L336" s="79"/>
      <c r="M336" s="79"/>
      <c r="N336" s="79"/>
      <c r="O336" s="79"/>
      <c r="P336" s="79"/>
      <c r="Q336" s="79"/>
      <c r="R336" s="79"/>
      <c r="S336" s="79"/>
    </row>
    <row r="337" ht="27.75" customHeight="1">
      <c r="A337" s="104">
        <v>10.0</v>
      </c>
      <c r="B337" s="120"/>
      <c r="C337" s="110"/>
      <c r="D337" s="107"/>
      <c r="E337" s="107"/>
      <c r="F337" s="108"/>
      <c r="G337" s="109"/>
      <c r="H337" s="330"/>
      <c r="I337" s="330"/>
      <c r="J337" s="330"/>
      <c r="K337" s="79"/>
      <c r="L337" s="79"/>
      <c r="M337" s="79"/>
      <c r="N337" s="79"/>
      <c r="O337" s="79"/>
      <c r="P337" s="79"/>
      <c r="Q337" s="79"/>
      <c r="R337" s="79"/>
      <c r="S337" s="79"/>
    </row>
    <row r="338" ht="27.75" customHeight="1">
      <c r="A338" s="104">
        <v>11.0</v>
      </c>
      <c r="B338" s="120"/>
      <c r="C338" s="110"/>
      <c r="D338" s="107"/>
      <c r="E338" s="107"/>
      <c r="F338" s="108"/>
      <c r="G338" s="109"/>
      <c r="H338" s="330"/>
      <c r="I338" s="330"/>
      <c r="J338" s="330"/>
      <c r="K338" s="79"/>
      <c r="L338" s="79"/>
      <c r="M338" s="79"/>
      <c r="N338" s="79"/>
      <c r="O338" s="79"/>
      <c r="P338" s="79"/>
      <c r="Q338" s="79"/>
      <c r="R338" s="79"/>
      <c r="S338" s="79"/>
    </row>
    <row r="339" ht="27.75" customHeight="1">
      <c r="A339" s="104">
        <v>12.0</v>
      </c>
      <c r="B339" s="120"/>
      <c r="C339" s="110"/>
      <c r="D339" s="107"/>
      <c r="E339" s="107"/>
      <c r="F339" s="109"/>
      <c r="G339" s="111"/>
      <c r="H339" s="331"/>
      <c r="I339" s="331"/>
      <c r="J339" s="331"/>
      <c r="K339" s="79"/>
      <c r="L339" s="79"/>
      <c r="M339" s="79"/>
      <c r="N339" s="79"/>
      <c r="O339" s="79"/>
      <c r="P339" s="79"/>
      <c r="Q339" s="79"/>
      <c r="R339" s="79"/>
      <c r="S339" s="79"/>
    </row>
    <row r="340" ht="27.75" customHeight="1">
      <c r="A340" s="104">
        <v>13.0</v>
      </c>
      <c r="B340" s="120"/>
      <c r="C340" s="110"/>
      <c r="D340" s="107"/>
      <c r="E340" s="107"/>
      <c r="F340" s="108"/>
      <c r="G340" s="109"/>
      <c r="H340" s="330"/>
      <c r="I340" s="330"/>
      <c r="J340" s="330"/>
      <c r="K340" s="79"/>
      <c r="L340" s="79"/>
      <c r="M340" s="79"/>
      <c r="N340" s="79"/>
      <c r="O340" s="79"/>
      <c r="P340" s="79"/>
      <c r="Q340" s="79"/>
      <c r="R340" s="79"/>
      <c r="S340" s="79"/>
    </row>
    <row r="341" ht="27.75" customHeight="1">
      <c r="A341" s="104">
        <v>14.0</v>
      </c>
      <c r="B341" s="120"/>
      <c r="C341" s="110"/>
      <c r="D341" s="107"/>
      <c r="E341" s="107"/>
      <c r="F341" s="108"/>
      <c r="G341" s="109"/>
      <c r="H341" s="330"/>
      <c r="I341" s="330"/>
      <c r="J341" s="330"/>
      <c r="K341" s="79"/>
      <c r="L341" s="79"/>
      <c r="M341" s="79"/>
      <c r="N341" s="79"/>
      <c r="O341" s="79"/>
      <c r="P341" s="79"/>
      <c r="Q341" s="79"/>
      <c r="R341" s="79"/>
      <c r="S341" s="79"/>
    </row>
    <row r="342" ht="27.75" customHeight="1">
      <c r="A342" s="122">
        <v>15.0</v>
      </c>
      <c r="B342" s="123"/>
      <c r="C342" s="124"/>
      <c r="D342" s="107"/>
      <c r="E342" s="125"/>
      <c r="F342" s="109"/>
      <c r="G342" s="109"/>
      <c r="H342" s="330"/>
      <c r="I342" s="330"/>
      <c r="J342" s="330"/>
      <c r="K342" s="79"/>
      <c r="L342" s="79"/>
      <c r="M342" s="79"/>
      <c r="N342" s="79"/>
      <c r="O342" s="79"/>
      <c r="P342" s="79"/>
      <c r="Q342" s="79"/>
      <c r="R342" s="79"/>
      <c r="S342" s="79"/>
    </row>
    <row r="343" ht="27.75" customHeight="1">
      <c r="A343" s="112"/>
      <c r="B343" s="113"/>
      <c r="C343" s="114"/>
      <c r="D343" s="114"/>
      <c r="E343" s="99" t="s">
        <v>144</v>
      </c>
      <c r="F343" s="131"/>
      <c r="G343" s="114"/>
      <c r="H343" s="332"/>
      <c r="I343" s="332"/>
      <c r="J343" s="332"/>
      <c r="K343" s="79"/>
      <c r="L343" s="79"/>
      <c r="M343" s="79"/>
      <c r="N343" s="79"/>
      <c r="O343" s="79"/>
      <c r="P343" s="79"/>
      <c r="Q343" s="79"/>
      <c r="R343" s="79"/>
      <c r="S343" s="79"/>
    </row>
    <row r="344" ht="27.75" customHeight="1">
      <c r="A344" s="115"/>
      <c r="B344" s="113"/>
      <c r="C344" s="114"/>
      <c r="D344" s="114"/>
      <c r="E344" s="99" t="s">
        <v>145</v>
      </c>
      <c r="F344" s="100"/>
      <c r="G344" s="114"/>
      <c r="H344" s="332"/>
      <c r="I344" s="332"/>
      <c r="J344" s="332"/>
      <c r="K344" s="79"/>
      <c r="L344" s="79"/>
      <c r="M344" s="79"/>
      <c r="N344" s="79"/>
      <c r="O344" s="79"/>
      <c r="P344" s="79"/>
      <c r="Q344" s="79"/>
      <c r="R344" s="79"/>
      <c r="S344" s="79"/>
    </row>
    <row r="345" ht="27.75" customHeight="1">
      <c r="A345" s="115"/>
      <c r="B345" s="113"/>
      <c r="C345" s="114"/>
      <c r="D345" s="114"/>
      <c r="E345" s="99" t="s">
        <v>146</v>
      </c>
      <c r="F345" s="100"/>
      <c r="G345" s="114"/>
      <c r="H345" s="332"/>
      <c r="I345" s="332"/>
      <c r="J345" s="332"/>
      <c r="K345" s="79"/>
      <c r="L345" s="79"/>
      <c r="M345" s="79"/>
      <c r="N345" s="79"/>
      <c r="O345" s="79"/>
      <c r="P345" s="79"/>
      <c r="Q345" s="79"/>
      <c r="R345" s="79"/>
      <c r="S345" s="79"/>
    </row>
    <row r="346" ht="27.75" customHeight="1">
      <c r="A346" s="115"/>
      <c r="B346" s="113"/>
      <c r="C346" s="114"/>
      <c r="D346" s="114"/>
      <c r="E346" s="99" t="s">
        <v>147</v>
      </c>
      <c r="F346" s="100"/>
      <c r="G346" s="114"/>
      <c r="H346" s="332"/>
      <c r="I346" s="332"/>
      <c r="J346" s="332"/>
      <c r="K346" s="79"/>
      <c r="L346" s="79"/>
      <c r="M346" s="79"/>
      <c r="N346" s="79"/>
      <c r="O346" s="79"/>
      <c r="P346" s="79"/>
      <c r="Q346" s="79"/>
      <c r="R346" s="79"/>
      <c r="S346" s="79"/>
    </row>
    <row r="347" ht="27.75" customHeight="1">
      <c r="A347" s="115"/>
      <c r="B347" s="113"/>
      <c r="C347" s="114"/>
      <c r="D347" s="114"/>
      <c r="E347" s="99" t="s">
        <v>148</v>
      </c>
      <c r="F347" s="100"/>
      <c r="G347" s="114"/>
      <c r="H347" s="332"/>
      <c r="I347" s="332"/>
      <c r="J347" s="332"/>
      <c r="K347" s="79"/>
      <c r="L347" s="79"/>
      <c r="M347" s="79"/>
      <c r="N347" s="79"/>
      <c r="O347" s="79"/>
      <c r="P347" s="79"/>
      <c r="Q347" s="79"/>
      <c r="R347" s="79"/>
      <c r="S347" s="79"/>
    </row>
    <row r="348" ht="27.75" customHeight="1">
      <c r="A348" s="118"/>
      <c r="B348" s="119"/>
      <c r="C348" s="119"/>
      <c r="D348" s="119"/>
      <c r="E348" s="119"/>
      <c r="F348" s="119"/>
      <c r="G348" s="119"/>
      <c r="H348" s="186"/>
      <c r="I348" s="186"/>
      <c r="J348" s="186"/>
      <c r="K348" s="79"/>
      <c r="L348" s="79"/>
      <c r="M348" s="79"/>
      <c r="N348" s="79"/>
      <c r="O348" s="79"/>
      <c r="P348" s="79"/>
      <c r="Q348" s="79"/>
      <c r="R348" s="79"/>
      <c r="S348" s="79"/>
    </row>
    <row r="349" ht="27.75" customHeight="1">
      <c r="A349" s="102" t="s">
        <v>4</v>
      </c>
      <c r="B349" s="102" t="s">
        <v>5</v>
      </c>
      <c r="C349" s="102" t="s">
        <v>126</v>
      </c>
      <c r="D349" s="102" t="s">
        <v>6</v>
      </c>
      <c r="E349" s="102" t="s">
        <v>7</v>
      </c>
      <c r="F349" s="102" t="s">
        <v>127</v>
      </c>
      <c r="G349" s="103" t="s">
        <v>128</v>
      </c>
      <c r="H349" s="329"/>
      <c r="I349" s="329"/>
      <c r="J349" s="329"/>
      <c r="K349" s="79"/>
      <c r="L349" s="79"/>
      <c r="M349" s="79"/>
      <c r="N349" s="79"/>
      <c r="O349" s="79"/>
      <c r="P349" s="79"/>
      <c r="Q349" s="79"/>
      <c r="R349" s="79"/>
      <c r="S349" s="79"/>
    </row>
    <row r="350" ht="27.75" customHeight="1">
      <c r="A350" s="104">
        <v>1.0</v>
      </c>
      <c r="B350" s="105">
        <v>46099.0</v>
      </c>
      <c r="C350" s="106" t="s">
        <v>299</v>
      </c>
      <c r="D350" s="107"/>
      <c r="E350" s="107"/>
      <c r="F350" s="108"/>
      <c r="G350" s="109"/>
      <c r="H350" s="330"/>
      <c r="I350" s="330"/>
      <c r="J350" s="330"/>
      <c r="K350" s="79"/>
      <c r="L350" s="79"/>
      <c r="M350" s="79"/>
      <c r="N350" s="79"/>
      <c r="O350" s="79"/>
      <c r="P350" s="79"/>
      <c r="Q350" s="79"/>
      <c r="R350" s="79"/>
      <c r="S350" s="79"/>
    </row>
    <row r="351" ht="27.75" customHeight="1">
      <c r="A351" s="104">
        <v>2.0</v>
      </c>
      <c r="B351" s="333" t="s">
        <v>1966</v>
      </c>
      <c r="C351" s="333" t="s">
        <v>1967</v>
      </c>
      <c r="D351" s="334">
        <v>10490.0</v>
      </c>
      <c r="E351" s="335" t="s">
        <v>1968</v>
      </c>
      <c r="F351" s="336">
        <v>120.0</v>
      </c>
      <c r="G351" s="335" t="s">
        <v>1969</v>
      </c>
      <c r="H351" s="337">
        <v>46099.0</v>
      </c>
      <c r="I351" s="338"/>
      <c r="J351" s="339"/>
      <c r="K351" s="79"/>
      <c r="L351" s="79"/>
      <c r="M351" s="79"/>
      <c r="N351" s="79"/>
      <c r="O351" s="79"/>
      <c r="P351" s="79"/>
      <c r="Q351" s="79"/>
      <c r="R351" s="79"/>
      <c r="S351" s="79"/>
    </row>
    <row r="352" ht="27.75" customHeight="1">
      <c r="A352" s="104">
        <v>3.0</v>
      </c>
      <c r="B352" s="333" t="s">
        <v>1970</v>
      </c>
      <c r="C352" s="333" t="s">
        <v>1971</v>
      </c>
      <c r="D352" s="334">
        <v>6830.0</v>
      </c>
      <c r="E352" s="335" t="s">
        <v>1968</v>
      </c>
      <c r="F352" s="336">
        <v>120.0</v>
      </c>
      <c r="G352" s="335" t="s">
        <v>1969</v>
      </c>
      <c r="H352" s="337">
        <v>46099.0</v>
      </c>
      <c r="I352" s="340"/>
      <c r="J352" s="339"/>
      <c r="K352" s="79"/>
      <c r="L352" s="79"/>
      <c r="M352" s="79"/>
      <c r="N352" s="79"/>
      <c r="O352" s="79"/>
      <c r="P352" s="79"/>
      <c r="Q352" s="79"/>
      <c r="R352" s="79"/>
      <c r="S352" s="79"/>
    </row>
    <row r="353" ht="27.75" customHeight="1">
      <c r="A353" s="104">
        <v>4.0</v>
      </c>
      <c r="B353" s="333" t="s">
        <v>1972</v>
      </c>
      <c r="C353" s="333" t="s">
        <v>1973</v>
      </c>
      <c r="D353" s="334">
        <v>2240.0</v>
      </c>
      <c r="E353" s="341" t="s">
        <v>1968</v>
      </c>
      <c r="F353" s="334">
        <v>120.0</v>
      </c>
      <c r="G353" s="341" t="s">
        <v>1969</v>
      </c>
      <c r="H353" s="342">
        <v>46099.0</v>
      </c>
      <c r="I353" s="339"/>
      <c r="J353" s="339"/>
      <c r="K353" s="79"/>
      <c r="L353" s="79"/>
      <c r="M353" s="79"/>
      <c r="N353" s="79"/>
      <c r="O353" s="79"/>
      <c r="P353" s="79"/>
      <c r="Q353" s="79"/>
      <c r="R353" s="79"/>
      <c r="S353" s="79"/>
    </row>
    <row r="354" ht="27.75" customHeight="1">
      <c r="A354" s="104">
        <v>5.0</v>
      </c>
      <c r="B354" s="343" t="s">
        <v>1974</v>
      </c>
      <c r="C354" s="110"/>
      <c r="D354" s="127">
        <v>35.0</v>
      </c>
      <c r="E354" s="107"/>
      <c r="F354" s="108">
        <v>35.0</v>
      </c>
      <c r="G354" s="109"/>
      <c r="H354" s="330"/>
      <c r="I354" s="330"/>
      <c r="J354" s="330"/>
      <c r="K354" s="79"/>
      <c r="L354" s="79"/>
      <c r="M354" s="79"/>
      <c r="N354" s="79"/>
      <c r="O354" s="79"/>
      <c r="P354" s="79"/>
      <c r="Q354" s="79"/>
      <c r="R354" s="79"/>
      <c r="S354" s="79"/>
    </row>
    <row r="355" ht="27.75" customHeight="1">
      <c r="A355" s="104">
        <v>6.0</v>
      </c>
      <c r="B355" s="343" t="s">
        <v>1975</v>
      </c>
      <c r="C355" s="110"/>
      <c r="D355" s="127">
        <v>30.0</v>
      </c>
      <c r="E355" s="107" t="s">
        <v>1976</v>
      </c>
      <c r="F355" s="108"/>
      <c r="G355" s="109"/>
      <c r="H355" s="330"/>
      <c r="I355" s="330"/>
      <c r="J355" s="330"/>
      <c r="K355" s="79"/>
      <c r="L355" s="79"/>
      <c r="M355" s="79"/>
      <c r="N355" s="79"/>
      <c r="O355" s="79"/>
      <c r="P355" s="79"/>
      <c r="Q355" s="79"/>
      <c r="R355" s="79"/>
      <c r="S355" s="79"/>
    </row>
    <row r="356" ht="27.75" customHeight="1">
      <c r="A356" s="104">
        <v>7.0</v>
      </c>
      <c r="B356" s="343" t="s">
        <v>394</v>
      </c>
      <c r="C356" s="110"/>
      <c r="D356" s="107"/>
      <c r="E356" s="107"/>
      <c r="F356" s="108"/>
      <c r="G356" s="109"/>
      <c r="H356" s="330"/>
      <c r="I356" s="330"/>
      <c r="J356" s="330"/>
      <c r="K356" s="79"/>
      <c r="L356" s="79"/>
      <c r="M356" s="79"/>
      <c r="N356" s="79"/>
      <c r="O356" s="79"/>
      <c r="P356" s="79"/>
      <c r="Q356" s="79"/>
      <c r="R356" s="79"/>
      <c r="S356" s="79"/>
    </row>
    <row r="357" ht="27.75" customHeight="1">
      <c r="A357" s="150">
        <v>8.0</v>
      </c>
      <c r="B357" s="343"/>
      <c r="C357" s="106"/>
      <c r="D357" s="107"/>
      <c r="E357" s="107"/>
      <c r="F357" s="108"/>
      <c r="G357" s="109"/>
      <c r="H357" s="330"/>
      <c r="I357" s="330"/>
      <c r="J357" s="330"/>
      <c r="K357" s="79"/>
      <c r="L357" s="79"/>
      <c r="M357" s="79"/>
      <c r="N357" s="79"/>
      <c r="O357" s="79"/>
      <c r="P357" s="79"/>
      <c r="Q357" s="79"/>
      <c r="R357" s="79"/>
      <c r="S357" s="79"/>
    </row>
    <row r="358" ht="27.75" customHeight="1">
      <c r="A358" s="104">
        <v>9.0</v>
      </c>
      <c r="B358" s="343" t="s">
        <v>1977</v>
      </c>
      <c r="C358" s="110"/>
      <c r="D358" s="107"/>
      <c r="E358" s="107"/>
      <c r="F358" s="111" t="s">
        <v>1978</v>
      </c>
      <c r="G358" s="109"/>
      <c r="H358" s="330"/>
      <c r="I358" s="330"/>
      <c r="J358" s="330"/>
      <c r="K358" s="79"/>
      <c r="L358" s="79"/>
      <c r="M358" s="79"/>
      <c r="N358" s="79"/>
      <c r="O358" s="79"/>
      <c r="P358" s="79"/>
      <c r="Q358" s="79"/>
      <c r="R358" s="79"/>
      <c r="S358" s="79"/>
    </row>
    <row r="359" ht="27.75" customHeight="1">
      <c r="A359" s="104">
        <v>10.0</v>
      </c>
      <c r="B359" s="120"/>
      <c r="C359" s="110"/>
      <c r="D359" s="107"/>
      <c r="E359" s="107"/>
      <c r="F359" s="108"/>
      <c r="G359" s="109"/>
      <c r="H359" s="330"/>
      <c r="I359" s="330"/>
      <c r="J359" s="330"/>
      <c r="K359" s="79"/>
      <c r="L359" s="79"/>
      <c r="M359" s="79"/>
      <c r="N359" s="79"/>
      <c r="O359" s="79"/>
      <c r="P359" s="79"/>
      <c r="Q359" s="79"/>
      <c r="R359" s="79"/>
      <c r="S359" s="79"/>
    </row>
    <row r="360" ht="27.75" customHeight="1">
      <c r="A360" s="104">
        <v>11.0</v>
      </c>
      <c r="B360" s="120"/>
      <c r="C360" s="110"/>
      <c r="D360" s="107"/>
      <c r="E360" s="107"/>
      <c r="F360" s="108"/>
      <c r="G360" s="109"/>
      <c r="H360" s="330"/>
      <c r="I360" s="330"/>
      <c r="J360" s="330"/>
      <c r="K360" s="79"/>
      <c r="L360" s="79"/>
      <c r="M360" s="79"/>
      <c r="N360" s="79"/>
      <c r="O360" s="79"/>
      <c r="P360" s="79"/>
      <c r="Q360" s="79"/>
      <c r="R360" s="79"/>
      <c r="S360" s="79"/>
    </row>
    <row r="361" ht="27.75" customHeight="1">
      <c r="A361" s="104">
        <v>12.0</v>
      </c>
      <c r="B361" s="120"/>
      <c r="C361" s="110"/>
      <c r="D361" s="107"/>
      <c r="E361" s="107"/>
      <c r="F361" s="109"/>
      <c r="G361" s="111"/>
      <c r="H361" s="331"/>
      <c r="I361" s="331"/>
      <c r="J361" s="331"/>
      <c r="K361" s="79"/>
      <c r="L361" s="79"/>
      <c r="M361" s="79"/>
      <c r="N361" s="79"/>
      <c r="O361" s="79"/>
      <c r="P361" s="79"/>
      <c r="Q361" s="79"/>
      <c r="R361" s="79"/>
      <c r="S361" s="79"/>
    </row>
    <row r="362" ht="27.75" customHeight="1">
      <c r="A362" s="104">
        <v>13.0</v>
      </c>
      <c r="B362" s="120"/>
      <c r="C362" s="110"/>
      <c r="D362" s="107"/>
      <c r="E362" s="107"/>
      <c r="F362" s="121"/>
      <c r="G362" s="109"/>
      <c r="H362" s="330"/>
      <c r="I362" s="330"/>
      <c r="J362" s="330"/>
      <c r="K362" s="79"/>
      <c r="L362" s="79"/>
      <c r="M362" s="79"/>
      <c r="N362" s="79"/>
      <c r="O362" s="79"/>
      <c r="P362" s="79"/>
      <c r="Q362" s="79"/>
      <c r="R362" s="79"/>
      <c r="S362" s="79"/>
    </row>
    <row r="363" ht="27.75" customHeight="1">
      <c r="A363" s="104">
        <v>14.0</v>
      </c>
      <c r="B363" s="120"/>
      <c r="C363" s="110"/>
      <c r="D363" s="107"/>
      <c r="E363" s="107"/>
      <c r="F363" s="108"/>
      <c r="G363" s="109"/>
      <c r="H363" s="330"/>
      <c r="I363" s="330"/>
      <c r="J363" s="330"/>
      <c r="K363" s="79"/>
      <c r="L363" s="79"/>
      <c r="M363" s="79"/>
      <c r="N363" s="79"/>
      <c r="O363" s="79"/>
      <c r="P363" s="79"/>
      <c r="Q363" s="79"/>
      <c r="R363" s="79"/>
      <c r="S363" s="79"/>
    </row>
    <row r="364" ht="27.75" customHeight="1">
      <c r="A364" s="122">
        <v>15.0</v>
      </c>
      <c r="B364" s="123"/>
      <c r="C364" s="124"/>
      <c r="D364" s="107"/>
      <c r="E364" s="125"/>
      <c r="F364" s="109"/>
      <c r="G364" s="109"/>
      <c r="H364" s="330"/>
      <c r="I364" s="330"/>
      <c r="J364" s="330"/>
      <c r="K364" s="79"/>
      <c r="L364" s="79"/>
      <c r="M364" s="79"/>
      <c r="N364" s="79"/>
      <c r="O364" s="79"/>
      <c r="P364" s="79"/>
      <c r="Q364" s="79"/>
      <c r="R364" s="79"/>
      <c r="S364" s="79"/>
    </row>
    <row r="365" ht="27.75" customHeight="1">
      <c r="A365" s="112"/>
      <c r="B365" s="113"/>
      <c r="C365" s="114"/>
      <c r="D365" s="114"/>
      <c r="E365" s="99" t="s">
        <v>144</v>
      </c>
      <c r="F365" s="100">
        <v>1000.0</v>
      </c>
      <c r="G365" s="114"/>
      <c r="H365" s="332"/>
      <c r="I365" s="332"/>
      <c r="J365" s="332"/>
      <c r="K365" s="79"/>
      <c r="L365" s="79"/>
      <c r="M365" s="79"/>
      <c r="N365" s="79"/>
      <c r="O365" s="79"/>
      <c r="P365" s="79"/>
      <c r="Q365" s="79"/>
      <c r="R365" s="79"/>
      <c r="S365" s="79"/>
    </row>
    <row r="366" ht="27.75" customHeight="1">
      <c r="A366" s="115"/>
      <c r="B366" s="113"/>
      <c r="C366" s="114"/>
      <c r="D366" s="114"/>
      <c r="E366" s="99" t="s">
        <v>145</v>
      </c>
      <c r="F366" s="100">
        <v>65.0</v>
      </c>
      <c r="G366" s="114"/>
      <c r="H366" s="332"/>
      <c r="I366" s="332"/>
      <c r="J366" s="332"/>
      <c r="K366" s="79"/>
      <c r="L366" s="79"/>
      <c r="M366" s="79"/>
      <c r="N366" s="79"/>
      <c r="O366" s="79"/>
      <c r="P366" s="79"/>
      <c r="Q366" s="79"/>
      <c r="R366" s="79"/>
      <c r="S366" s="79"/>
    </row>
    <row r="367" ht="27.75" customHeight="1">
      <c r="A367" s="115"/>
      <c r="B367" s="113"/>
      <c r="C367" s="114"/>
      <c r="D367" s="114"/>
      <c r="E367" s="99" t="s">
        <v>146</v>
      </c>
      <c r="F367" s="100">
        <v>455.0</v>
      </c>
      <c r="G367" s="114"/>
      <c r="H367" s="332"/>
      <c r="I367" s="332"/>
      <c r="J367" s="332"/>
      <c r="K367" s="79"/>
      <c r="L367" s="79"/>
      <c r="M367" s="79"/>
      <c r="N367" s="79"/>
      <c r="O367" s="79"/>
      <c r="P367" s="79"/>
      <c r="Q367" s="79"/>
      <c r="R367" s="79"/>
      <c r="S367" s="79"/>
    </row>
    <row r="368" ht="27.75" customHeight="1">
      <c r="A368" s="115"/>
      <c r="B368" s="113"/>
      <c r="C368" s="114"/>
      <c r="D368" s="114"/>
      <c r="E368" s="99" t="s">
        <v>147</v>
      </c>
      <c r="F368" s="100">
        <v>340.0</v>
      </c>
      <c r="G368" s="114"/>
      <c r="H368" s="332"/>
      <c r="I368" s="332"/>
      <c r="J368" s="332"/>
      <c r="K368" s="79"/>
      <c r="L368" s="79"/>
      <c r="M368" s="79"/>
      <c r="N368" s="79"/>
      <c r="O368" s="79"/>
      <c r="P368" s="79"/>
      <c r="Q368" s="79"/>
      <c r="R368" s="79"/>
      <c r="S368" s="79"/>
    </row>
    <row r="369" ht="27.75" customHeight="1">
      <c r="A369" s="115"/>
      <c r="B369" s="113"/>
      <c r="C369" s="114"/>
      <c r="D369" s="114"/>
      <c r="E369" s="99" t="s">
        <v>148</v>
      </c>
      <c r="F369" s="126" t="s">
        <v>1979</v>
      </c>
      <c r="G369" s="114"/>
      <c r="H369" s="332"/>
      <c r="I369" s="332"/>
      <c r="J369" s="332"/>
      <c r="K369" s="79"/>
      <c r="L369" s="79"/>
      <c r="M369" s="79"/>
      <c r="N369" s="79"/>
      <c r="O369" s="79"/>
      <c r="P369" s="79"/>
      <c r="Q369" s="79"/>
      <c r="R369" s="79"/>
      <c r="S369" s="79"/>
    </row>
    <row r="370" ht="27.75" customHeight="1">
      <c r="A370" s="118"/>
      <c r="B370" s="119"/>
      <c r="C370" s="119"/>
      <c r="D370" s="119"/>
      <c r="E370" s="119"/>
      <c r="F370" s="119"/>
      <c r="G370" s="119"/>
      <c r="H370" s="186"/>
      <c r="I370" s="186"/>
      <c r="J370" s="186"/>
      <c r="K370" s="79"/>
      <c r="L370" s="79"/>
      <c r="M370" s="79"/>
      <c r="N370" s="79"/>
      <c r="O370" s="79"/>
      <c r="P370" s="79"/>
      <c r="Q370" s="79"/>
      <c r="R370" s="79"/>
      <c r="S370" s="79"/>
    </row>
    <row r="371" ht="27.75" customHeight="1">
      <c r="A371" s="102" t="s">
        <v>4</v>
      </c>
      <c r="B371" s="102" t="s">
        <v>5</v>
      </c>
      <c r="C371" s="102" t="s">
        <v>126</v>
      </c>
      <c r="D371" s="102" t="s">
        <v>6</v>
      </c>
      <c r="E371" s="102" t="s">
        <v>7</v>
      </c>
      <c r="F371" s="102" t="s">
        <v>127</v>
      </c>
      <c r="G371" s="103" t="s">
        <v>128</v>
      </c>
      <c r="H371" s="329"/>
      <c r="I371" s="329"/>
      <c r="J371" s="329"/>
      <c r="K371" s="79"/>
      <c r="L371" s="79"/>
      <c r="M371" s="79"/>
      <c r="N371" s="79"/>
      <c r="O371" s="79"/>
      <c r="P371" s="79"/>
      <c r="Q371" s="79"/>
      <c r="R371" s="79"/>
      <c r="S371" s="79"/>
    </row>
    <row r="372" ht="27.75" customHeight="1">
      <c r="A372" s="104">
        <v>1.0</v>
      </c>
      <c r="B372" s="105">
        <v>46100.0</v>
      </c>
      <c r="C372" s="106" t="s">
        <v>211</v>
      </c>
      <c r="D372" s="127" t="s">
        <v>132</v>
      </c>
      <c r="E372" s="107" t="s">
        <v>1980</v>
      </c>
      <c r="F372" s="108"/>
      <c r="G372" s="111" t="s">
        <v>1979</v>
      </c>
      <c r="H372" s="330"/>
      <c r="I372" s="330"/>
      <c r="J372" s="330"/>
      <c r="K372" s="79"/>
      <c r="L372" s="79"/>
      <c r="M372" s="79"/>
      <c r="N372" s="79"/>
      <c r="O372" s="79"/>
      <c r="P372" s="79"/>
      <c r="Q372" s="79"/>
      <c r="R372" s="79"/>
      <c r="S372" s="79"/>
    </row>
    <row r="373" ht="27.75" customHeight="1">
      <c r="A373" s="104">
        <v>2.0</v>
      </c>
      <c r="B373" s="120"/>
      <c r="C373" s="110"/>
      <c r="D373" s="127">
        <v>35.0</v>
      </c>
      <c r="E373" s="107" t="s">
        <v>1981</v>
      </c>
      <c r="F373" s="108"/>
      <c r="G373" s="109"/>
      <c r="H373" s="330"/>
      <c r="I373" s="330"/>
      <c r="J373" s="330"/>
      <c r="K373" s="79"/>
      <c r="L373" s="79"/>
      <c r="M373" s="79"/>
      <c r="N373" s="79"/>
      <c r="O373" s="79"/>
      <c r="P373" s="79"/>
      <c r="Q373" s="79"/>
      <c r="R373" s="79"/>
      <c r="S373" s="79"/>
    </row>
    <row r="374" ht="27.75" customHeight="1">
      <c r="A374" s="104">
        <v>3.0</v>
      </c>
      <c r="B374" s="120"/>
      <c r="C374" s="120"/>
      <c r="D374" s="127" t="s">
        <v>132</v>
      </c>
      <c r="E374" s="107" t="s">
        <v>1982</v>
      </c>
      <c r="F374" s="108"/>
      <c r="G374" s="109"/>
      <c r="H374" s="330"/>
      <c r="I374" s="330"/>
      <c r="J374" s="330"/>
      <c r="K374" s="79"/>
      <c r="L374" s="79"/>
      <c r="M374" s="79"/>
      <c r="N374" s="79"/>
      <c r="O374" s="79"/>
      <c r="P374" s="79"/>
      <c r="Q374" s="79"/>
      <c r="R374" s="79"/>
      <c r="S374" s="79"/>
    </row>
    <row r="375" ht="27.75" customHeight="1">
      <c r="A375" s="104">
        <v>4.0</v>
      </c>
      <c r="B375" s="120"/>
      <c r="C375" s="120"/>
      <c r="D375" s="127" t="s">
        <v>132</v>
      </c>
      <c r="E375" s="107" t="s">
        <v>1983</v>
      </c>
      <c r="F375" s="108"/>
      <c r="G375" s="111"/>
      <c r="H375" s="331"/>
      <c r="I375" s="331"/>
      <c r="J375" s="331"/>
      <c r="K375" s="79"/>
      <c r="L375" s="79"/>
      <c r="M375" s="79"/>
      <c r="N375" s="79"/>
      <c r="O375" s="79"/>
      <c r="P375" s="79"/>
      <c r="Q375" s="79"/>
      <c r="R375" s="79"/>
      <c r="S375" s="79"/>
    </row>
    <row r="376" ht="27.75" customHeight="1">
      <c r="A376" s="104">
        <v>5.0</v>
      </c>
      <c r="B376" s="120"/>
      <c r="C376" s="120"/>
      <c r="D376" s="127" t="s">
        <v>132</v>
      </c>
      <c r="E376" s="107" t="s">
        <v>1984</v>
      </c>
      <c r="F376" s="108"/>
      <c r="G376" s="109"/>
      <c r="H376" s="330"/>
      <c r="I376" s="330"/>
      <c r="J376" s="330"/>
      <c r="K376" s="79"/>
      <c r="L376" s="79"/>
      <c r="M376" s="79"/>
      <c r="N376" s="79"/>
      <c r="O376" s="79"/>
      <c r="P376" s="79"/>
      <c r="Q376" s="79"/>
      <c r="R376" s="79"/>
      <c r="S376" s="79"/>
    </row>
    <row r="377" ht="27.75" customHeight="1">
      <c r="A377" s="104">
        <v>6.0</v>
      </c>
      <c r="B377" s="120"/>
      <c r="C377" s="120"/>
      <c r="D377" s="107"/>
      <c r="E377" s="107"/>
      <c r="F377" s="108"/>
      <c r="G377" s="109"/>
      <c r="H377" s="330"/>
      <c r="I377" s="330"/>
      <c r="J377" s="330"/>
      <c r="K377" s="79"/>
      <c r="L377" s="79"/>
      <c r="M377" s="79"/>
      <c r="N377" s="79"/>
      <c r="O377" s="79"/>
      <c r="P377" s="79"/>
      <c r="Q377" s="79"/>
      <c r="R377" s="79"/>
      <c r="S377" s="79"/>
    </row>
    <row r="378" ht="27.75" customHeight="1">
      <c r="A378" s="104">
        <v>7.0</v>
      </c>
      <c r="B378" s="120"/>
      <c r="C378" s="120"/>
      <c r="D378" s="107"/>
      <c r="E378" s="107"/>
      <c r="F378" s="111" t="s">
        <v>1985</v>
      </c>
      <c r="G378" s="109"/>
      <c r="H378" s="330"/>
      <c r="I378" s="330"/>
      <c r="J378" s="330"/>
      <c r="K378" s="79"/>
      <c r="L378" s="79"/>
      <c r="M378" s="79"/>
      <c r="N378" s="79"/>
      <c r="O378" s="79"/>
      <c r="P378" s="79"/>
      <c r="Q378" s="79"/>
      <c r="R378" s="79"/>
      <c r="S378" s="79"/>
    </row>
    <row r="379" ht="27.75" customHeight="1">
      <c r="A379" s="104">
        <v>8.0</v>
      </c>
      <c r="B379" s="120"/>
      <c r="C379" s="106"/>
      <c r="D379" s="107"/>
      <c r="E379" s="107"/>
      <c r="F379" s="109"/>
      <c r="G379" s="109"/>
      <c r="H379" s="330"/>
      <c r="I379" s="330"/>
      <c r="J379" s="330"/>
      <c r="K379" s="79"/>
      <c r="L379" s="79"/>
      <c r="M379" s="79"/>
      <c r="N379" s="79"/>
      <c r="O379" s="79"/>
      <c r="P379" s="79"/>
      <c r="Q379" s="79"/>
      <c r="R379" s="79"/>
      <c r="S379" s="79"/>
    </row>
    <row r="380" ht="27.75" customHeight="1">
      <c r="A380" s="104">
        <v>9.0</v>
      </c>
      <c r="B380" s="120"/>
      <c r="C380" s="110"/>
      <c r="D380" s="107"/>
      <c r="E380" s="107"/>
      <c r="F380" s="109"/>
      <c r="G380" s="109"/>
      <c r="H380" s="330"/>
      <c r="I380" s="330"/>
      <c r="J380" s="330"/>
      <c r="K380" s="79"/>
      <c r="L380" s="79"/>
      <c r="M380" s="79"/>
      <c r="N380" s="79"/>
      <c r="O380" s="79"/>
      <c r="P380" s="79"/>
      <c r="Q380" s="79"/>
      <c r="R380" s="79"/>
      <c r="S380" s="79"/>
    </row>
    <row r="381" ht="27.75" customHeight="1">
      <c r="A381" s="104">
        <v>10.0</v>
      </c>
      <c r="B381" s="120"/>
      <c r="C381" s="110"/>
      <c r="D381" s="107"/>
      <c r="E381" s="107"/>
      <c r="F381" s="109"/>
      <c r="G381" s="109"/>
      <c r="H381" s="330"/>
      <c r="I381" s="330"/>
      <c r="J381" s="330"/>
      <c r="K381" s="79"/>
      <c r="L381" s="79"/>
      <c r="M381" s="79"/>
      <c r="N381" s="79"/>
      <c r="O381" s="79"/>
      <c r="P381" s="79"/>
      <c r="Q381" s="79"/>
      <c r="R381" s="79"/>
      <c r="S381" s="79"/>
    </row>
    <row r="382" ht="27.75" customHeight="1">
      <c r="A382" s="104">
        <v>11.0</v>
      </c>
      <c r="B382" s="120"/>
      <c r="C382" s="110"/>
      <c r="D382" s="107"/>
      <c r="E382" s="107"/>
      <c r="F382" s="109"/>
      <c r="G382" s="109"/>
      <c r="H382" s="330"/>
      <c r="I382" s="330"/>
      <c r="J382" s="330"/>
      <c r="K382" s="79"/>
      <c r="L382" s="79"/>
      <c r="M382" s="79"/>
      <c r="N382" s="79"/>
      <c r="O382" s="79"/>
      <c r="P382" s="79"/>
      <c r="Q382" s="79"/>
      <c r="R382" s="79"/>
      <c r="S382" s="79"/>
    </row>
    <row r="383" ht="27.75" customHeight="1">
      <c r="A383" s="104">
        <v>12.0</v>
      </c>
      <c r="B383" s="120"/>
      <c r="C383" s="110"/>
      <c r="D383" s="107"/>
      <c r="E383" s="107"/>
      <c r="F383" s="109"/>
      <c r="G383" s="111"/>
      <c r="H383" s="331"/>
      <c r="I383" s="331"/>
      <c r="J383" s="331"/>
      <c r="K383" s="79"/>
      <c r="L383" s="79"/>
      <c r="M383" s="79"/>
      <c r="N383" s="79"/>
      <c r="O383" s="79"/>
      <c r="P383" s="79"/>
      <c r="Q383" s="79"/>
      <c r="R383" s="79"/>
      <c r="S383" s="79"/>
    </row>
    <row r="384" ht="27.75" customHeight="1">
      <c r="A384" s="104">
        <v>13.0</v>
      </c>
      <c r="B384" s="120"/>
      <c r="C384" s="110"/>
      <c r="D384" s="107"/>
      <c r="E384" s="107"/>
      <c r="F384" s="109"/>
      <c r="G384" s="109"/>
      <c r="H384" s="330"/>
      <c r="I384" s="330"/>
      <c r="J384" s="330"/>
      <c r="K384" s="79"/>
      <c r="L384" s="79"/>
      <c r="M384" s="79"/>
      <c r="N384" s="79"/>
      <c r="O384" s="79"/>
      <c r="P384" s="79"/>
      <c r="Q384" s="79"/>
      <c r="R384" s="79"/>
      <c r="S384" s="79"/>
    </row>
    <row r="385" ht="27.75" customHeight="1">
      <c r="A385" s="104">
        <v>14.0</v>
      </c>
      <c r="B385" s="120"/>
      <c r="C385" s="110"/>
      <c r="D385" s="107"/>
      <c r="E385" s="107"/>
      <c r="F385" s="108"/>
      <c r="G385" s="109"/>
      <c r="H385" s="330"/>
      <c r="I385" s="330"/>
      <c r="J385" s="330"/>
      <c r="K385" s="79"/>
      <c r="L385" s="79"/>
      <c r="M385" s="79"/>
      <c r="N385" s="79"/>
      <c r="O385" s="79"/>
      <c r="P385" s="79"/>
      <c r="Q385" s="79"/>
      <c r="R385" s="79"/>
      <c r="S385" s="79"/>
    </row>
    <row r="386" ht="27.75" customHeight="1">
      <c r="A386" s="122">
        <v>15.0</v>
      </c>
      <c r="B386" s="123"/>
      <c r="C386" s="124"/>
      <c r="D386" s="107"/>
      <c r="E386" s="125"/>
      <c r="F386" s="109"/>
      <c r="G386" s="109"/>
      <c r="H386" s="330"/>
      <c r="I386" s="330"/>
      <c r="J386" s="330"/>
      <c r="K386" s="79"/>
      <c r="L386" s="79"/>
      <c r="M386" s="79"/>
      <c r="N386" s="79"/>
      <c r="O386" s="79"/>
      <c r="P386" s="79"/>
      <c r="Q386" s="79"/>
      <c r="R386" s="79"/>
      <c r="S386" s="79"/>
    </row>
    <row r="387" ht="27.75" customHeight="1">
      <c r="A387" s="112"/>
      <c r="B387" s="113"/>
      <c r="C387" s="114"/>
      <c r="D387" s="114"/>
      <c r="E387" s="99" t="s">
        <v>144</v>
      </c>
      <c r="F387" s="131"/>
      <c r="G387" s="114"/>
      <c r="H387" s="332"/>
      <c r="I387" s="332"/>
      <c r="J387" s="332"/>
      <c r="K387" s="79"/>
      <c r="L387" s="79"/>
      <c r="M387" s="79"/>
      <c r="N387" s="79"/>
      <c r="O387" s="79"/>
      <c r="P387" s="79"/>
      <c r="Q387" s="79"/>
      <c r="R387" s="79"/>
      <c r="S387" s="79"/>
    </row>
    <row r="388" ht="27.75" customHeight="1">
      <c r="A388" s="115"/>
      <c r="B388" s="113"/>
      <c r="C388" s="114"/>
      <c r="D388" s="114"/>
      <c r="E388" s="99" t="s">
        <v>145</v>
      </c>
      <c r="F388" s="100">
        <v>785.0</v>
      </c>
      <c r="G388" s="114"/>
      <c r="H388" s="332"/>
      <c r="I388" s="332"/>
      <c r="J388" s="332"/>
      <c r="K388" s="79"/>
      <c r="L388" s="79"/>
      <c r="M388" s="79"/>
      <c r="N388" s="79"/>
      <c r="O388" s="79"/>
      <c r="P388" s="79"/>
      <c r="Q388" s="79"/>
      <c r="R388" s="79"/>
      <c r="S388" s="79"/>
    </row>
    <row r="389" ht="27.75" customHeight="1">
      <c r="A389" s="115"/>
      <c r="B389" s="113"/>
      <c r="C389" s="114"/>
      <c r="D389" s="114"/>
      <c r="E389" s="99" t="s">
        <v>146</v>
      </c>
      <c r="F389" s="100">
        <v>785.0</v>
      </c>
      <c r="G389" s="114"/>
      <c r="H389" s="332"/>
      <c r="I389" s="332"/>
      <c r="J389" s="332"/>
      <c r="K389" s="79"/>
      <c r="L389" s="79"/>
      <c r="M389" s="79"/>
      <c r="N389" s="79"/>
      <c r="O389" s="79"/>
      <c r="P389" s="79"/>
      <c r="Q389" s="79"/>
      <c r="R389" s="79"/>
      <c r="S389" s="79"/>
    </row>
    <row r="390" ht="27.75" customHeight="1">
      <c r="A390" s="115"/>
      <c r="B390" s="113"/>
      <c r="C390" s="114"/>
      <c r="D390" s="114"/>
      <c r="E390" s="99" t="s">
        <v>147</v>
      </c>
      <c r="F390" s="100">
        <v>560.0</v>
      </c>
      <c r="G390" s="114"/>
      <c r="H390" s="332"/>
      <c r="I390" s="332"/>
      <c r="J390" s="332"/>
      <c r="K390" s="79"/>
      <c r="L390" s="79"/>
      <c r="M390" s="79"/>
      <c r="N390" s="79"/>
      <c r="O390" s="79"/>
      <c r="P390" s="79"/>
      <c r="Q390" s="79"/>
      <c r="R390" s="79"/>
      <c r="S390" s="79"/>
    </row>
    <row r="391" ht="27.75" customHeight="1">
      <c r="A391" s="115"/>
      <c r="B391" s="113"/>
      <c r="C391" s="114"/>
      <c r="D391" s="114"/>
      <c r="E391" s="99" t="s">
        <v>148</v>
      </c>
      <c r="F391" s="126" t="s">
        <v>1986</v>
      </c>
      <c r="G391" s="114"/>
      <c r="H391" s="332"/>
      <c r="I391" s="332"/>
      <c r="J391" s="332"/>
      <c r="K391" s="79"/>
      <c r="L391" s="79"/>
      <c r="M391" s="79"/>
      <c r="N391" s="79"/>
      <c r="O391" s="79"/>
      <c r="P391" s="79"/>
      <c r="Q391" s="79"/>
      <c r="R391" s="79"/>
      <c r="S391" s="79"/>
    </row>
    <row r="392" ht="27.75" customHeight="1">
      <c r="A392" s="118"/>
      <c r="B392" s="119"/>
      <c r="C392" s="119"/>
      <c r="D392" s="119"/>
      <c r="E392" s="119"/>
      <c r="F392" s="119"/>
      <c r="G392" s="119"/>
      <c r="H392" s="186"/>
      <c r="I392" s="186"/>
      <c r="J392" s="186"/>
      <c r="K392" s="79"/>
      <c r="L392" s="79"/>
      <c r="M392" s="79"/>
      <c r="N392" s="79"/>
      <c r="O392" s="79"/>
      <c r="P392" s="79"/>
      <c r="Q392" s="79"/>
      <c r="R392" s="79"/>
      <c r="S392" s="79"/>
    </row>
    <row r="393" ht="27.75" customHeight="1">
      <c r="A393" s="102" t="s">
        <v>4</v>
      </c>
      <c r="B393" s="102" t="s">
        <v>5</v>
      </c>
      <c r="C393" s="102" t="s">
        <v>126</v>
      </c>
      <c r="D393" s="102" t="s">
        <v>6</v>
      </c>
      <c r="E393" s="102" t="s">
        <v>7</v>
      </c>
      <c r="F393" s="102" t="s">
        <v>127</v>
      </c>
      <c r="G393" s="103" t="s">
        <v>128</v>
      </c>
      <c r="H393" s="329"/>
      <c r="I393" s="329"/>
      <c r="J393" s="329"/>
      <c r="K393" s="79"/>
      <c r="L393" s="79"/>
      <c r="M393" s="79"/>
      <c r="N393" s="79"/>
      <c r="O393" s="79"/>
      <c r="P393" s="79"/>
      <c r="Q393" s="79"/>
      <c r="R393" s="79"/>
      <c r="S393" s="79"/>
    </row>
    <row r="394" ht="27.75" customHeight="1">
      <c r="A394" s="104">
        <v>1.0</v>
      </c>
      <c r="B394" s="105">
        <v>46101.0</v>
      </c>
      <c r="C394" s="106" t="s">
        <v>239</v>
      </c>
      <c r="D394" s="107"/>
      <c r="E394" s="107"/>
      <c r="F394" s="108"/>
      <c r="G394" s="109"/>
      <c r="H394" s="330"/>
      <c r="I394" s="330"/>
      <c r="J394" s="330"/>
      <c r="K394" s="79"/>
      <c r="L394" s="79"/>
      <c r="M394" s="79"/>
      <c r="N394" s="79"/>
      <c r="O394" s="79"/>
      <c r="P394" s="79"/>
      <c r="Q394" s="79"/>
      <c r="R394" s="79"/>
      <c r="S394" s="79"/>
    </row>
    <row r="395" ht="27.75" customHeight="1">
      <c r="A395" s="104">
        <v>2.0</v>
      </c>
      <c r="B395" s="120"/>
      <c r="C395" s="110"/>
      <c r="D395" s="107"/>
      <c r="E395" s="107"/>
      <c r="F395" s="108"/>
      <c r="G395" s="109"/>
      <c r="H395" s="330"/>
      <c r="I395" s="330"/>
      <c r="J395" s="330"/>
      <c r="K395" s="79"/>
      <c r="L395" s="79"/>
      <c r="M395" s="79"/>
      <c r="N395" s="79"/>
      <c r="O395" s="79"/>
      <c r="P395" s="79"/>
      <c r="Q395" s="79"/>
      <c r="R395" s="79"/>
      <c r="S395" s="79"/>
    </row>
    <row r="396" ht="27.75" customHeight="1">
      <c r="A396" s="104">
        <v>3.0</v>
      </c>
      <c r="B396" s="120"/>
      <c r="C396" s="110"/>
      <c r="D396" s="107"/>
      <c r="E396" s="107"/>
      <c r="F396" s="111"/>
      <c r="G396" s="109"/>
      <c r="H396" s="330"/>
      <c r="I396" s="330"/>
      <c r="J396" s="330"/>
      <c r="K396" s="79"/>
      <c r="L396" s="79"/>
      <c r="M396" s="79"/>
      <c r="N396" s="79"/>
      <c r="O396" s="79"/>
      <c r="P396" s="79"/>
      <c r="Q396" s="79"/>
      <c r="R396" s="79"/>
      <c r="S396" s="79"/>
    </row>
    <row r="397" ht="27.75" customHeight="1">
      <c r="A397" s="104">
        <v>4.0</v>
      </c>
      <c r="B397" s="120"/>
      <c r="C397" s="110"/>
      <c r="D397" s="107"/>
      <c r="E397" s="107"/>
      <c r="F397" s="108"/>
      <c r="G397" s="111"/>
      <c r="H397" s="331"/>
      <c r="I397" s="331"/>
      <c r="J397" s="331"/>
      <c r="K397" s="79"/>
      <c r="L397" s="79"/>
      <c r="M397" s="79"/>
      <c r="N397" s="79"/>
      <c r="O397" s="79"/>
      <c r="P397" s="79"/>
      <c r="Q397" s="79"/>
      <c r="R397" s="79"/>
      <c r="S397" s="79"/>
    </row>
    <row r="398" ht="27.75" customHeight="1">
      <c r="A398" s="104">
        <v>5.0</v>
      </c>
      <c r="B398" s="120"/>
      <c r="C398" s="110"/>
      <c r="D398" s="107"/>
      <c r="E398" s="107"/>
      <c r="F398" s="108"/>
      <c r="G398" s="109"/>
      <c r="H398" s="330"/>
      <c r="I398" s="330"/>
      <c r="J398" s="330"/>
      <c r="K398" s="79"/>
      <c r="L398" s="79"/>
      <c r="M398" s="79"/>
      <c r="N398" s="79"/>
      <c r="O398" s="79"/>
      <c r="P398" s="79"/>
      <c r="Q398" s="79"/>
      <c r="R398" s="79"/>
      <c r="S398" s="79"/>
    </row>
    <row r="399" ht="27.75" customHeight="1">
      <c r="A399" s="104">
        <v>6.0</v>
      </c>
      <c r="B399" s="120"/>
      <c r="C399" s="110"/>
      <c r="D399" s="107"/>
      <c r="E399" s="107"/>
      <c r="F399" s="108"/>
      <c r="G399" s="109"/>
      <c r="H399" s="330"/>
      <c r="I399" s="330"/>
      <c r="J399" s="330"/>
      <c r="K399" s="79"/>
      <c r="L399" s="79"/>
      <c r="M399" s="79"/>
      <c r="N399" s="79"/>
      <c r="O399" s="79"/>
      <c r="P399" s="79"/>
      <c r="Q399" s="79"/>
      <c r="R399" s="79"/>
      <c r="S399" s="79"/>
    </row>
    <row r="400" ht="27.75" customHeight="1">
      <c r="A400" s="104">
        <v>7.0</v>
      </c>
      <c r="B400" s="120"/>
      <c r="C400" s="110"/>
      <c r="D400" s="107"/>
      <c r="E400" s="107"/>
      <c r="F400" s="108"/>
      <c r="G400" s="109"/>
      <c r="H400" s="330"/>
      <c r="I400" s="330"/>
      <c r="J400" s="330"/>
      <c r="K400" s="79"/>
      <c r="L400" s="79"/>
      <c r="M400" s="79"/>
      <c r="N400" s="79"/>
      <c r="O400" s="79"/>
      <c r="P400" s="79"/>
      <c r="Q400" s="79"/>
      <c r="R400" s="79"/>
      <c r="S400" s="79"/>
    </row>
    <row r="401" ht="27.75" customHeight="1">
      <c r="A401" s="104">
        <v>8.0</v>
      </c>
      <c r="B401" s="120"/>
      <c r="C401" s="106"/>
      <c r="D401" s="107"/>
      <c r="E401" s="107"/>
      <c r="F401" s="108"/>
      <c r="G401" s="109"/>
      <c r="H401" s="330"/>
      <c r="I401" s="330"/>
      <c r="J401" s="330"/>
      <c r="K401" s="79"/>
      <c r="L401" s="79"/>
      <c r="M401" s="79"/>
      <c r="N401" s="79"/>
      <c r="O401" s="79"/>
      <c r="P401" s="79"/>
      <c r="Q401" s="79"/>
      <c r="R401" s="79"/>
      <c r="S401" s="79"/>
    </row>
    <row r="402" ht="27.75" customHeight="1">
      <c r="A402" s="104">
        <v>9.0</v>
      </c>
      <c r="B402" s="120"/>
      <c r="C402" s="110"/>
      <c r="D402" s="107"/>
      <c r="E402" s="107"/>
      <c r="F402" s="108"/>
      <c r="G402" s="109"/>
      <c r="H402" s="330"/>
      <c r="I402" s="330"/>
      <c r="J402" s="330"/>
      <c r="K402" s="79"/>
      <c r="L402" s="79"/>
      <c r="M402" s="79"/>
      <c r="N402" s="79"/>
      <c r="O402" s="79"/>
      <c r="P402" s="79"/>
      <c r="Q402" s="79"/>
      <c r="R402" s="79"/>
      <c r="S402" s="79"/>
    </row>
    <row r="403" ht="27.75" customHeight="1">
      <c r="A403" s="104">
        <v>10.0</v>
      </c>
      <c r="B403" s="120"/>
      <c r="C403" s="110"/>
      <c r="D403" s="107"/>
      <c r="E403" s="107"/>
      <c r="F403" s="108"/>
      <c r="G403" s="109"/>
      <c r="H403" s="330"/>
      <c r="I403" s="330"/>
      <c r="J403" s="330"/>
      <c r="K403" s="79"/>
      <c r="L403" s="79"/>
      <c r="M403" s="79"/>
      <c r="N403" s="79"/>
      <c r="O403" s="79"/>
      <c r="P403" s="79"/>
      <c r="Q403" s="79"/>
      <c r="R403" s="79"/>
      <c r="S403" s="79"/>
    </row>
    <row r="404" ht="27.75" customHeight="1">
      <c r="A404" s="104">
        <v>11.0</v>
      </c>
      <c r="B404" s="120"/>
      <c r="C404" s="110"/>
      <c r="D404" s="107"/>
      <c r="E404" s="107"/>
      <c r="F404" s="108"/>
      <c r="G404" s="109"/>
      <c r="H404" s="330"/>
      <c r="I404" s="330"/>
      <c r="J404" s="330"/>
      <c r="K404" s="79"/>
      <c r="L404" s="79"/>
      <c r="M404" s="79"/>
      <c r="N404" s="79"/>
      <c r="O404" s="79"/>
      <c r="P404" s="79"/>
      <c r="Q404" s="79"/>
      <c r="R404" s="79"/>
      <c r="S404" s="79"/>
    </row>
    <row r="405" ht="27.75" customHeight="1">
      <c r="A405" s="104">
        <v>12.0</v>
      </c>
      <c r="B405" s="120"/>
      <c r="C405" s="110"/>
      <c r="D405" s="107"/>
      <c r="E405" s="107"/>
      <c r="F405" s="109"/>
      <c r="G405" s="111"/>
      <c r="H405" s="331"/>
      <c r="I405" s="331"/>
      <c r="J405" s="331"/>
      <c r="K405" s="79"/>
      <c r="L405" s="79"/>
      <c r="M405" s="79"/>
      <c r="N405" s="79"/>
      <c r="O405" s="79"/>
      <c r="P405" s="79"/>
      <c r="Q405" s="79"/>
      <c r="R405" s="79"/>
      <c r="S405" s="79"/>
    </row>
    <row r="406" ht="27.75" customHeight="1">
      <c r="A406" s="104">
        <v>13.0</v>
      </c>
      <c r="B406" s="120"/>
      <c r="C406" s="110"/>
      <c r="D406" s="107"/>
      <c r="E406" s="107"/>
      <c r="F406" s="108"/>
      <c r="G406" s="109"/>
      <c r="H406" s="330"/>
      <c r="I406" s="330"/>
      <c r="J406" s="330"/>
      <c r="K406" s="79"/>
      <c r="L406" s="79"/>
      <c r="M406" s="79"/>
      <c r="N406" s="79"/>
      <c r="O406" s="79"/>
      <c r="P406" s="79"/>
      <c r="Q406" s="79"/>
      <c r="R406" s="79"/>
      <c r="S406" s="79"/>
    </row>
    <row r="407" ht="27.75" customHeight="1">
      <c r="A407" s="104">
        <v>14.0</v>
      </c>
      <c r="B407" s="120"/>
      <c r="C407" s="110"/>
      <c r="D407" s="107"/>
      <c r="E407" s="107"/>
      <c r="F407" s="108"/>
      <c r="G407" s="109"/>
      <c r="H407" s="330"/>
      <c r="I407" s="330"/>
      <c r="J407" s="330"/>
      <c r="K407" s="79"/>
      <c r="L407" s="79"/>
      <c r="M407" s="79"/>
      <c r="N407" s="79"/>
      <c r="O407" s="79"/>
      <c r="P407" s="79"/>
      <c r="Q407" s="79"/>
      <c r="R407" s="79"/>
      <c r="S407" s="79"/>
    </row>
    <row r="408" ht="27.75" customHeight="1">
      <c r="A408" s="122">
        <v>15.0</v>
      </c>
      <c r="B408" s="123"/>
      <c r="C408" s="124"/>
      <c r="D408" s="107"/>
      <c r="E408" s="125"/>
      <c r="F408" s="109"/>
      <c r="G408" s="109"/>
      <c r="H408" s="330"/>
      <c r="I408" s="330"/>
      <c r="J408" s="330"/>
      <c r="K408" s="79"/>
      <c r="L408" s="79"/>
      <c r="M408" s="79"/>
      <c r="N408" s="79"/>
      <c r="O408" s="79"/>
      <c r="P408" s="79"/>
      <c r="Q408" s="79"/>
      <c r="R408" s="79"/>
      <c r="S408" s="79"/>
    </row>
    <row r="409" ht="27.75" customHeight="1">
      <c r="A409" s="112"/>
      <c r="B409" s="113"/>
      <c r="C409" s="114"/>
      <c r="D409" s="114"/>
      <c r="E409" s="99" t="s">
        <v>144</v>
      </c>
      <c r="F409" s="131"/>
      <c r="G409" s="114"/>
      <c r="H409" s="332"/>
      <c r="I409" s="332"/>
      <c r="J409" s="332"/>
      <c r="K409" s="79"/>
      <c r="L409" s="79"/>
      <c r="M409" s="79"/>
      <c r="N409" s="79"/>
      <c r="O409" s="79"/>
      <c r="P409" s="79"/>
      <c r="Q409" s="79"/>
      <c r="R409" s="79"/>
      <c r="S409" s="79"/>
    </row>
    <row r="410" ht="27.75" customHeight="1">
      <c r="A410" s="115"/>
      <c r="B410" s="113"/>
      <c r="C410" s="114"/>
      <c r="D410" s="114"/>
      <c r="E410" s="99" t="s">
        <v>145</v>
      </c>
      <c r="F410" s="100"/>
      <c r="G410" s="114"/>
      <c r="H410" s="332"/>
      <c r="I410" s="332"/>
      <c r="J410" s="332"/>
      <c r="K410" s="79"/>
      <c r="L410" s="79"/>
      <c r="M410" s="79"/>
      <c r="N410" s="79"/>
      <c r="O410" s="79"/>
      <c r="P410" s="79"/>
      <c r="Q410" s="79"/>
      <c r="R410" s="79"/>
      <c r="S410" s="79"/>
    </row>
    <row r="411" ht="27.75" customHeight="1">
      <c r="A411" s="115"/>
      <c r="B411" s="113"/>
      <c r="C411" s="114"/>
      <c r="D411" s="114"/>
      <c r="E411" s="99" t="s">
        <v>146</v>
      </c>
      <c r="F411" s="100"/>
      <c r="G411" s="114"/>
      <c r="H411" s="332"/>
      <c r="I411" s="332"/>
      <c r="J411" s="332"/>
      <c r="K411" s="79"/>
      <c r="L411" s="79"/>
      <c r="M411" s="79"/>
      <c r="N411" s="79"/>
      <c r="O411" s="79"/>
      <c r="P411" s="79"/>
      <c r="Q411" s="79"/>
      <c r="R411" s="79"/>
      <c r="S411" s="79"/>
    </row>
    <row r="412" ht="27.75" customHeight="1">
      <c r="A412" s="115"/>
      <c r="B412" s="113"/>
      <c r="C412" s="114"/>
      <c r="D412" s="114"/>
      <c r="E412" s="99" t="s">
        <v>147</v>
      </c>
      <c r="F412" s="100"/>
      <c r="G412" s="114"/>
      <c r="H412" s="332"/>
      <c r="I412" s="332"/>
      <c r="J412" s="332"/>
      <c r="K412" s="79"/>
      <c r="L412" s="79"/>
      <c r="M412" s="79"/>
      <c r="N412" s="79"/>
      <c r="O412" s="79"/>
      <c r="P412" s="79"/>
      <c r="Q412" s="79"/>
      <c r="R412" s="79"/>
      <c r="S412" s="79"/>
    </row>
    <row r="413" ht="27.75" customHeight="1">
      <c r="A413" s="115"/>
      <c r="B413" s="113"/>
      <c r="C413" s="114"/>
      <c r="D413" s="114"/>
      <c r="E413" s="99" t="s">
        <v>148</v>
      </c>
      <c r="F413" s="100"/>
      <c r="G413" s="114"/>
      <c r="H413" s="332"/>
      <c r="I413" s="332"/>
      <c r="J413" s="332"/>
      <c r="K413" s="79"/>
      <c r="L413" s="79"/>
      <c r="M413" s="79"/>
      <c r="N413" s="79"/>
      <c r="O413" s="79"/>
      <c r="P413" s="79"/>
      <c r="Q413" s="79"/>
      <c r="R413" s="79"/>
      <c r="S413" s="79"/>
    </row>
    <row r="414" ht="27.75" customHeight="1">
      <c r="A414" s="321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ht="27.75" customHeight="1">
      <c r="A415" s="102" t="s">
        <v>4</v>
      </c>
      <c r="B415" s="102" t="s">
        <v>5</v>
      </c>
      <c r="C415" s="102" t="s">
        <v>126</v>
      </c>
      <c r="D415" s="102" t="s">
        <v>6</v>
      </c>
      <c r="E415" s="102" t="s">
        <v>7</v>
      </c>
      <c r="F415" s="102" t="s">
        <v>127</v>
      </c>
      <c r="G415" s="102" t="s">
        <v>128</v>
      </c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ht="27.75" customHeight="1">
      <c r="A416" s="102">
        <v>1.0</v>
      </c>
      <c r="B416" s="147">
        <v>46105.0</v>
      </c>
      <c r="C416" s="148" t="s">
        <v>169</v>
      </c>
      <c r="D416" s="107"/>
      <c r="E416" s="107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ht="27.75" customHeight="1">
      <c r="A417" s="102">
        <v>2.0</v>
      </c>
      <c r="B417" s="123"/>
      <c r="C417" s="123"/>
      <c r="D417" s="107"/>
      <c r="E417" s="107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ht="27.75" customHeight="1">
      <c r="A418" s="102">
        <v>3.0</v>
      </c>
      <c r="B418" s="123"/>
      <c r="C418" s="123"/>
      <c r="D418" s="107"/>
      <c r="E418" s="107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ht="27.75" customHeight="1">
      <c r="A419" s="102">
        <v>4.0</v>
      </c>
      <c r="B419" s="123"/>
      <c r="C419" s="123"/>
      <c r="D419" s="107"/>
      <c r="E419" s="107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ht="27.75" customHeight="1">
      <c r="A420" s="102">
        <v>5.0</v>
      </c>
      <c r="B420" s="123"/>
      <c r="C420" s="123"/>
      <c r="D420" s="107"/>
      <c r="E420" s="107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ht="27.75" customHeight="1">
      <c r="A421" s="102">
        <v>6.0</v>
      </c>
      <c r="B421" s="123"/>
      <c r="C421" s="123"/>
      <c r="D421" s="107"/>
      <c r="E421" s="107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ht="27.75" customHeight="1">
      <c r="A422" s="102">
        <v>7.0</v>
      </c>
      <c r="B422" s="123"/>
      <c r="C422" s="123"/>
      <c r="D422" s="107"/>
      <c r="E422" s="107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ht="27.75" customHeight="1">
      <c r="A423" s="102">
        <v>8.0</v>
      </c>
      <c r="B423" s="123"/>
      <c r="C423" s="123"/>
      <c r="D423" s="107"/>
      <c r="E423" s="107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ht="27.75" customHeight="1">
      <c r="A424" s="102">
        <v>9.0</v>
      </c>
      <c r="B424" s="123"/>
      <c r="C424" s="123"/>
      <c r="D424" s="107"/>
      <c r="E424" s="107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ht="27.75" customHeight="1">
      <c r="A425" s="102">
        <v>10.0</v>
      </c>
      <c r="B425" s="123"/>
      <c r="C425" s="123"/>
      <c r="D425" s="107"/>
      <c r="E425" s="107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ht="27.75" customHeight="1">
      <c r="A426" s="102">
        <v>11.0</v>
      </c>
      <c r="B426" s="123"/>
      <c r="C426" s="123"/>
      <c r="D426" s="107"/>
      <c r="E426" s="107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ht="27.75" customHeight="1">
      <c r="A427" s="102">
        <v>12.0</v>
      </c>
      <c r="B427" s="123"/>
      <c r="C427" s="123"/>
      <c r="D427" s="107"/>
      <c r="E427" s="107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ht="27.75" customHeight="1">
      <c r="A428" s="102">
        <v>13.0</v>
      </c>
      <c r="B428" s="123"/>
      <c r="C428" s="123"/>
      <c r="D428" s="107"/>
      <c r="E428" s="107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ht="27.75" customHeight="1">
      <c r="A429" s="102">
        <v>14.0</v>
      </c>
      <c r="B429" s="123"/>
      <c r="C429" s="123"/>
      <c r="D429" s="107"/>
      <c r="E429" s="107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ht="27.75" customHeight="1">
      <c r="A430" s="102">
        <v>15.0</v>
      </c>
      <c r="B430" s="123"/>
      <c r="C430" s="123"/>
      <c r="D430" s="107"/>
      <c r="E430" s="107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ht="27.75" customHeight="1">
      <c r="A431" s="58"/>
      <c r="B431" s="149"/>
      <c r="C431" s="58"/>
      <c r="D431" s="58"/>
      <c r="E431" s="102" t="s">
        <v>144</v>
      </c>
      <c r="F431" s="102"/>
      <c r="G431" s="5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ht="27.75" customHeight="1">
      <c r="A432" s="58"/>
      <c r="B432" s="149"/>
      <c r="C432" s="58"/>
      <c r="D432" s="58"/>
      <c r="E432" s="102" t="s">
        <v>145</v>
      </c>
      <c r="F432" s="102"/>
      <c r="G432" s="5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ht="27.75" customHeight="1">
      <c r="A433" s="58"/>
      <c r="B433" s="149"/>
      <c r="C433" s="58"/>
      <c r="D433" s="58"/>
      <c r="E433" s="102" t="s">
        <v>146</v>
      </c>
      <c r="F433" s="102"/>
      <c r="G433" s="5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ht="27.75" customHeight="1">
      <c r="A434" s="58"/>
      <c r="B434" s="149"/>
      <c r="C434" s="58"/>
      <c r="D434" s="58"/>
      <c r="E434" s="102" t="s">
        <v>147</v>
      </c>
      <c r="F434" s="102"/>
      <c r="G434" s="5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ht="27.75" customHeight="1">
      <c r="A435" s="58"/>
      <c r="B435" s="149"/>
      <c r="C435" s="58"/>
      <c r="D435" s="58"/>
      <c r="E435" s="102" t="s">
        <v>148</v>
      </c>
      <c r="F435" s="102"/>
      <c r="G435" s="5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ht="27.75" customHeight="1">
      <c r="A436" s="115"/>
      <c r="B436" s="113"/>
      <c r="C436" s="114"/>
      <c r="D436" s="114"/>
      <c r="E436" s="146"/>
      <c r="F436" s="146"/>
      <c r="G436" s="114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ht="27.75" customHeight="1">
      <c r="A437" s="102" t="s">
        <v>4</v>
      </c>
      <c r="B437" s="102" t="s">
        <v>5</v>
      </c>
      <c r="C437" s="102" t="s">
        <v>126</v>
      </c>
      <c r="D437" s="102" t="s">
        <v>6</v>
      </c>
      <c r="E437" s="102" t="s">
        <v>7</v>
      </c>
      <c r="F437" s="102" t="s">
        <v>127</v>
      </c>
      <c r="G437" s="102" t="s">
        <v>128</v>
      </c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ht="27.75" customHeight="1">
      <c r="A438" s="102">
        <v>1.0</v>
      </c>
      <c r="B438" s="344">
        <v>46113.0</v>
      </c>
      <c r="C438" s="148" t="s">
        <v>299</v>
      </c>
      <c r="D438" s="107"/>
      <c r="E438" s="107" t="s">
        <v>1987</v>
      </c>
      <c r="F438" s="108" t="s">
        <v>1988</v>
      </c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ht="27.75" customHeight="1">
      <c r="A439" s="102">
        <v>2.0</v>
      </c>
      <c r="B439" s="123"/>
      <c r="C439" s="123"/>
      <c r="D439" s="107"/>
      <c r="E439" s="107" t="s">
        <v>1989</v>
      </c>
      <c r="F439" s="108">
        <v>40.0</v>
      </c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ht="27.75" customHeight="1">
      <c r="A440" s="102">
        <v>3.0</v>
      </c>
      <c r="B440" s="123"/>
      <c r="C440" s="123"/>
      <c r="D440" s="107"/>
      <c r="E440" s="107" t="s">
        <v>187</v>
      </c>
      <c r="F440" s="111" t="s">
        <v>1990</v>
      </c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ht="27.75" customHeight="1">
      <c r="A441" s="102">
        <v>4.0</v>
      </c>
      <c r="B441" s="123"/>
      <c r="C441" s="123"/>
      <c r="D441" s="107"/>
      <c r="E441" s="107" t="s">
        <v>1991</v>
      </c>
      <c r="F441" s="108" t="s">
        <v>1992</v>
      </c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ht="27.75" customHeight="1">
      <c r="A442" s="102">
        <v>5.0</v>
      </c>
      <c r="B442" s="123"/>
      <c r="C442" s="123"/>
      <c r="D442" s="107"/>
      <c r="E442" s="107" t="s">
        <v>1993</v>
      </c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ht="27.75" customHeight="1">
      <c r="A443" s="102">
        <v>6.0</v>
      </c>
      <c r="B443" s="123"/>
      <c r="C443" s="123"/>
      <c r="D443" s="107"/>
      <c r="E443" s="107" t="s">
        <v>1994</v>
      </c>
      <c r="F443" s="108">
        <v>40.0</v>
      </c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ht="27.75" customHeight="1">
      <c r="A444" s="102">
        <v>7.0</v>
      </c>
      <c r="B444" s="123"/>
      <c r="C444" s="123"/>
      <c r="D444" s="107"/>
      <c r="E444" s="107" t="s">
        <v>1995</v>
      </c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ht="27.75" customHeight="1">
      <c r="A445" s="102">
        <v>8.0</v>
      </c>
      <c r="B445" s="123"/>
      <c r="C445" s="123"/>
      <c r="D445" s="107"/>
      <c r="E445" s="107" t="s">
        <v>1996</v>
      </c>
      <c r="F445" s="108">
        <v>35.0</v>
      </c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ht="27.75" customHeight="1">
      <c r="A446" s="102">
        <v>9.0</v>
      </c>
      <c r="B446" s="123"/>
      <c r="C446" s="123"/>
      <c r="D446" s="107"/>
      <c r="E446" s="107" t="s">
        <v>1358</v>
      </c>
      <c r="F446" s="108">
        <v>50.0</v>
      </c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ht="27.75" customHeight="1">
      <c r="A447" s="102">
        <v>10.0</v>
      </c>
      <c r="B447" s="123"/>
      <c r="C447" s="123"/>
      <c r="D447" s="107"/>
      <c r="E447" s="107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ht="27.75" customHeight="1">
      <c r="A448" s="102">
        <v>11.0</v>
      </c>
      <c r="B448" s="123"/>
      <c r="C448" s="123"/>
      <c r="D448" s="107"/>
      <c r="E448" s="107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ht="27.75" customHeight="1">
      <c r="A449" s="102">
        <v>12.0</v>
      </c>
      <c r="B449" s="123"/>
      <c r="C449" s="123"/>
      <c r="D449" s="107"/>
      <c r="E449" s="107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ht="27.75" customHeight="1">
      <c r="A450" s="102">
        <v>13.0</v>
      </c>
      <c r="B450" s="123"/>
      <c r="C450" s="123"/>
      <c r="D450" s="107"/>
      <c r="E450" s="107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ht="27.75" customHeight="1">
      <c r="A451" s="102">
        <v>14.0</v>
      </c>
      <c r="B451" s="123"/>
      <c r="C451" s="123"/>
      <c r="D451" s="107"/>
      <c r="E451" s="107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ht="27.75" customHeight="1">
      <c r="A452" s="102">
        <v>15.0</v>
      </c>
      <c r="B452" s="123"/>
      <c r="C452" s="123"/>
      <c r="D452" s="107"/>
      <c r="E452" s="107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ht="27.75" customHeight="1">
      <c r="A453" s="58"/>
      <c r="B453" s="149"/>
      <c r="C453" s="58"/>
      <c r="D453" s="58"/>
      <c r="E453" s="102" t="s">
        <v>144</v>
      </c>
      <c r="F453" s="150">
        <v>0.0</v>
      </c>
      <c r="G453" s="5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ht="27.75" customHeight="1">
      <c r="A454" s="58"/>
      <c r="B454" s="149"/>
      <c r="C454" s="58"/>
      <c r="D454" s="58"/>
      <c r="E454" s="102" t="s">
        <v>145</v>
      </c>
      <c r="F454" s="150">
        <v>1905.0</v>
      </c>
      <c r="G454" s="5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ht="27.75" customHeight="1">
      <c r="A455" s="58"/>
      <c r="B455" s="149"/>
      <c r="C455" s="58"/>
      <c r="D455" s="58"/>
      <c r="E455" s="102" t="s">
        <v>146</v>
      </c>
      <c r="F455" s="150">
        <v>380.0</v>
      </c>
      <c r="G455" s="5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ht="27.75" customHeight="1">
      <c r="A456" s="58"/>
      <c r="B456" s="149"/>
      <c r="C456" s="58"/>
      <c r="D456" s="58"/>
      <c r="E456" s="102" t="s">
        <v>147</v>
      </c>
      <c r="F456" s="150">
        <v>285.0</v>
      </c>
      <c r="G456" s="5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ht="27.75" customHeight="1">
      <c r="A457" s="58"/>
      <c r="B457" s="149"/>
      <c r="C457" s="58"/>
      <c r="D457" s="58"/>
      <c r="E457" s="102" t="s">
        <v>148</v>
      </c>
      <c r="F457" s="150">
        <v>1620.0</v>
      </c>
      <c r="G457" s="5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ht="27.75" customHeight="1">
      <c r="A458" s="345"/>
      <c r="B458" s="346"/>
      <c r="C458" s="346"/>
      <c r="D458" s="346"/>
      <c r="E458" s="329"/>
      <c r="F458" s="314" t="s">
        <v>1997</v>
      </c>
      <c r="G458" s="346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ht="27.75" customHeight="1">
      <c r="A459" s="102">
        <v>1.0</v>
      </c>
      <c r="B459" s="344">
        <v>46114.0</v>
      </c>
      <c r="C459" s="148" t="s">
        <v>211</v>
      </c>
      <c r="D459" s="107"/>
      <c r="E459" s="107" t="s">
        <v>1833</v>
      </c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ht="27.75" customHeight="1">
      <c r="A460" s="102">
        <v>2.0</v>
      </c>
      <c r="B460" s="123"/>
      <c r="C460" s="123"/>
      <c r="D460" s="107"/>
      <c r="E460" s="107" t="s">
        <v>1998</v>
      </c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ht="27.75" customHeight="1">
      <c r="A461" s="102">
        <v>3.0</v>
      </c>
      <c r="B461" s="123"/>
      <c r="C461" s="123"/>
      <c r="D461" s="107"/>
      <c r="E461" s="107" t="s">
        <v>1999</v>
      </c>
      <c r="F461" s="111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ht="27.75" customHeight="1">
      <c r="A462" s="102">
        <v>4.0</v>
      </c>
      <c r="B462" s="123"/>
      <c r="C462" s="123"/>
      <c r="D462" s="107"/>
      <c r="E462" s="107" t="s">
        <v>2000</v>
      </c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ht="27.75" customHeight="1">
      <c r="A463" s="102">
        <v>5.0</v>
      </c>
      <c r="B463" s="123"/>
      <c r="C463" s="123"/>
      <c r="D463" s="107"/>
      <c r="E463" s="107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ht="27.75" customHeight="1">
      <c r="A464" s="102">
        <v>6.0</v>
      </c>
      <c r="B464" s="123"/>
      <c r="C464" s="123"/>
      <c r="D464" s="107"/>
      <c r="E464" s="107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ht="27.75" customHeight="1">
      <c r="A465" s="102">
        <v>7.0</v>
      </c>
      <c r="B465" s="123"/>
      <c r="C465" s="123"/>
      <c r="D465" s="107"/>
      <c r="E465" s="107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ht="27.75" customHeight="1">
      <c r="A466" s="102">
        <v>8.0</v>
      </c>
      <c r="B466" s="123"/>
      <c r="C466" s="123"/>
      <c r="D466" s="107"/>
      <c r="E466" s="107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ht="27.75" customHeight="1">
      <c r="A467" s="102">
        <v>9.0</v>
      </c>
      <c r="B467" s="123"/>
      <c r="C467" s="123"/>
      <c r="D467" s="107"/>
      <c r="E467" s="107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ht="27.75" customHeight="1">
      <c r="A468" s="102">
        <v>10.0</v>
      </c>
      <c r="B468" s="123"/>
      <c r="C468" s="123"/>
      <c r="D468" s="107"/>
      <c r="E468" s="107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ht="27.75" customHeight="1">
      <c r="A469" s="102">
        <v>11.0</v>
      </c>
      <c r="B469" s="123"/>
      <c r="C469" s="123"/>
      <c r="D469" s="107"/>
      <c r="E469" s="107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ht="27.75" customHeight="1">
      <c r="A470" s="102">
        <v>12.0</v>
      </c>
      <c r="B470" s="123"/>
      <c r="C470" s="123"/>
      <c r="D470" s="107"/>
      <c r="E470" s="107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ht="27.75" customHeight="1">
      <c r="A471" s="102">
        <v>13.0</v>
      </c>
      <c r="B471" s="123"/>
      <c r="C471" s="123"/>
      <c r="D471" s="107"/>
      <c r="E471" s="107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ht="27.75" customHeight="1">
      <c r="A472" s="102">
        <v>14.0</v>
      </c>
      <c r="B472" s="123"/>
      <c r="C472" s="123"/>
      <c r="D472" s="107"/>
      <c r="E472" s="107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ht="27.75" customHeight="1">
      <c r="A473" s="102">
        <v>15.0</v>
      </c>
      <c r="B473" s="123"/>
      <c r="C473" s="123"/>
      <c r="D473" s="107"/>
      <c r="E473" s="107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ht="27.75" customHeight="1">
      <c r="A474" s="58"/>
      <c r="B474" s="149"/>
      <c r="C474" s="58"/>
      <c r="D474" s="58"/>
      <c r="E474" s="102" t="s">
        <v>144</v>
      </c>
      <c r="F474" s="150"/>
      <c r="G474" s="5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ht="27.75" customHeight="1">
      <c r="A475" s="58"/>
      <c r="B475" s="149"/>
      <c r="C475" s="58"/>
      <c r="D475" s="58"/>
      <c r="E475" s="102" t="s">
        <v>145</v>
      </c>
      <c r="F475" s="150">
        <v>265.0</v>
      </c>
      <c r="G475" s="5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ht="27.75" customHeight="1">
      <c r="A476" s="58"/>
      <c r="B476" s="149"/>
      <c r="C476" s="58"/>
      <c r="D476" s="58"/>
      <c r="E476" s="102" t="s">
        <v>146</v>
      </c>
      <c r="F476" s="150">
        <v>445.0</v>
      </c>
      <c r="G476" s="5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ht="27.75" customHeight="1">
      <c r="A477" s="58"/>
      <c r="B477" s="149"/>
      <c r="C477" s="58"/>
      <c r="D477" s="58"/>
      <c r="E477" s="102" t="s">
        <v>147</v>
      </c>
      <c r="F477" s="150">
        <v>330.0</v>
      </c>
      <c r="G477" s="5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ht="27.75" customHeight="1">
      <c r="A478" s="58"/>
      <c r="B478" s="149"/>
      <c r="C478" s="58"/>
      <c r="D478" s="58"/>
      <c r="E478" s="102" t="s">
        <v>148</v>
      </c>
      <c r="F478" s="150"/>
      <c r="G478" s="5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ht="27.75" customHeight="1">
      <c r="A479" s="102" t="s">
        <v>4</v>
      </c>
      <c r="B479" s="344">
        <v>46116.0</v>
      </c>
      <c r="C479" s="148" t="s">
        <v>1041</v>
      </c>
      <c r="D479" s="107"/>
      <c r="E479" s="107" t="s">
        <v>2001</v>
      </c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ht="27.75" customHeight="1">
      <c r="A480" s="102">
        <v>1.0</v>
      </c>
      <c r="B480" s="123"/>
      <c r="C480" s="123"/>
      <c r="D480" s="107"/>
      <c r="E480" s="107" t="s">
        <v>1415</v>
      </c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ht="27.75" customHeight="1">
      <c r="A481" s="102">
        <v>2.0</v>
      </c>
      <c r="C481" s="123"/>
      <c r="D481" s="107"/>
      <c r="E481" s="107" t="s">
        <v>2002</v>
      </c>
      <c r="F481" s="111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ht="27.75" customHeight="1">
      <c r="A482" s="102">
        <v>3.0</v>
      </c>
      <c r="B482" s="123"/>
      <c r="C482" s="123"/>
      <c r="D482" s="107"/>
      <c r="E482" s="107" t="s">
        <v>2003</v>
      </c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ht="27.75" customHeight="1">
      <c r="A483" s="102">
        <v>4.0</v>
      </c>
      <c r="B483" s="123"/>
      <c r="C483" s="123"/>
      <c r="D483" s="107"/>
      <c r="E483" s="107" t="s">
        <v>2004</v>
      </c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ht="27.75" customHeight="1">
      <c r="A484" s="102">
        <v>5.0</v>
      </c>
      <c r="B484" s="123"/>
      <c r="C484" s="123"/>
      <c r="D484" s="107"/>
      <c r="E484" s="107" t="s">
        <v>2005</v>
      </c>
      <c r="F484" s="111" t="s">
        <v>2006</v>
      </c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ht="27.75" customHeight="1">
      <c r="A485" s="102">
        <v>6.0</v>
      </c>
      <c r="B485" s="123"/>
      <c r="C485" s="123"/>
      <c r="D485" s="107"/>
      <c r="E485" s="107" t="s">
        <v>2007</v>
      </c>
      <c r="F485" s="111" t="s">
        <v>2006</v>
      </c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ht="27.75" customHeight="1">
      <c r="A486" s="102">
        <v>7.0</v>
      </c>
      <c r="B486" s="123"/>
      <c r="C486" s="123"/>
      <c r="D486" s="107"/>
      <c r="E486" s="107" t="s">
        <v>2008</v>
      </c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ht="27.75" customHeight="1">
      <c r="A487" s="102">
        <v>8.0</v>
      </c>
      <c r="B487" s="123"/>
      <c r="C487" s="123"/>
      <c r="D487" s="107"/>
      <c r="E487" s="107" t="s">
        <v>2009</v>
      </c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ht="27.75" customHeight="1">
      <c r="A488" s="102">
        <v>9.0</v>
      </c>
      <c r="B488" s="123"/>
      <c r="C488" s="123"/>
      <c r="D488" s="107"/>
      <c r="E488" s="107" t="s">
        <v>2010</v>
      </c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ht="27.75" customHeight="1">
      <c r="A489" s="102">
        <v>10.0</v>
      </c>
      <c r="B489" s="123"/>
      <c r="C489" s="123"/>
      <c r="D489" s="107"/>
      <c r="E489" s="107" t="s">
        <v>2011</v>
      </c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ht="27.75" customHeight="1">
      <c r="A490" s="102">
        <v>11.0</v>
      </c>
      <c r="B490" s="123"/>
      <c r="C490" s="123"/>
      <c r="D490" s="107"/>
      <c r="E490" s="107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ht="27.75" customHeight="1">
      <c r="A491" s="102">
        <v>12.0</v>
      </c>
      <c r="B491" s="123"/>
      <c r="C491" s="123"/>
      <c r="D491" s="107"/>
      <c r="E491" s="107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ht="27.75" customHeight="1">
      <c r="A492" s="102">
        <v>13.0</v>
      </c>
      <c r="B492" s="123"/>
      <c r="C492" s="123"/>
      <c r="D492" s="107"/>
      <c r="E492" s="107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ht="27.75" customHeight="1">
      <c r="A493" s="102">
        <v>14.0</v>
      </c>
      <c r="B493" s="123"/>
      <c r="C493" s="123"/>
      <c r="D493" s="107"/>
      <c r="E493" s="107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ht="27.75" customHeight="1">
      <c r="A494" s="102">
        <v>15.0</v>
      </c>
      <c r="B494" s="149"/>
      <c r="C494" s="58"/>
      <c r="D494" s="58"/>
      <c r="E494" s="102" t="s">
        <v>144</v>
      </c>
      <c r="F494" s="150"/>
      <c r="G494" s="5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ht="27.75" customHeight="1">
      <c r="A495" s="345"/>
      <c r="B495" s="149"/>
      <c r="C495" s="58"/>
      <c r="D495" s="58"/>
      <c r="E495" s="102" t="s">
        <v>145</v>
      </c>
      <c r="F495" s="150">
        <v>305.0</v>
      </c>
      <c r="G495" s="5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ht="27.75" customHeight="1">
      <c r="A496" s="345"/>
      <c r="B496" s="149"/>
      <c r="C496" s="58"/>
      <c r="D496" s="58"/>
      <c r="E496" s="102" t="s">
        <v>146</v>
      </c>
      <c r="F496" s="150">
        <v>570.0</v>
      </c>
      <c r="G496" s="5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ht="27.75" customHeight="1">
      <c r="A497" s="345"/>
      <c r="B497" s="149"/>
      <c r="C497" s="58"/>
      <c r="D497" s="58"/>
      <c r="E497" s="102" t="s">
        <v>147</v>
      </c>
      <c r="F497" s="150">
        <v>475.0</v>
      </c>
      <c r="G497" s="5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ht="27.75" customHeight="1">
      <c r="A498" s="345"/>
      <c r="B498" s="149"/>
      <c r="C498" s="58"/>
      <c r="D498" s="58"/>
      <c r="E498" s="102" t="s">
        <v>148</v>
      </c>
      <c r="F498" s="151" t="s">
        <v>2012</v>
      </c>
      <c r="G498" s="101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ht="27.75" customHeight="1">
      <c r="A499" s="345"/>
      <c r="B499" s="346"/>
      <c r="C499" s="346"/>
      <c r="D499" s="346"/>
      <c r="E499" s="329"/>
      <c r="F499" s="314"/>
      <c r="G499" s="347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ht="27.75" customHeight="1">
      <c r="A500" s="102" t="s">
        <v>4</v>
      </c>
      <c r="B500" s="102" t="s">
        <v>5</v>
      </c>
      <c r="C500" s="102" t="s">
        <v>126</v>
      </c>
      <c r="D500" s="102" t="s">
        <v>6</v>
      </c>
      <c r="E500" s="102" t="s">
        <v>7</v>
      </c>
      <c r="F500" s="102" t="s">
        <v>127</v>
      </c>
      <c r="G500" s="102" t="s">
        <v>128</v>
      </c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ht="27.75" customHeight="1">
      <c r="A501" s="102">
        <v>1.0</v>
      </c>
      <c r="B501" s="344">
        <v>46117.0</v>
      </c>
      <c r="C501" s="148" t="s">
        <v>561</v>
      </c>
      <c r="D501" s="107"/>
      <c r="E501" s="107" t="s">
        <v>1410</v>
      </c>
      <c r="F501" s="108" t="s">
        <v>2013</v>
      </c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ht="27.75" customHeight="1">
      <c r="A502" s="102">
        <v>2.0</v>
      </c>
      <c r="B502" s="123"/>
      <c r="C502" s="123"/>
      <c r="D502" s="107"/>
      <c r="E502" s="107" t="s">
        <v>2014</v>
      </c>
      <c r="F502" s="108" t="s">
        <v>2015</v>
      </c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ht="27.75" customHeight="1">
      <c r="A503" s="102">
        <v>3.0</v>
      </c>
      <c r="B503" s="123"/>
      <c r="C503" s="123"/>
      <c r="D503" s="107"/>
      <c r="E503" s="107" t="s">
        <v>2016</v>
      </c>
      <c r="F503" s="108">
        <v>35.0</v>
      </c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ht="27.75" customHeight="1">
      <c r="A504" s="102">
        <v>4.0</v>
      </c>
      <c r="B504" s="123"/>
      <c r="C504" s="123"/>
      <c r="D504" s="107"/>
      <c r="E504" s="107" t="s">
        <v>2017</v>
      </c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ht="27.75" customHeight="1">
      <c r="A505" s="102">
        <v>5.0</v>
      </c>
      <c r="B505" s="123"/>
      <c r="C505" s="123"/>
      <c r="D505" s="107"/>
      <c r="E505" s="107" t="s">
        <v>235</v>
      </c>
      <c r="F505" s="108">
        <v>40.0</v>
      </c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ht="27.75" customHeight="1">
      <c r="A506" s="58"/>
      <c r="B506" s="149"/>
      <c r="C506" s="58"/>
      <c r="D506" s="58"/>
      <c r="E506" s="102" t="s">
        <v>144</v>
      </c>
      <c r="F506" s="150">
        <v>0.0</v>
      </c>
      <c r="G506" s="5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ht="27.75" customHeight="1">
      <c r="A507" s="58"/>
      <c r="B507" s="149"/>
      <c r="C507" s="58"/>
      <c r="D507" s="58"/>
      <c r="E507" s="102" t="s">
        <v>145</v>
      </c>
      <c r="F507" s="150">
        <f>70+120+120+30+35+40</f>
        <v>415</v>
      </c>
      <c r="G507" s="5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ht="27.75" customHeight="1">
      <c r="A508" s="58"/>
      <c r="B508" s="149"/>
      <c r="C508" s="58"/>
      <c r="D508" s="58"/>
      <c r="E508" s="102" t="s">
        <v>146</v>
      </c>
      <c r="F508" s="150">
        <f>70+120+120+30+35+35+40</f>
        <v>450</v>
      </c>
      <c r="G508" s="5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ht="27.75" customHeight="1">
      <c r="A509" s="58"/>
      <c r="B509" s="149"/>
      <c r="C509" s="58"/>
      <c r="D509" s="58"/>
      <c r="E509" s="102" t="s">
        <v>147</v>
      </c>
      <c r="F509" s="150">
        <v>335.0</v>
      </c>
      <c r="G509" s="5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ht="27.75" customHeight="1">
      <c r="A510" s="58"/>
      <c r="B510" s="149"/>
      <c r="C510" s="58"/>
      <c r="D510" s="58"/>
      <c r="E510" s="102" t="s">
        <v>148</v>
      </c>
      <c r="F510" s="150">
        <f>F507-F509</f>
        <v>80</v>
      </c>
      <c r="G510" s="5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ht="27.75" customHeight="1">
      <c r="A511" s="321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ht="27.75" customHeight="1">
      <c r="A512" s="102" t="s">
        <v>4</v>
      </c>
      <c r="B512" s="102" t="s">
        <v>5</v>
      </c>
      <c r="C512" s="102" t="s">
        <v>126</v>
      </c>
      <c r="D512" s="102" t="s">
        <v>6</v>
      </c>
      <c r="E512" s="102" t="s">
        <v>7</v>
      </c>
      <c r="F512" s="102" t="s">
        <v>127</v>
      </c>
      <c r="G512" s="102" t="s">
        <v>128</v>
      </c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ht="27.75" customHeight="1">
      <c r="A513" s="102">
        <v>1.0</v>
      </c>
      <c r="B513" s="344">
        <v>46118.0</v>
      </c>
      <c r="C513" s="148" t="s">
        <v>149</v>
      </c>
      <c r="D513" s="107"/>
      <c r="E513" s="107" t="s">
        <v>2018</v>
      </c>
      <c r="F513" s="348">
        <v>70.0</v>
      </c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ht="27.75" customHeight="1">
      <c r="A514" s="102">
        <v>2.0</v>
      </c>
      <c r="B514" s="123"/>
      <c r="C514" s="123"/>
      <c r="D514" s="107"/>
      <c r="E514" s="107" t="s">
        <v>2019</v>
      </c>
      <c r="F514" s="108" t="s">
        <v>2020</v>
      </c>
      <c r="G514" s="111" t="s">
        <v>2021</v>
      </c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ht="27.75" customHeight="1">
      <c r="A515" s="102">
        <v>3.0</v>
      </c>
      <c r="B515" s="123"/>
      <c r="C515" s="123"/>
      <c r="D515" s="107"/>
      <c r="E515" s="107" t="s">
        <v>727</v>
      </c>
      <c r="F515" s="108">
        <v>35.0</v>
      </c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ht="27.75" customHeight="1">
      <c r="A516" s="102">
        <v>4.0</v>
      </c>
      <c r="B516" s="123"/>
      <c r="C516" s="123"/>
      <c r="D516" s="107"/>
      <c r="E516" s="107" t="s">
        <v>2022</v>
      </c>
      <c r="F516" s="108" t="s">
        <v>2023</v>
      </c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ht="27.75" customHeight="1">
      <c r="A517" s="102">
        <v>5.0</v>
      </c>
      <c r="B517" s="123"/>
      <c r="C517" s="123"/>
      <c r="D517" s="107"/>
      <c r="E517" s="107" t="s">
        <v>2024</v>
      </c>
      <c r="F517" s="108">
        <v>60.0</v>
      </c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ht="27.75" customHeight="1">
      <c r="A518" s="102">
        <v>6.0</v>
      </c>
      <c r="B518" s="123"/>
      <c r="C518" s="123"/>
      <c r="D518" s="107"/>
      <c r="E518" s="107" t="s">
        <v>2025</v>
      </c>
      <c r="F518" s="108">
        <v>35.0</v>
      </c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ht="27.75" customHeight="1">
      <c r="A519" s="102">
        <v>7.0</v>
      </c>
      <c r="B519" s="123"/>
      <c r="C519" s="123"/>
      <c r="D519" s="107"/>
      <c r="E519" s="107" t="s">
        <v>2026</v>
      </c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ht="27.75" customHeight="1">
      <c r="A520" s="102">
        <v>8.0</v>
      </c>
      <c r="B520" s="123"/>
      <c r="C520" s="123"/>
      <c r="D520" s="107"/>
      <c r="E520" s="107" t="s">
        <v>1388</v>
      </c>
      <c r="F520" s="108">
        <v>40.0</v>
      </c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ht="27.75" customHeight="1">
      <c r="A521" s="102">
        <v>9.0</v>
      </c>
      <c r="B521" s="123"/>
      <c r="C521" s="123"/>
      <c r="D521" s="107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ht="27.75" customHeight="1">
      <c r="A522" s="102">
        <v>10.0</v>
      </c>
      <c r="B522" s="123"/>
      <c r="C522" s="123"/>
      <c r="D522" s="107"/>
      <c r="E522" s="107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ht="27.75" customHeight="1">
      <c r="A523" s="102">
        <v>11.0</v>
      </c>
      <c r="B523" s="123"/>
      <c r="C523" s="123"/>
      <c r="D523" s="107"/>
      <c r="E523" s="107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ht="27.75" customHeight="1">
      <c r="A524" s="102">
        <v>12.0</v>
      </c>
      <c r="B524" s="123"/>
      <c r="C524" s="123"/>
      <c r="D524" s="107"/>
      <c r="E524" s="107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ht="27.75" customHeight="1">
      <c r="A525" s="102">
        <v>13.0</v>
      </c>
      <c r="B525" s="123"/>
      <c r="C525" s="123"/>
      <c r="D525" s="107"/>
      <c r="E525" s="107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ht="27.75" customHeight="1">
      <c r="A526" s="102">
        <v>14.0</v>
      </c>
      <c r="B526" s="123"/>
      <c r="C526" s="123"/>
      <c r="D526" s="107"/>
      <c r="E526" s="107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ht="27.75" customHeight="1">
      <c r="A527" s="102">
        <v>15.0</v>
      </c>
      <c r="B527" s="123"/>
      <c r="C527" s="123"/>
      <c r="D527" s="107"/>
      <c r="E527" s="107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ht="27.75" customHeight="1">
      <c r="A528" s="58"/>
      <c r="B528" s="149"/>
      <c r="C528" s="58"/>
      <c r="D528" s="58"/>
      <c r="E528" s="102" t="s">
        <v>144</v>
      </c>
      <c r="F528" s="150">
        <v>0.0</v>
      </c>
      <c r="G528" s="5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ht="27.75" customHeight="1">
      <c r="A529" s="58"/>
      <c r="B529" s="149"/>
      <c r="C529" s="58"/>
      <c r="D529" s="58"/>
      <c r="E529" s="102" t="s">
        <v>145</v>
      </c>
      <c r="F529" s="150">
        <f>70+490+35+35+35+35+35+35+30+60+35+40</f>
        <v>935</v>
      </c>
      <c r="G529" s="5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ht="27.75" customHeight="1">
      <c r="A530" s="58"/>
      <c r="B530" s="149"/>
      <c r="C530" s="58"/>
      <c r="D530" s="58"/>
      <c r="E530" s="102" t="s">
        <v>146</v>
      </c>
      <c r="F530" s="150">
        <v>480.0</v>
      </c>
      <c r="G530" s="5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ht="27.75" customHeight="1">
      <c r="A531" s="58"/>
      <c r="B531" s="149"/>
      <c r="C531" s="58"/>
      <c r="D531" s="58"/>
      <c r="E531" s="102" t="s">
        <v>147</v>
      </c>
      <c r="F531" s="150">
        <v>360.0</v>
      </c>
      <c r="G531" s="5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ht="27.75" customHeight="1">
      <c r="A532" s="58"/>
      <c r="B532" s="149"/>
      <c r="C532" s="58"/>
      <c r="D532" s="58"/>
      <c r="E532" s="102" t="s">
        <v>148</v>
      </c>
      <c r="F532" s="150">
        <v>475.0</v>
      </c>
      <c r="G532" s="5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ht="27.75" customHeight="1">
      <c r="A533" s="345"/>
      <c r="B533" s="346"/>
      <c r="C533" s="346"/>
      <c r="D533" s="346"/>
      <c r="E533" s="329"/>
      <c r="F533" s="314" t="s">
        <v>2027</v>
      </c>
      <c r="G533" s="346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ht="27.75" customHeight="1">
      <c r="A534" s="345"/>
      <c r="B534" s="346"/>
      <c r="C534" s="346"/>
      <c r="D534" s="346"/>
      <c r="E534" s="329"/>
      <c r="F534" s="329"/>
      <c r="G534" s="346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ht="27.75" customHeight="1">
      <c r="A535" s="102" t="s">
        <v>4</v>
      </c>
      <c r="B535" s="102" t="s">
        <v>5</v>
      </c>
      <c r="C535" s="102" t="s">
        <v>126</v>
      </c>
      <c r="D535" s="102" t="s">
        <v>6</v>
      </c>
      <c r="E535" s="102" t="s">
        <v>7</v>
      </c>
      <c r="F535" s="102" t="s">
        <v>127</v>
      </c>
      <c r="G535" s="102" t="s">
        <v>128</v>
      </c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ht="27.75" customHeight="1">
      <c r="A536" s="102">
        <v>1.0</v>
      </c>
      <c r="B536" s="344">
        <v>46119.0</v>
      </c>
      <c r="C536" s="148" t="s">
        <v>169</v>
      </c>
      <c r="D536" s="107"/>
      <c r="E536" s="107" t="s">
        <v>2028</v>
      </c>
      <c r="F536" s="108">
        <v>40.0</v>
      </c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ht="27.75" customHeight="1">
      <c r="A537" s="102">
        <v>2.0</v>
      </c>
      <c r="B537" s="123"/>
      <c r="C537" s="123"/>
      <c r="D537" s="107"/>
      <c r="E537" s="107" t="s">
        <v>2029</v>
      </c>
      <c r="F537" s="108">
        <v>35.0</v>
      </c>
      <c r="G537" s="111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ht="27.75" customHeight="1">
      <c r="A538" s="102">
        <v>3.0</v>
      </c>
      <c r="B538" s="123"/>
      <c r="C538" s="123"/>
      <c r="D538" s="107"/>
      <c r="E538" s="107" t="s">
        <v>27</v>
      </c>
      <c r="F538" s="108">
        <v>70.0</v>
      </c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ht="27.75" customHeight="1">
      <c r="A539" s="102">
        <v>4.0</v>
      </c>
      <c r="B539" s="123"/>
      <c r="C539" s="123"/>
      <c r="D539" s="107"/>
      <c r="E539" s="107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ht="27.75" customHeight="1">
      <c r="A540" s="102">
        <v>5.0</v>
      </c>
      <c r="B540" s="123"/>
      <c r="C540" s="123"/>
      <c r="D540" s="107"/>
      <c r="E540" s="107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ht="27.75" customHeight="1">
      <c r="A541" s="102">
        <v>6.0</v>
      </c>
      <c r="B541" s="123"/>
      <c r="C541" s="123"/>
      <c r="D541" s="107"/>
      <c r="E541" s="107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ht="27.75" customHeight="1">
      <c r="A542" s="102">
        <v>7.0</v>
      </c>
      <c r="B542" s="123"/>
      <c r="C542" s="123"/>
      <c r="D542" s="107"/>
      <c r="E542" s="107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ht="27.75" customHeight="1">
      <c r="A543" s="102">
        <v>8.0</v>
      </c>
      <c r="B543" s="123"/>
      <c r="C543" s="123"/>
      <c r="D543" s="107"/>
      <c r="E543" s="107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ht="27.75" customHeight="1">
      <c r="A544" s="102">
        <v>9.0</v>
      </c>
      <c r="B544" s="123"/>
      <c r="C544" s="123"/>
      <c r="D544" s="107"/>
      <c r="E544" s="107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ht="27.75" customHeight="1">
      <c r="A545" s="102">
        <v>10.0</v>
      </c>
      <c r="B545" s="123"/>
      <c r="C545" s="123"/>
      <c r="D545" s="107"/>
      <c r="E545" s="107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ht="27.75" customHeight="1">
      <c r="A546" s="102">
        <v>11.0</v>
      </c>
      <c r="B546" s="123"/>
      <c r="C546" s="123"/>
      <c r="D546" s="107"/>
      <c r="E546" s="107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ht="27.75" customHeight="1">
      <c r="A547" s="102">
        <v>12.0</v>
      </c>
      <c r="B547" s="123"/>
      <c r="C547" s="123"/>
      <c r="D547" s="107"/>
      <c r="E547" s="107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ht="27.75" customHeight="1">
      <c r="A548" s="102">
        <v>13.0</v>
      </c>
      <c r="B548" s="123"/>
      <c r="C548" s="123"/>
      <c r="D548" s="107"/>
      <c r="E548" s="107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ht="27.75" customHeight="1">
      <c r="A549" s="102">
        <v>14.0</v>
      </c>
      <c r="B549" s="123"/>
      <c r="C549" s="123"/>
      <c r="D549" s="107"/>
      <c r="E549" s="107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ht="27.75" customHeight="1">
      <c r="A550" s="102">
        <v>15.0</v>
      </c>
      <c r="B550" s="123"/>
      <c r="C550" s="123"/>
      <c r="D550" s="107"/>
      <c r="E550" s="107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ht="27.75" customHeight="1">
      <c r="A551" s="58"/>
      <c r="B551" s="149"/>
      <c r="C551" s="58"/>
      <c r="D551" s="58"/>
      <c r="E551" s="102" t="s">
        <v>144</v>
      </c>
      <c r="F551" s="150"/>
      <c r="G551" s="5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ht="27.75" customHeight="1">
      <c r="A552" s="58"/>
      <c r="B552" s="149"/>
      <c r="C552" s="58"/>
      <c r="D552" s="58"/>
      <c r="E552" s="102" t="s">
        <v>145</v>
      </c>
      <c r="F552" s="150">
        <v>145.0</v>
      </c>
      <c r="G552" s="5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ht="27.75" customHeight="1">
      <c r="A553" s="58"/>
      <c r="B553" s="149"/>
      <c r="C553" s="58"/>
      <c r="D553" s="58"/>
      <c r="E553" s="102" t="s">
        <v>146</v>
      </c>
      <c r="F553" s="150">
        <v>145.0</v>
      </c>
      <c r="G553" s="5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ht="27.75" customHeight="1">
      <c r="A554" s="58"/>
      <c r="B554" s="149"/>
      <c r="C554" s="58"/>
      <c r="D554" s="58"/>
      <c r="E554" s="102" t="s">
        <v>147</v>
      </c>
      <c r="F554" s="150">
        <v>110.0</v>
      </c>
      <c r="G554" s="5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ht="27.75" customHeight="1">
      <c r="A555" s="58"/>
      <c r="B555" s="149"/>
      <c r="C555" s="58"/>
      <c r="D555" s="58"/>
      <c r="E555" s="102" t="s">
        <v>148</v>
      </c>
      <c r="F555" s="150">
        <v>35.0</v>
      </c>
      <c r="G555" s="5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ht="27.75" customHeight="1">
      <c r="A556" s="321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ht="27.75" customHeight="1">
      <c r="A557" s="102" t="s">
        <v>4</v>
      </c>
      <c r="B557" s="102" t="s">
        <v>5</v>
      </c>
      <c r="C557" s="102" t="s">
        <v>126</v>
      </c>
      <c r="D557" s="102" t="s">
        <v>6</v>
      </c>
      <c r="E557" s="102" t="s">
        <v>7</v>
      </c>
      <c r="F557" s="102" t="s">
        <v>127</v>
      </c>
      <c r="G557" s="102" t="s">
        <v>128</v>
      </c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ht="27.75" customHeight="1">
      <c r="A558" s="102">
        <v>1.0</v>
      </c>
      <c r="B558" s="344">
        <v>46120.0</v>
      </c>
      <c r="C558" s="148" t="s">
        <v>169</v>
      </c>
      <c r="D558" s="107"/>
      <c r="E558" s="107" t="s">
        <v>563</v>
      </c>
      <c r="F558" s="108">
        <v>40.0</v>
      </c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ht="27.75" customHeight="1">
      <c r="A559" s="102">
        <v>2.0</v>
      </c>
      <c r="B559" s="123"/>
      <c r="C559" s="123"/>
      <c r="D559" s="107"/>
      <c r="E559" s="107" t="s">
        <v>565</v>
      </c>
      <c r="F559" s="108">
        <v>40.0</v>
      </c>
      <c r="G559" s="111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ht="27.75" customHeight="1">
      <c r="A560" s="102">
        <v>3.0</v>
      </c>
      <c r="B560" s="123"/>
      <c r="C560" s="123"/>
      <c r="D560" s="107"/>
      <c r="E560" s="107" t="s">
        <v>1991</v>
      </c>
      <c r="F560" s="108">
        <v>40.0</v>
      </c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ht="27.75" customHeight="1">
      <c r="A561" s="102">
        <v>4.0</v>
      </c>
      <c r="B561" s="123"/>
      <c r="C561" s="123"/>
      <c r="D561" s="107"/>
      <c r="E561" s="107" t="s">
        <v>2030</v>
      </c>
      <c r="F561" s="108">
        <v>35.0</v>
      </c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ht="27.75" customHeight="1">
      <c r="A562" s="102">
        <v>5.0</v>
      </c>
      <c r="B562" s="123"/>
      <c r="C562" s="123"/>
      <c r="D562" s="107"/>
      <c r="E562" s="107" t="s">
        <v>271</v>
      </c>
      <c r="F562" s="111" t="s">
        <v>751</v>
      </c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ht="27.75" customHeight="1">
      <c r="A563" s="102">
        <v>6.0</v>
      </c>
      <c r="B563" s="123"/>
      <c r="C563" s="123"/>
      <c r="D563" s="107"/>
      <c r="E563" s="107" t="s">
        <v>200</v>
      </c>
      <c r="F563" s="108" t="s">
        <v>2031</v>
      </c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ht="27.75" customHeight="1">
      <c r="A564" s="102">
        <v>7.0</v>
      </c>
      <c r="B564" s="123"/>
      <c r="C564" s="123"/>
      <c r="D564" s="107"/>
      <c r="E564" s="107" t="s">
        <v>2032</v>
      </c>
      <c r="F564" s="108">
        <v>35.0</v>
      </c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ht="27.75" customHeight="1">
      <c r="A565" s="102">
        <v>8.0</v>
      </c>
      <c r="B565" s="123"/>
      <c r="C565" s="123"/>
      <c r="D565" s="107"/>
      <c r="E565" s="107" t="s">
        <v>2033</v>
      </c>
      <c r="F565" s="108">
        <v>35.0</v>
      </c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ht="27.75" customHeight="1">
      <c r="A566" s="102">
        <v>9.0</v>
      </c>
      <c r="B566" s="123"/>
      <c r="C566" s="123"/>
      <c r="D566" s="107"/>
      <c r="E566" s="107" t="s">
        <v>2034</v>
      </c>
      <c r="F566" s="108">
        <v>35.0</v>
      </c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ht="27.75" customHeight="1">
      <c r="A567" s="102">
        <v>10.0</v>
      </c>
      <c r="B567" s="123"/>
      <c r="C567" s="123"/>
      <c r="D567" s="107"/>
      <c r="E567" s="107" t="s">
        <v>2035</v>
      </c>
      <c r="F567" s="108">
        <v>35.0</v>
      </c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ht="27.75" customHeight="1">
      <c r="A568" s="102">
        <v>11.0</v>
      </c>
      <c r="B568" s="123"/>
      <c r="C568" s="123"/>
      <c r="D568" s="107"/>
      <c r="E568" s="107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ht="27.75" customHeight="1">
      <c r="A569" s="102">
        <v>12.0</v>
      </c>
      <c r="B569" s="123"/>
      <c r="C569" s="123"/>
      <c r="D569" s="107"/>
      <c r="E569" s="107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ht="27.75" customHeight="1">
      <c r="A570" s="102">
        <v>13.0</v>
      </c>
      <c r="B570" s="123"/>
      <c r="C570" s="123"/>
      <c r="D570" s="107"/>
      <c r="E570" s="107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ht="27.75" customHeight="1">
      <c r="A571" s="102">
        <v>14.0</v>
      </c>
      <c r="B571" s="123"/>
      <c r="C571" s="123"/>
      <c r="D571" s="107"/>
      <c r="E571" s="107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ht="27.75" customHeight="1">
      <c r="A572" s="102">
        <v>15.0</v>
      </c>
      <c r="B572" s="123"/>
      <c r="C572" s="123"/>
      <c r="D572" s="107"/>
      <c r="E572" s="107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ht="27.75" customHeight="1">
      <c r="A573" s="58"/>
      <c r="B573" s="149"/>
      <c r="C573" s="58"/>
      <c r="D573" s="58"/>
      <c r="E573" s="102" t="s">
        <v>144</v>
      </c>
      <c r="F573" s="150">
        <v>35.0</v>
      </c>
      <c r="G573" s="5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ht="27.75" customHeight="1">
      <c r="A574" s="58"/>
      <c r="B574" s="149"/>
      <c r="C574" s="58"/>
      <c r="D574" s="58"/>
      <c r="E574" s="102" t="s">
        <v>145</v>
      </c>
      <c r="F574" s="150">
        <v>1350.0</v>
      </c>
      <c r="G574" s="5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ht="27.75" customHeight="1">
      <c r="A575" s="58"/>
      <c r="B575" s="149"/>
      <c r="C575" s="58"/>
      <c r="D575" s="58"/>
      <c r="E575" s="102" t="s">
        <v>146</v>
      </c>
      <c r="F575" s="150">
        <v>400.0</v>
      </c>
      <c r="G575" s="5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ht="27.75" customHeight="1">
      <c r="A576" s="58"/>
      <c r="B576" s="149"/>
      <c r="C576" s="58"/>
      <c r="D576" s="58"/>
      <c r="E576" s="102" t="s">
        <v>147</v>
      </c>
      <c r="F576" s="150">
        <v>300.0</v>
      </c>
      <c r="G576" s="5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ht="27.75" customHeight="1">
      <c r="A577" s="58"/>
      <c r="B577" s="149"/>
      <c r="C577" s="58"/>
      <c r="D577" s="58"/>
      <c r="E577" s="102" t="s">
        <v>148</v>
      </c>
      <c r="F577" s="150">
        <v>1050.0</v>
      </c>
      <c r="G577" s="5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ht="27.75" customHeight="1">
      <c r="A578" s="321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ht="27.75" customHeight="1">
      <c r="A579" s="321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ht="27.75" customHeight="1">
      <c r="A580" s="349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0"/>
      <c r="R580" s="350"/>
      <c r="S580" s="350"/>
    </row>
    <row r="581" ht="27.75" customHeight="1">
      <c r="A581" s="321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ht="27.75" customHeight="1">
      <c r="A582" s="321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ht="27.75" customHeight="1">
      <c r="A583" s="321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ht="27.75" customHeight="1">
      <c r="A584" s="321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ht="27.75" customHeight="1">
      <c r="A585" s="321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ht="27.75" customHeight="1">
      <c r="A586" s="321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ht="27.75" customHeight="1">
      <c r="A587" s="321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ht="27.75" customHeight="1">
      <c r="A588" s="321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ht="27.75" customHeight="1">
      <c r="A589" s="321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ht="27.75" customHeight="1">
      <c r="A590" s="321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ht="27.75" customHeight="1">
      <c r="A591" s="321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ht="27.75" customHeight="1">
      <c r="A592" s="321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ht="27.75" customHeight="1">
      <c r="A593" s="321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ht="27.75" customHeight="1">
      <c r="A594" s="321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ht="27.75" customHeight="1">
      <c r="A595" s="321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ht="27.75" customHeight="1">
      <c r="A596" s="321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ht="27.75" customHeight="1">
      <c r="A597" s="321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ht="27.75" customHeight="1">
      <c r="A598" s="321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ht="27.75" customHeight="1">
      <c r="A599" s="321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ht="27.75" customHeight="1">
      <c r="A600" s="321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ht="27.75" customHeight="1">
      <c r="A601" s="321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ht="27.75" customHeight="1">
      <c r="A602" s="321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ht="27.75" customHeight="1">
      <c r="A603" s="321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ht="27.75" customHeight="1">
      <c r="A604" s="321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ht="27.75" customHeight="1">
      <c r="A605" s="321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ht="27.75" customHeight="1">
      <c r="A606" s="321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ht="27.75" customHeight="1">
      <c r="A607" s="321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ht="27.75" customHeight="1">
      <c r="A608" s="321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ht="27.75" customHeight="1">
      <c r="A609" s="321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ht="27.75" customHeight="1">
      <c r="A610" s="321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ht="27.75" customHeight="1">
      <c r="A611" s="321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ht="27.75" customHeight="1">
      <c r="A612" s="321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ht="27.75" customHeight="1">
      <c r="A613" s="321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ht="27.75" customHeight="1">
      <c r="A614" s="321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ht="27.75" customHeight="1">
      <c r="A615" s="321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ht="27.75" customHeight="1">
      <c r="A616" s="321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ht="27.75" customHeight="1">
      <c r="A617" s="321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ht="27.75" customHeight="1">
      <c r="A618" s="321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ht="27.75" customHeight="1">
      <c r="A619" s="321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ht="27.75" customHeight="1">
      <c r="A620" s="321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ht="27.75" customHeight="1">
      <c r="A621" s="321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ht="27.75" customHeight="1">
      <c r="A622" s="321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ht="27.75" customHeight="1">
      <c r="A623" s="321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ht="27.75" customHeight="1">
      <c r="A624" s="321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ht="27.75" customHeight="1">
      <c r="A625" s="321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ht="27.75" customHeight="1">
      <c r="A626" s="321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ht="27.75" customHeight="1">
      <c r="A627" s="321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ht="27.75" customHeight="1">
      <c r="A628" s="321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ht="27.75" customHeight="1">
      <c r="A629" s="321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ht="27.75" customHeight="1">
      <c r="A630" s="321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ht="27.75" customHeight="1">
      <c r="A631" s="321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ht="27.75" customHeight="1">
      <c r="A632" s="321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ht="27.75" customHeight="1">
      <c r="A633" s="321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ht="27.75" customHeight="1">
      <c r="A634" s="321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ht="27.75" customHeight="1">
      <c r="A635" s="321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ht="27.75" customHeight="1">
      <c r="A636" s="321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ht="27.75" customHeight="1">
      <c r="A637" s="321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ht="27.75" customHeight="1">
      <c r="A638" s="321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ht="27.75" customHeight="1">
      <c r="A639" s="321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ht="27.75" customHeight="1">
      <c r="A640" s="321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ht="27.75" customHeight="1">
      <c r="A641" s="321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ht="27.75" customHeight="1">
      <c r="A642" s="321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ht="27.75" customHeight="1">
      <c r="A643" s="321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ht="27.75" customHeight="1">
      <c r="A644" s="321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ht="27.75" customHeight="1">
      <c r="A645" s="321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ht="27.75" customHeight="1">
      <c r="A646" s="321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ht="27.75" customHeight="1">
      <c r="A647" s="321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ht="27.75" customHeight="1">
      <c r="A648" s="321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ht="27.75" customHeight="1">
      <c r="A649" s="321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ht="27.75" customHeight="1">
      <c r="A650" s="321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ht="27.75" customHeight="1">
      <c r="A651" s="321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ht="27.75" customHeight="1">
      <c r="A652" s="321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ht="27.75" customHeight="1">
      <c r="A653" s="321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ht="27.75" customHeight="1">
      <c r="A654" s="321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ht="27.75" customHeight="1">
      <c r="A655" s="321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ht="27.75" customHeight="1">
      <c r="A656" s="321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ht="27.75" customHeight="1">
      <c r="A657" s="321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ht="27.75" customHeight="1">
      <c r="A658" s="321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ht="27.75" customHeight="1">
      <c r="A659" s="321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ht="27.75" customHeight="1">
      <c r="A660" s="321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ht="27.75" customHeight="1">
      <c r="A661" s="321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ht="27.75" customHeight="1">
      <c r="A662" s="321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ht="27.75" customHeight="1">
      <c r="A663" s="321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ht="27.75" customHeight="1">
      <c r="A664" s="349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0"/>
      <c r="R664" s="350"/>
      <c r="S664" s="350"/>
    </row>
  </sheetData>
  <mergeCells count="1">
    <mergeCell ref="F132:G132"/>
  </mergeCells>
  <printOptions/>
  <pageMargins bottom="0.75" footer="0.0" header="0.0" left="0.7" right="0.7" top="0.75"/>
  <pageSetup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17.86"/>
    <col customWidth="1" min="4" max="4" width="29.71"/>
    <col customWidth="1" min="5" max="5" width="31.71"/>
    <col customWidth="1" min="6" max="6" width="19.57"/>
    <col customWidth="1" min="7" max="7" width="52.43"/>
    <col customWidth="1" min="8" max="8" width="8.71"/>
    <col customWidth="1" min="9" max="9" width="8.14"/>
    <col customWidth="1" min="10" max="18" width="8.71"/>
  </cols>
  <sheetData>
    <row r="1" ht="32.25" customHeight="1">
      <c r="A1" s="351" t="s">
        <v>61</v>
      </c>
      <c r="B1" s="115"/>
      <c r="C1" s="115"/>
      <c r="D1" s="115"/>
      <c r="E1" s="115"/>
      <c r="F1" s="115"/>
      <c r="G1" s="115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</row>
    <row r="2" ht="32.25" customHeight="1">
      <c r="A2" s="102" t="s">
        <v>4</v>
      </c>
      <c r="B2" s="102" t="s">
        <v>5</v>
      </c>
      <c r="C2" s="102" t="s">
        <v>126</v>
      </c>
      <c r="D2" s="102" t="s">
        <v>6</v>
      </c>
      <c r="E2" s="102" t="s">
        <v>7</v>
      </c>
      <c r="F2" s="102" t="s">
        <v>127</v>
      </c>
      <c r="G2" s="103" t="s">
        <v>128</v>
      </c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</row>
    <row r="3" ht="32.25" customHeight="1">
      <c r="A3" s="104">
        <v>1.0</v>
      </c>
      <c r="B3" s="105">
        <v>46086.0</v>
      </c>
      <c r="C3" s="106" t="s">
        <v>211</v>
      </c>
      <c r="D3" s="107" t="s">
        <v>2036</v>
      </c>
      <c r="E3" s="107" t="s">
        <v>36</v>
      </c>
      <c r="F3" s="111" t="s">
        <v>1196</v>
      </c>
      <c r="G3" s="108">
        <v>30.0</v>
      </c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</row>
    <row r="4" ht="32.25" customHeight="1">
      <c r="A4" s="104">
        <v>2.0</v>
      </c>
      <c r="B4" s="120"/>
      <c r="C4" s="110"/>
      <c r="D4" s="107"/>
      <c r="E4" s="107" t="s">
        <v>36</v>
      </c>
      <c r="F4" s="111" t="s">
        <v>2037</v>
      </c>
      <c r="G4" s="111" t="s">
        <v>2038</v>
      </c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</row>
    <row r="5" ht="32.25" customHeight="1">
      <c r="A5" s="104">
        <v>3.0</v>
      </c>
      <c r="B5" s="120"/>
      <c r="C5" s="110"/>
      <c r="D5" s="107"/>
      <c r="E5" s="107" t="s">
        <v>662</v>
      </c>
      <c r="F5" s="108">
        <v>3.0</v>
      </c>
      <c r="G5" s="111" t="s">
        <v>22</v>
      </c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</row>
    <row r="6" ht="32.25" customHeight="1">
      <c r="A6" s="112"/>
      <c r="B6" s="113"/>
      <c r="C6" s="132"/>
      <c r="D6" s="132"/>
      <c r="E6" s="99" t="s">
        <v>2039</v>
      </c>
      <c r="F6" s="126" t="s">
        <v>2040</v>
      </c>
      <c r="G6" s="13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</row>
    <row r="7" ht="32.25" customHeight="1">
      <c r="A7" s="115"/>
      <c r="B7" s="113"/>
      <c r="C7" s="132"/>
      <c r="D7" s="132"/>
      <c r="E7" s="99" t="s">
        <v>2041</v>
      </c>
      <c r="F7" s="131"/>
      <c r="G7" s="13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</row>
    <row r="8" ht="32.25" customHeight="1">
      <c r="A8" s="115"/>
      <c r="B8" s="113"/>
      <c r="C8" s="132"/>
      <c r="D8" s="132"/>
      <c r="E8" s="99" t="s">
        <v>2042</v>
      </c>
      <c r="F8" s="131"/>
      <c r="G8" s="13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</row>
    <row r="9" ht="32.25" customHeight="1">
      <c r="A9" s="115"/>
      <c r="B9" s="113"/>
      <c r="C9" s="132"/>
      <c r="D9" s="132"/>
      <c r="E9" s="99" t="s">
        <v>2043</v>
      </c>
      <c r="F9" s="131"/>
      <c r="G9" s="13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</row>
    <row r="10" ht="32.25" customHeight="1">
      <c r="A10" s="115"/>
      <c r="B10" s="113"/>
      <c r="C10" s="132"/>
      <c r="D10" s="132"/>
      <c r="E10" s="99" t="s">
        <v>2044</v>
      </c>
      <c r="F10" s="131"/>
      <c r="G10" s="13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</row>
    <row r="11" ht="32.25" customHeight="1">
      <c r="A11" s="115"/>
      <c r="B11" s="115"/>
      <c r="C11" s="115"/>
      <c r="D11" s="115"/>
      <c r="E11" s="115"/>
      <c r="F11" s="115"/>
      <c r="G11" s="115"/>
      <c r="H11" s="352"/>
      <c r="I11" s="352"/>
      <c r="J11" s="352"/>
      <c r="K11" s="352"/>
      <c r="L11" s="352"/>
      <c r="M11" s="352"/>
      <c r="N11" s="352"/>
      <c r="O11" s="352"/>
      <c r="P11" s="352"/>
      <c r="Q11" s="352"/>
      <c r="R11" s="352"/>
    </row>
    <row r="12" ht="32.25" customHeight="1">
      <c r="A12" s="102" t="s">
        <v>4</v>
      </c>
      <c r="B12" s="102" t="s">
        <v>5</v>
      </c>
      <c r="C12" s="102" t="s">
        <v>126</v>
      </c>
      <c r="D12" s="102" t="s">
        <v>6</v>
      </c>
      <c r="E12" s="102" t="s">
        <v>7</v>
      </c>
      <c r="F12" s="102" t="s">
        <v>127</v>
      </c>
      <c r="G12" s="103" t="s">
        <v>128</v>
      </c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</row>
    <row r="13" ht="32.25" customHeight="1">
      <c r="A13" s="104">
        <v>1.0</v>
      </c>
      <c r="B13" s="105">
        <v>46087.0</v>
      </c>
      <c r="C13" s="106" t="s">
        <v>239</v>
      </c>
      <c r="D13" s="107" t="s">
        <v>2045</v>
      </c>
      <c r="E13" s="107" t="s">
        <v>2046</v>
      </c>
      <c r="F13" s="108">
        <v>80.0</v>
      </c>
      <c r="G13" s="111" t="s">
        <v>2047</v>
      </c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</row>
    <row r="14" ht="32.25" customHeight="1">
      <c r="A14" s="104">
        <v>2.0</v>
      </c>
      <c r="B14" s="120"/>
      <c r="C14" s="110"/>
      <c r="D14" s="107"/>
      <c r="E14" s="107" t="s">
        <v>2048</v>
      </c>
      <c r="F14" s="111" t="s">
        <v>2049</v>
      </c>
      <c r="G14" s="109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</row>
    <row r="15" ht="32.25" customHeight="1">
      <c r="A15" s="104">
        <v>3.0</v>
      </c>
      <c r="B15" s="120"/>
      <c r="C15" s="110"/>
      <c r="D15" s="107"/>
      <c r="E15" s="107" t="s">
        <v>2050</v>
      </c>
      <c r="F15" s="109"/>
      <c r="G15" s="109"/>
      <c r="H15" s="352"/>
      <c r="I15" s="352"/>
      <c r="J15" s="352"/>
      <c r="K15" s="352"/>
      <c r="L15" s="352"/>
      <c r="M15" s="352"/>
      <c r="N15" s="352"/>
      <c r="O15" s="352"/>
      <c r="P15" s="352"/>
      <c r="Q15" s="352"/>
      <c r="R15" s="352"/>
    </row>
    <row r="16" ht="32.25" customHeight="1">
      <c r="A16" s="104">
        <v>4.0</v>
      </c>
      <c r="B16" s="120"/>
      <c r="C16" s="110"/>
      <c r="D16" s="107"/>
      <c r="E16" s="125"/>
      <c r="F16" s="109"/>
      <c r="G16" s="109"/>
      <c r="H16" s="352"/>
      <c r="I16" s="352"/>
      <c r="J16" s="352"/>
      <c r="K16" s="352"/>
      <c r="L16" s="352"/>
      <c r="M16" s="352"/>
      <c r="N16" s="352"/>
      <c r="O16" s="352"/>
      <c r="P16" s="352"/>
      <c r="Q16" s="352"/>
      <c r="R16" s="352"/>
    </row>
    <row r="17" ht="32.25" customHeight="1">
      <c r="A17" s="104">
        <v>5.0</v>
      </c>
      <c r="B17" s="120"/>
      <c r="C17" s="110"/>
      <c r="D17" s="107"/>
      <c r="E17" s="125"/>
      <c r="F17" s="109"/>
      <c r="G17" s="109"/>
      <c r="H17" s="352"/>
      <c r="I17" s="352"/>
      <c r="J17" s="352"/>
      <c r="K17" s="352"/>
      <c r="L17" s="352"/>
      <c r="M17" s="352"/>
      <c r="N17" s="352"/>
      <c r="O17" s="352"/>
      <c r="P17" s="352"/>
      <c r="Q17" s="352"/>
      <c r="R17" s="352"/>
    </row>
    <row r="18" ht="32.25" customHeight="1">
      <c r="A18" s="104">
        <v>6.0</v>
      </c>
      <c r="B18" s="120"/>
      <c r="C18" s="110"/>
      <c r="D18" s="107"/>
      <c r="E18" s="125"/>
      <c r="F18" s="109"/>
      <c r="G18" s="109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</row>
    <row r="19" ht="32.25" customHeight="1">
      <c r="A19" s="104">
        <v>7.0</v>
      </c>
      <c r="B19" s="120"/>
      <c r="C19" s="110"/>
      <c r="D19" s="107"/>
      <c r="E19" s="125"/>
      <c r="F19" s="109"/>
      <c r="G19" s="109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</row>
    <row r="20" ht="32.25" customHeight="1">
      <c r="A20" s="104">
        <v>8.0</v>
      </c>
      <c r="B20" s="120"/>
      <c r="C20" s="110"/>
      <c r="D20" s="107"/>
      <c r="E20" s="125"/>
      <c r="F20" s="109"/>
      <c r="G20" s="109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</row>
    <row r="21" ht="32.25" customHeight="1">
      <c r="A21" s="104">
        <v>9.0</v>
      </c>
      <c r="B21" s="120"/>
      <c r="C21" s="110"/>
      <c r="D21" s="107"/>
      <c r="E21" s="125"/>
      <c r="F21" s="109"/>
      <c r="G21" s="109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</row>
    <row r="22" ht="32.25" customHeight="1">
      <c r="A22" s="104">
        <v>10.0</v>
      </c>
      <c r="B22" s="120"/>
      <c r="C22" s="110"/>
      <c r="D22" s="107"/>
      <c r="E22" s="125"/>
      <c r="F22" s="109"/>
      <c r="G22" s="109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</row>
    <row r="23" ht="32.25" customHeight="1">
      <c r="A23" s="104">
        <v>11.0</v>
      </c>
      <c r="B23" s="120"/>
      <c r="C23" s="110"/>
      <c r="D23" s="107"/>
      <c r="E23" s="125"/>
      <c r="F23" s="109"/>
      <c r="G23" s="109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</row>
    <row r="24" ht="32.25" customHeight="1">
      <c r="A24" s="104">
        <v>12.0</v>
      </c>
      <c r="B24" s="120"/>
      <c r="C24" s="110"/>
      <c r="D24" s="107"/>
      <c r="E24" s="125"/>
      <c r="F24" s="109"/>
      <c r="G24" s="109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</row>
    <row r="25" ht="32.25" customHeight="1">
      <c r="A25" s="104">
        <v>13.0</v>
      </c>
      <c r="B25" s="120"/>
      <c r="C25" s="110"/>
      <c r="D25" s="107"/>
      <c r="E25" s="125"/>
      <c r="F25" s="109"/>
      <c r="G25" s="109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</row>
    <row r="26" ht="32.25" customHeight="1">
      <c r="A26" s="104">
        <v>14.0</v>
      </c>
      <c r="B26" s="120"/>
      <c r="C26" s="110"/>
      <c r="D26" s="107"/>
      <c r="E26" s="125"/>
      <c r="F26" s="109"/>
      <c r="G26" s="109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</row>
    <row r="27" ht="32.25" customHeight="1">
      <c r="A27" s="122">
        <v>15.0</v>
      </c>
      <c r="B27" s="123"/>
      <c r="C27" s="124"/>
      <c r="D27" s="107"/>
      <c r="E27" s="125"/>
      <c r="F27" s="109"/>
      <c r="G27" s="109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</row>
    <row r="28" ht="32.25" customHeight="1">
      <c r="A28" s="112"/>
      <c r="B28" s="113"/>
      <c r="C28" s="132"/>
      <c r="D28" s="132"/>
      <c r="E28" s="99" t="s">
        <v>2051</v>
      </c>
      <c r="F28" s="131"/>
      <c r="G28" s="13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</row>
    <row r="29" ht="32.25" customHeight="1">
      <c r="A29" s="115"/>
      <c r="B29" s="113"/>
      <c r="C29" s="132"/>
      <c r="D29" s="132"/>
      <c r="E29" s="99" t="s">
        <v>2052</v>
      </c>
      <c r="F29" s="131"/>
      <c r="G29" s="13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</row>
    <row r="30" ht="32.25" customHeight="1">
      <c r="A30" s="115"/>
      <c r="B30" s="113"/>
      <c r="C30" s="132"/>
      <c r="D30" s="132"/>
      <c r="E30" s="99" t="s">
        <v>2053</v>
      </c>
      <c r="F30" s="131"/>
      <c r="G30" s="13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</row>
    <row r="31" ht="32.25" customHeight="1">
      <c r="A31" s="115"/>
      <c r="B31" s="113"/>
      <c r="C31" s="132"/>
      <c r="D31" s="132"/>
      <c r="E31" s="99" t="s">
        <v>2054</v>
      </c>
      <c r="F31" s="131"/>
      <c r="G31" s="13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</row>
    <row r="32" ht="32.25" customHeight="1">
      <c r="A32" s="115"/>
      <c r="B32" s="113"/>
      <c r="C32" s="132"/>
      <c r="D32" s="132"/>
      <c r="E32" s="99" t="s">
        <v>2055</v>
      </c>
      <c r="F32" s="131"/>
      <c r="G32" s="133" t="s">
        <v>2056</v>
      </c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</row>
    <row r="33" ht="32.25" customHeight="1">
      <c r="A33" s="115"/>
      <c r="B33" s="115"/>
      <c r="C33" s="115"/>
      <c r="D33" s="115"/>
      <c r="E33" s="115"/>
      <c r="F33" s="115"/>
      <c r="G33" s="158" t="s">
        <v>1182</v>
      </c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</row>
    <row r="34" ht="32.25" customHeight="1">
      <c r="A34" s="102" t="s">
        <v>4</v>
      </c>
      <c r="B34" s="102" t="s">
        <v>5</v>
      </c>
      <c r="C34" s="102" t="s">
        <v>126</v>
      </c>
      <c r="D34" s="102" t="s">
        <v>6</v>
      </c>
      <c r="E34" s="102" t="s">
        <v>7</v>
      </c>
      <c r="F34" s="102" t="s">
        <v>127</v>
      </c>
      <c r="G34" s="103" t="s">
        <v>128</v>
      </c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</row>
    <row r="35" ht="32.25" customHeight="1">
      <c r="A35" s="104">
        <v>1.0</v>
      </c>
      <c r="B35" s="105">
        <v>46088.0</v>
      </c>
      <c r="C35" s="106" t="s">
        <v>1041</v>
      </c>
      <c r="D35" s="107" t="s">
        <v>2036</v>
      </c>
      <c r="E35" s="107" t="s">
        <v>36</v>
      </c>
      <c r="F35" s="111" t="s">
        <v>2057</v>
      </c>
      <c r="G35" s="111" t="s">
        <v>244</v>
      </c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</row>
    <row r="36" ht="32.25" customHeight="1">
      <c r="A36" s="104">
        <v>2.0</v>
      </c>
      <c r="B36" s="120"/>
      <c r="C36" s="110"/>
      <c r="D36" s="107"/>
      <c r="E36" s="125"/>
      <c r="F36" s="109"/>
      <c r="G36" s="109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</row>
    <row r="37" ht="32.25" customHeight="1">
      <c r="A37" s="104">
        <v>3.0</v>
      </c>
      <c r="B37" s="120"/>
      <c r="C37" s="110"/>
      <c r="D37" s="107"/>
      <c r="E37" s="125"/>
      <c r="F37" s="109"/>
      <c r="G37" s="109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</row>
    <row r="38" ht="32.25" customHeight="1">
      <c r="A38" s="104">
        <v>4.0</v>
      </c>
      <c r="B38" s="120"/>
      <c r="C38" s="110"/>
      <c r="D38" s="107"/>
      <c r="E38" s="125"/>
      <c r="F38" s="109"/>
      <c r="G38" s="109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</row>
    <row r="39" ht="32.25" customHeight="1">
      <c r="A39" s="104">
        <v>5.0</v>
      </c>
      <c r="B39" s="120"/>
      <c r="C39" s="110"/>
      <c r="D39" s="107"/>
      <c r="E39" s="125"/>
      <c r="F39" s="109"/>
      <c r="G39" s="109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</row>
    <row r="40" ht="32.25" customHeight="1">
      <c r="A40" s="104">
        <v>6.0</v>
      </c>
      <c r="B40" s="120"/>
      <c r="C40" s="110"/>
      <c r="D40" s="107"/>
      <c r="E40" s="125"/>
      <c r="F40" s="109"/>
      <c r="G40" s="109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</row>
    <row r="41" ht="32.25" customHeight="1">
      <c r="A41" s="104">
        <v>7.0</v>
      </c>
      <c r="B41" s="120"/>
      <c r="C41" s="110"/>
      <c r="D41" s="107"/>
      <c r="E41" s="125"/>
      <c r="F41" s="109"/>
      <c r="G41" s="109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</row>
    <row r="42" ht="32.25" customHeight="1">
      <c r="A42" s="104">
        <v>8.0</v>
      </c>
      <c r="B42" s="120"/>
      <c r="C42" s="110"/>
      <c r="D42" s="107"/>
      <c r="E42" s="125"/>
      <c r="F42" s="109"/>
      <c r="G42" s="109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</row>
    <row r="43" ht="32.25" customHeight="1">
      <c r="A43" s="104">
        <v>9.0</v>
      </c>
      <c r="B43" s="120"/>
      <c r="C43" s="110"/>
      <c r="D43" s="107"/>
      <c r="E43" s="125"/>
      <c r="F43" s="109"/>
      <c r="G43" s="109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</row>
    <row r="44" ht="32.25" customHeight="1">
      <c r="A44" s="104">
        <v>10.0</v>
      </c>
      <c r="B44" s="120"/>
      <c r="C44" s="110"/>
      <c r="D44" s="107"/>
      <c r="E44" s="125"/>
      <c r="F44" s="109"/>
      <c r="G44" s="109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</row>
    <row r="45" ht="32.25" customHeight="1">
      <c r="A45" s="104">
        <v>11.0</v>
      </c>
      <c r="B45" s="120"/>
      <c r="C45" s="110"/>
      <c r="D45" s="107"/>
      <c r="E45" s="125"/>
      <c r="F45" s="109"/>
      <c r="G45" s="109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</row>
    <row r="46" ht="32.25" customHeight="1">
      <c r="A46" s="104">
        <v>12.0</v>
      </c>
      <c r="B46" s="120"/>
      <c r="C46" s="110"/>
      <c r="D46" s="107"/>
      <c r="E46" s="125"/>
      <c r="F46" s="109"/>
      <c r="G46" s="109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</row>
    <row r="47" ht="32.25" customHeight="1">
      <c r="A47" s="104">
        <v>13.0</v>
      </c>
      <c r="B47" s="120"/>
      <c r="C47" s="110"/>
      <c r="D47" s="107"/>
      <c r="E47" s="125"/>
      <c r="F47" s="109"/>
      <c r="G47" s="109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</row>
    <row r="48" ht="32.25" customHeight="1">
      <c r="A48" s="104">
        <v>14.0</v>
      </c>
      <c r="B48" s="120"/>
      <c r="C48" s="110"/>
      <c r="D48" s="107"/>
      <c r="E48" s="125"/>
      <c r="F48" s="109"/>
      <c r="G48" s="109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</row>
    <row r="49" ht="32.25" customHeight="1">
      <c r="A49" s="122">
        <v>15.0</v>
      </c>
      <c r="B49" s="123"/>
      <c r="C49" s="124"/>
      <c r="D49" s="107"/>
      <c r="E49" s="125"/>
      <c r="F49" s="109"/>
      <c r="G49" s="109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</row>
    <row r="50" ht="32.25" customHeight="1">
      <c r="A50" s="112"/>
      <c r="B50" s="113"/>
      <c r="C50" s="132"/>
      <c r="D50" s="132"/>
      <c r="E50" s="280" t="s">
        <v>144</v>
      </c>
      <c r="F50" s="131"/>
      <c r="G50" s="13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</row>
    <row r="51" ht="32.25" customHeight="1">
      <c r="A51" s="115"/>
      <c r="B51" s="113"/>
      <c r="C51" s="132"/>
      <c r="D51" s="132"/>
      <c r="E51" s="280" t="s">
        <v>145</v>
      </c>
      <c r="F51" s="131"/>
      <c r="G51" s="13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</row>
    <row r="52" ht="32.25" customHeight="1">
      <c r="A52" s="115"/>
      <c r="B52" s="113"/>
      <c r="C52" s="132"/>
      <c r="D52" s="132"/>
      <c r="E52" s="280" t="s">
        <v>146</v>
      </c>
      <c r="F52" s="131"/>
      <c r="G52" s="13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</row>
    <row r="53" ht="32.25" customHeight="1">
      <c r="A53" s="115"/>
      <c r="B53" s="113"/>
      <c r="C53" s="132"/>
      <c r="D53" s="132"/>
      <c r="E53" s="280" t="s">
        <v>147</v>
      </c>
      <c r="F53" s="131"/>
      <c r="G53" s="13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</row>
    <row r="54" ht="32.25" customHeight="1">
      <c r="A54" s="115"/>
      <c r="B54" s="113"/>
      <c r="C54" s="132"/>
      <c r="D54" s="132"/>
      <c r="E54" s="280" t="s">
        <v>148</v>
      </c>
      <c r="F54" s="131"/>
      <c r="G54" s="13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</row>
    <row r="55" ht="32.25" customHeight="1">
      <c r="A55" s="115"/>
      <c r="B55" s="115"/>
      <c r="C55" s="115"/>
      <c r="D55" s="115"/>
      <c r="E55" s="115"/>
      <c r="F55" s="115"/>
      <c r="G55" s="115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</row>
    <row r="56" ht="32.25" customHeight="1">
      <c r="A56" s="102" t="s">
        <v>4</v>
      </c>
      <c r="B56" s="102" t="s">
        <v>5</v>
      </c>
      <c r="C56" s="102" t="s">
        <v>126</v>
      </c>
      <c r="D56" s="102" t="s">
        <v>6</v>
      </c>
      <c r="E56" s="102" t="s">
        <v>7</v>
      </c>
      <c r="F56" s="102" t="s">
        <v>127</v>
      </c>
      <c r="G56" s="103" t="s">
        <v>128</v>
      </c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</row>
    <row r="57" ht="32.25" customHeight="1">
      <c r="A57" s="104">
        <v>1.0</v>
      </c>
      <c r="B57" s="105">
        <v>46089.0</v>
      </c>
      <c r="C57" s="106" t="s">
        <v>476</v>
      </c>
      <c r="D57" s="107"/>
      <c r="E57" s="107" t="s">
        <v>2058</v>
      </c>
      <c r="F57" s="108">
        <v>35.0</v>
      </c>
      <c r="G57" s="109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</row>
    <row r="58" ht="32.25" customHeight="1">
      <c r="A58" s="104">
        <v>2.0</v>
      </c>
      <c r="B58" s="120"/>
      <c r="C58" s="110"/>
      <c r="D58" s="107"/>
      <c r="E58" s="107" t="s">
        <v>2059</v>
      </c>
      <c r="F58" s="111" t="s">
        <v>2060</v>
      </c>
      <c r="G58" s="109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</row>
    <row r="59" ht="32.25" customHeight="1">
      <c r="A59" s="104">
        <v>3.0</v>
      </c>
      <c r="B59" s="120"/>
      <c r="C59" s="110"/>
      <c r="D59" s="107"/>
      <c r="E59" s="107" t="s">
        <v>2061</v>
      </c>
      <c r="F59" s="111" t="s">
        <v>2062</v>
      </c>
      <c r="G59" s="109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</row>
    <row r="60" ht="32.25" customHeight="1">
      <c r="A60" s="104">
        <v>4.0</v>
      </c>
      <c r="B60" s="120"/>
      <c r="C60" s="110"/>
      <c r="D60" s="107"/>
      <c r="E60" s="107" t="s">
        <v>2063</v>
      </c>
      <c r="F60" s="108">
        <v>35.0</v>
      </c>
      <c r="G60" s="109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</row>
    <row r="61" ht="32.25" customHeight="1">
      <c r="A61" s="104">
        <v>5.0</v>
      </c>
      <c r="B61" s="120"/>
      <c r="C61" s="110"/>
      <c r="D61" s="107"/>
      <c r="E61" s="125"/>
      <c r="F61" s="109"/>
      <c r="G61" s="109"/>
      <c r="H61" s="352"/>
      <c r="I61" s="352"/>
      <c r="J61" s="352"/>
      <c r="K61" s="352"/>
      <c r="L61" s="352"/>
      <c r="M61" s="352"/>
      <c r="N61" s="352"/>
      <c r="O61" s="352"/>
      <c r="P61" s="352"/>
      <c r="Q61" s="352"/>
      <c r="R61" s="352"/>
    </row>
    <row r="62" ht="32.25" customHeight="1">
      <c r="A62" s="104">
        <v>6.0</v>
      </c>
      <c r="B62" s="120"/>
      <c r="C62" s="110"/>
      <c r="D62" s="107"/>
      <c r="E62" s="125"/>
      <c r="F62" s="109"/>
      <c r="G62" s="109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</row>
    <row r="63" ht="32.25" customHeight="1">
      <c r="A63" s="104">
        <v>7.0</v>
      </c>
      <c r="B63" s="120"/>
      <c r="C63" s="110"/>
      <c r="D63" s="107"/>
      <c r="E63" s="125"/>
      <c r="F63" s="109"/>
      <c r="G63" s="109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</row>
    <row r="64" ht="32.25" customHeight="1">
      <c r="A64" s="104">
        <v>8.0</v>
      </c>
      <c r="B64" s="120"/>
      <c r="C64" s="110"/>
      <c r="D64" s="107"/>
      <c r="E64" s="125"/>
      <c r="F64" s="109"/>
      <c r="G64" s="109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</row>
    <row r="65" ht="32.25" customHeight="1">
      <c r="A65" s="104">
        <v>9.0</v>
      </c>
      <c r="B65" s="120"/>
      <c r="C65" s="110"/>
      <c r="D65" s="107"/>
      <c r="E65" s="125"/>
      <c r="F65" s="109"/>
      <c r="G65" s="109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</row>
    <row r="66" ht="32.25" customHeight="1">
      <c r="A66" s="104">
        <v>10.0</v>
      </c>
      <c r="B66" s="120"/>
      <c r="C66" s="110"/>
      <c r="D66" s="107"/>
      <c r="E66" s="125"/>
      <c r="F66" s="109"/>
      <c r="G66" s="109"/>
      <c r="H66" s="352"/>
      <c r="I66" s="352"/>
      <c r="J66" s="352"/>
      <c r="K66" s="352"/>
      <c r="L66" s="352"/>
      <c r="M66" s="352"/>
      <c r="N66" s="352"/>
      <c r="O66" s="352"/>
      <c r="P66" s="352"/>
      <c r="Q66" s="352"/>
      <c r="R66" s="352"/>
    </row>
    <row r="67" ht="32.25" customHeight="1">
      <c r="A67" s="104">
        <v>11.0</v>
      </c>
      <c r="B67" s="120"/>
      <c r="C67" s="110"/>
      <c r="D67" s="107"/>
      <c r="E67" s="125"/>
      <c r="F67" s="109"/>
      <c r="G67" s="109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</row>
    <row r="68" ht="32.25" customHeight="1">
      <c r="A68" s="104">
        <v>12.0</v>
      </c>
      <c r="B68" s="120"/>
      <c r="C68" s="110"/>
      <c r="D68" s="107"/>
      <c r="E68" s="125"/>
      <c r="F68" s="109"/>
      <c r="G68" s="109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</row>
    <row r="69" ht="32.25" customHeight="1">
      <c r="A69" s="104">
        <v>13.0</v>
      </c>
      <c r="B69" s="120"/>
      <c r="C69" s="110"/>
      <c r="D69" s="107"/>
      <c r="E69" s="125"/>
      <c r="F69" s="109"/>
      <c r="G69" s="109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</row>
    <row r="70" ht="32.25" customHeight="1">
      <c r="A70" s="104">
        <v>14.0</v>
      </c>
      <c r="B70" s="120"/>
      <c r="C70" s="110"/>
      <c r="D70" s="107"/>
      <c r="E70" s="125"/>
      <c r="F70" s="109"/>
      <c r="G70" s="109"/>
      <c r="H70" s="352"/>
      <c r="I70" s="352"/>
      <c r="J70" s="352"/>
      <c r="K70" s="352"/>
      <c r="L70" s="352"/>
      <c r="M70" s="352"/>
      <c r="N70" s="352"/>
      <c r="O70" s="352"/>
      <c r="P70" s="352"/>
      <c r="Q70" s="352"/>
      <c r="R70" s="352"/>
    </row>
    <row r="71" ht="32.25" customHeight="1">
      <c r="A71" s="122">
        <v>15.0</v>
      </c>
      <c r="B71" s="123"/>
      <c r="C71" s="124"/>
      <c r="D71" s="107"/>
      <c r="E71" s="125"/>
      <c r="F71" s="109"/>
      <c r="G71" s="109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</row>
    <row r="72" ht="32.25" customHeight="1">
      <c r="A72" s="112"/>
      <c r="B72" s="113"/>
      <c r="C72" s="132"/>
      <c r="D72" s="132"/>
      <c r="E72" s="280" t="s">
        <v>144</v>
      </c>
      <c r="F72" s="131"/>
      <c r="G72" s="132"/>
      <c r="H72" s="352"/>
      <c r="I72" s="352"/>
      <c r="J72" s="352"/>
      <c r="K72" s="352"/>
      <c r="L72" s="352"/>
      <c r="M72" s="352"/>
      <c r="N72" s="352"/>
      <c r="O72" s="352"/>
      <c r="P72" s="352"/>
      <c r="Q72" s="352"/>
      <c r="R72" s="352"/>
    </row>
    <row r="73" ht="32.25" customHeight="1">
      <c r="A73" s="115"/>
      <c r="B73" s="113"/>
      <c r="C73" s="132"/>
      <c r="D73" s="132"/>
      <c r="E73" s="280" t="s">
        <v>145</v>
      </c>
      <c r="F73" s="100">
        <v>1805.0</v>
      </c>
      <c r="G73" s="13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</row>
    <row r="74" ht="32.25" customHeight="1">
      <c r="A74" s="115"/>
      <c r="B74" s="113"/>
      <c r="C74" s="132"/>
      <c r="D74" s="132"/>
      <c r="E74" s="280" t="s">
        <v>146</v>
      </c>
      <c r="F74" s="100">
        <v>140.0</v>
      </c>
      <c r="G74" s="13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</row>
    <row r="75" ht="32.25" customHeight="1">
      <c r="A75" s="115"/>
      <c r="B75" s="113"/>
      <c r="C75" s="132"/>
      <c r="D75" s="132"/>
      <c r="E75" s="280" t="s">
        <v>147</v>
      </c>
      <c r="F75" s="100">
        <v>105.0</v>
      </c>
      <c r="G75" s="13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</row>
    <row r="76" ht="32.25" customHeight="1">
      <c r="A76" s="115"/>
      <c r="B76" s="113"/>
      <c r="C76" s="132"/>
      <c r="D76" s="132"/>
      <c r="E76" s="280" t="s">
        <v>148</v>
      </c>
      <c r="F76" s="131"/>
      <c r="G76" s="13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</row>
    <row r="77" ht="32.25" customHeight="1">
      <c r="A77" s="352"/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</row>
    <row r="78" ht="32.25" customHeight="1">
      <c r="A78" s="353" t="s">
        <v>4</v>
      </c>
      <c r="B78" s="353" t="s">
        <v>5</v>
      </c>
      <c r="C78" s="353" t="s">
        <v>126</v>
      </c>
      <c r="D78" s="353" t="s">
        <v>6</v>
      </c>
      <c r="E78" s="353" t="s">
        <v>7</v>
      </c>
      <c r="F78" s="353" t="s">
        <v>127</v>
      </c>
      <c r="G78" s="354" t="s">
        <v>128</v>
      </c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</row>
    <row r="79" ht="32.25" customHeight="1">
      <c r="A79" s="353">
        <v>1.0</v>
      </c>
      <c r="B79" s="356">
        <v>46090.0</v>
      </c>
      <c r="C79" s="357"/>
      <c r="D79" s="358" t="s">
        <v>2036</v>
      </c>
      <c r="E79" s="358" t="s">
        <v>36</v>
      </c>
      <c r="F79" s="359" t="s">
        <v>2064</v>
      </c>
      <c r="G79" s="360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</row>
    <row r="80" ht="32.25" customHeight="1">
      <c r="A80" s="353">
        <v>2.0</v>
      </c>
      <c r="B80" s="361"/>
      <c r="C80" s="362"/>
      <c r="D80" s="363"/>
      <c r="E80" s="358" t="s">
        <v>103</v>
      </c>
      <c r="F80" s="364">
        <v>2.0</v>
      </c>
      <c r="G80" s="360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</row>
    <row r="81" ht="32.25" customHeight="1">
      <c r="A81" s="353">
        <v>3.0</v>
      </c>
      <c r="B81" s="361"/>
      <c r="C81" s="362"/>
      <c r="D81" s="363"/>
      <c r="E81" s="363"/>
      <c r="F81" s="365"/>
      <c r="G81" s="360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</row>
    <row r="82" ht="32.25" customHeight="1">
      <c r="A82" s="353">
        <v>4.0</v>
      </c>
      <c r="B82" s="361"/>
      <c r="C82" s="362"/>
      <c r="D82" s="363"/>
      <c r="E82" s="363"/>
      <c r="F82" s="365"/>
      <c r="G82" s="360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</row>
    <row r="83" ht="32.25" customHeight="1">
      <c r="A83" s="353">
        <v>5.0</v>
      </c>
      <c r="B83" s="361"/>
      <c r="C83" s="362"/>
      <c r="D83" s="363"/>
      <c r="E83" s="363"/>
      <c r="F83" s="365"/>
      <c r="G83" s="360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</row>
    <row r="84" ht="32.25" customHeight="1">
      <c r="A84" s="353">
        <v>6.0</v>
      </c>
      <c r="B84" s="361"/>
      <c r="C84" s="362"/>
      <c r="D84" s="363"/>
      <c r="E84" s="363"/>
      <c r="F84" s="365"/>
      <c r="G84" s="360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</row>
    <row r="85" ht="32.25" customHeight="1">
      <c r="A85" s="353">
        <v>7.0</v>
      </c>
      <c r="B85" s="361"/>
      <c r="C85" s="362"/>
      <c r="D85" s="363"/>
      <c r="E85" s="363"/>
      <c r="F85" s="365"/>
      <c r="G85" s="360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</row>
    <row r="86" ht="32.25" customHeight="1">
      <c r="A86" s="353">
        <v>8.0</v>
      </c>
      <c r="B86" s="361"/>
      <c r="C86" s="362"/>
      <c r="D86" s="363"/>
      <c r="E86" s="363"/>
      <c r="F86" s="365"/>
      <c r="G86" s="360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</row>
    <row r="87" ht="32.25" customHeight="1">
      <c r="A87" s="353">
        <v>9.0</v>
      </c>
      <c r="B87" s="361"/>
      <c r="C87" s="362"/>
      <c r="D87" s="363"/>
      <c r="E87" s="363"/>
      <c r="F87" s="365"/>
      <c r="G87" s="360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</row>
    <row r="88" ht="32.25" customHeight="1">
      <c r="A88" s="353">
        <v>10.0</v>
      </c>
      <c r="B88" s="361"/>
      <c r="C88" s="362"/>
      <c r="D88" s="363"/>
      <c r="E88" s="363"/>
      <c r="F88" s="365"/>
      <c r="G88" s="360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</row>
    <row r="89" ht="32.25" customHeight="1">
      <c r="A89" s="353">
        <v>11.0</v>
      </c>
      <c r="B89" s="361"/>
      <c r="C89" s="362"/>
      <c r="D89" s="363"/>
      <c r="E89" s="363"/>
      <c r="F89" s="365"/>
      <c r="G89" s="360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</row>
    <row r="90" ht="32.25" customHeight="1">
      <c r="A90" s="353">
        <v>12.0</v>
      </c>
      <c r="B90" s="361"/>
      <c r="C90" s="362"/>
      <c r="D90" s="363"/>
      <c r="E90" s="363"/>
      <c r="F90" s="365"/>
      <c r="G90" s="360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</row>
    <row r="91" ht="32.25" customHeight="1">
      <c r="A91" s="353">
        <v>13.0</v>
      </c>
      <c r="B91" s="361"/>
      <c r="C91" s="362"/>
      <c r="D91" s="363"/>
      <c r="E91" s="363"/>
      <c r="F91" s="365"/>
      <c r="G91" s="360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</row>
    <row r="92" ht="32.25" customHeight="1">
      <c r="A92" s="353">
        <v>14.0</v>
      </c>
      <c r="B92" s="361"/>
      <c r="C92" s="362"/>
      <c r="D92" s="363"/>
      <c r="E92" s="363"/>
      <c r="F92" s="365"/>
      <c r="G92" s="360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</row>
    <row r="93" ht="32.25" customHeight="1">
      <c r="A93" s="366">
        <v>15.0</v>
      </c>
      <c r="B93" s="367"/>
      <c r="C93" s="368"/>
      <c r="D93" s="363"/>
      <c r="E93" s="363"/>
      <c r="F93" s="365"/>
      <c r="G93" s="360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</row>
    <row r="94" ht="32.25" customHeight="1">
      <c r="A94" s="369"/>
      <c r="B94" s="370"/>
      <c r="C94" s="369"/>
      <c r="D94" s="369"/>
      <c r="E94" s="371" t="s">
        <v>144</v>
      </c>
      <c r="F94" s="372"/>
      <c r="G94" s="373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</row>
    <row r="95" ht="32.25" customHeight="1">
      <c r="A95" s="369"/>
      <c r="B95" s="370"/>
      <c r="C95" s="369"/>
      <c r="D95" s="369"/>
      <c r="E95" s="371" t="s">
        <v>145</v>
      </c>
      <c r="F95" s="372"/>
      <c r="G95" s="373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</row>
    <row r="96" ht="32.25" customHeight="1">
      <c r="A96" s="369"/>
      <c r="B96" s="370"/>
      <c r="C96" s="369"/>
      <c r="D96" s="369"/>
      <c r="E96" s="371" t="s">
        <v>146</v>
      </c>
      <c r="F96" s="372"/>
      <c r="G96" s="373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</row>
    <row r="97" ht="32.25" customHeight="1">
      <c r="A97" s="369"/>
      <c r="B97" s="370"/>
      <c r="C97" s="369"/>
      <c r="D97" s="369"/>
      <c r="E97" s="371" t="s">
        <v>147</v>
      </c>
      <c r="F97" s="372"/>
      <c r="G97" s="373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</row>
    <row r="98" ht="32.25" customHeight="1">
      <c r="A98" s="369"/>
      <c r="B98" s="370"/>
      <c r="C98" s="369"/>
      <c r="D98" s="369"/>
      <c r="E98" s="371" t="s">
        <v>148</v>
      </c>
      <c r="F98" s="372"/>
      <c r="G98" s="373"/>
      <c r="H98" s="355"/>
      <c r="I98" s="355"/>
      <c r="J98" s="355"/>
      <c r="K98" s="355"/>
      <c r="L98" s="355"/>
      <c r="M98" s="355"/>
      <c r="N98" s="355"/>
      <c r="O98" s="355"/>
      <c r="P98" s="355"/>
      <c r="Q98" s="355"/>
      <c r="R98" s="355"/>
    </row>
    <row r="99" ht="32.25" customHeight="1">
      <c r="A99" s="352"/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</row>
    <row r="100" ht="32.25" customHeight="1">
      <c r="A100" s="353" t="s">
        <v>4</v>
      </c>
      <c r="B100" s="353" t="s">
        <v>5</v>
      </c>
      <c r="C100" s="353"/>
      <c r="D100" s="353" t="s">
        <v>6</v>
      </c>
      <c r="E100" s="353" t="s">
        <v>7</v>
      </c>
      <c r="F100" s="353" t="s">
        <v>127</v>
      </c>
      <c r="G100" s="354" t="s">
        <v>128</v>
      </c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</row>
    <row r="101" ht="32.25" customHeight="1">
      <c r="A101" s="353">
        <v>1.0</v>
      </c>
      <c r="B101" s="356">
        <v>46091.0</v>
      </c>
      <c r="C101" s="357" t="s">
        <v>169</v>
      </c>
      <c r="D101" s="374" t="s">
        <v>2036</v>
      </c>
      <c r="E101" s="375" t="s">
        <v>235</v>
      </c>
      <c r="F101" s="376">
        <v>40.0</v>
      </c>
      <c r="G101" s="360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</row>
    <row r="102" ht="32.25" customHeight="1">
      <c r="A102" s="353">
        <v>2.0</v>
      </c>
      <c r="B102" s="377"/>
      <c r="C102" s="378"/>
      <c r="D102" s="379"/>
      <c r="E102" s="358" t="s">
        <v>343</v>
      </c>
      <c r="F102" s="380">
        <v>70.0</v>
      </c>
      <c r="G102" s="360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</row>
    <row r="103" ht="32.25" customHeight="1">
      <c r="A103" s="353">
        <v>3.0</v>
      </c>
      <c r="B103" s="377"/>
      <c r="C103" s="378"/>
      <c r="D103" s="379"/>
      <c r="E103" s="381" t="s">
        <v>2065</v>
      </c>
      <c r="F103" s="382" t="s">
        <v>2066</v>
      </c>
      <c r="G103" s="360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</row>
    <row r="104" ht="32.25" customHeight="1">
      <c r="A104" s="353">
        <v>4.0</v>
      </c>
      <c r="B104" s="377"/>
      <c r="C104" s="378"/>
      <c r="D104" s="379"/>
      <c r="E104" s="381"/>
      <c r="F104" s="380"/>
      <c r="G104" s="360"/>
      <c r="H104" s="355"/>
      <c r="I104" s="355"/>
      <c r="J104" s="355"/>
      <c r="K104" s="355"/>
      <c r="L104" s="355"/>
      <c r="M104" s="355"/>
      <c r="N104" s="355"/>
      <c r="O104" s="355"/>
      <c r="P104" s="355"/>
      <c r="Q104" s="355"/>
      <c r="R104" s="355"/>
    </row>
    <row r="105" ht="32.25" customHeight="1">
      <c r="A105" s="353">
        <v>5.0</v>
      </c>
      <c r="B105" s="377"/>
      <c r="C105" s="378"/>
      <c r="D105" s="379"/>
      <c r="E105" s="381" t="s">
        <v>2067</v>
      </c>
      <c r="F105" s="382" t="s">
        <v>2068</v>
      </c>
      <c r="G105" s="382" t="s">
        <v>2069</v>
      </c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</row>
    <row r="106" ht="32.25" customHeight="1">
      <c r="A106" s="353">
        <v>6.0</v>
      </c>
      <c r="B106" s="377"/>
      <c r="C106" s="378"/>
      <c r="D106" s="379"/>
      <c r="E106" s="381" t="s">
        <v>2070</v>
      </c>
      <c r="F106" s="380" t="s">
        <v>2071</v>
      </c>
      <c r="G106" s="360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</row>
    <row r="107" ht="32.25" customHeight="1">
      <c r="A107" s="353">
        <v>7.0</v>
      </c>
      <c r="B107" s="377"/>
      <c r="C107" s="378"/>
      <c r="D107" s="379"/>
      <c r="E107" s="379"/>
      <c r="F107" s="360"/>
      <c r="G107" s="360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</row>
    <row r="108" ht="32.25" customHeight="1">
      <c r="A108" s="353">
        <v>8.0</v>
      </c>
      <c r="B108" s="377"/>
      <c r="C108" s="378"/>
      <c r="D108" s="379"/>
      <c r="E108" s="379"/>
      <c r="F108" s="360"/>
      <c r="G108" s="360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</row>
    <row r="109" ht="32.25" customHeight="1">
      <c r="A109" s="353">
        <v>9.0</v>
      </c>
      <c r="B109" s="377"/>
      <c r="C109" s="378"/>
      <c r="D109" s="379"/>
      <c r="E109" s="379"/>
      <c r="F109" s="360"/>
      <c r="G109" s="360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</row>
    <row r="110" ht="32.25" customHeight="1">
      <c r="A110" s="353">
        <v>10.0</v>
      </c>
      <c r="B110" s="377"/>
      <c r="C110" s="378"/>
      <c r="D110" s="379"/>
      <c r="E110" s="379"/>
      <c r="F110" s="360"/>
      <c r="G110" s="360"/>
      <c r="H110" s="355"/>
      <c r="I110" s="355"/>
      <c r="J110" s="355"/>
      <c r="K110" s="355"/>
      <c r="L110" s="355"/>
      <c r="M110" s="355"/>
      <c r="N110" s="355"/>
      <c r="O110" s="355"/>
      <c r="P110" s="355"/>
      <c r="Q110" s="355"/>
      <c r="R110" s="355"/>
    </row>
    <row r="111" ht="32.25" customHeight="1">
      <c r="A111" s="353">
        <v>11.0</v>
      </c>
      <c r="B111" s="377"/>
      <c r="C111" s="378"/>
      <c r="D111" s="379"/>
      <c r="E111" s="379"/>
      <c r="F111" s="360"/>
      <c r="G111" s="360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</row>
    <row r="112" ht="32.25" customHeight="1">
      <c r="A112" s="353">
        <v>12.0</v>
      </c>
      <c r="B112" s="377"/>
      <c r="C112" s="378"/>
      <c r="D112" s="379"/>
      <c r="E112" s="379"/>
      <c r="F112" s="360"/>
      <c r="G112" s="360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</row>
    <row r="113" ht="32.25" customHeight="1">
      <c r="A113" s="353">
        <v>13.0</v>
      </c>
      <c r="B113" s="377"/>
      <c r="C113" s="378"/>
      <c r="D113" s="379"/>
      <c r="E113" s="379"/>
      <c r="F113" s="360"/>
      <c r="G113" s="360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</row>
    <row r="114" ht="32.25" customHeight="1">
      <c r="A114" s="353">
        <v>14.0</v>
      </c>
      <c r="B114" s="377"/>
      <c r="C114" s="378"/>
      <c r="D114" s="379"/>
      <c r="E114" s="379"/>
      <c r="F114" s="360"/>
      <c r="G114" s="360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</row>
    <row r="115" ht="32.25" customHeight="1">
      <c r="A115" s="366">
        <v>15.0</v>
      </c>
      <c r="B115" s="383"/>
      <c r="C115" s="384"/>
      <c r="D115" s="379"/>
      <c r="E115" s="379"/>
      <c r="F115" s="360"/>
      <c r="G115" s="360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</row>
    <row r="116" ht="32.25" customHeight="1">
      <c r="A116" s="373"/>
      <c r="B116" s="385"/>
      <c r="C116" s="373"/>
      <c r="D116" s="373"/>
      <c r="E116" s="371" t="s">
        <v>144</v>
      </c>
      <c r="F116" s="386">
        <v>400.0</v>
      </c>
      <c r="G116" s="373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</row>
    <row r="117" ht="32.25" customHeight="1">
      <c r="A117" s="373"/>
      <c r="B117" s="385"/>
      <c r="C117" s="373"/>
      <c r="D117" s="373"/>
      <c r="E117" s="371" t="s">
        <v>145</v>
      </c>
      <c r="F117" s="386">
        <v>175.0</v>
      </c>
      <c r="G117" s="373"/>
      <c r="H117" s="355"/>
      <c r="I117" s="355"/>
      <c r="J117" s="355"/>
      <c r="K117" s="355"/>
      <c r="L117" s="355"/>
      <c r="M117" s="355"/>
      <c r="N117" s="355"/>
      <c r="O117" s="355"/>
      <c r="P117" s="355"/>
      <c r="Q117" s="355"/>
      <c r="R117" s="355"/>
    </row>
    <row r="118" ht="32.25" customHeight="1">
      <c r="A118" s="373"/>
      <c r="B118" s="385"/>
      <c r="C118" s="373"/>
      <c r="D118" s="373"/>
      <c r="E118" s="371" t="s">
        <v>146</v>
      </c>
      <c r="F118" s="386">
        <v>285.0</v>
      </c>
      <c r="G118" s="373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</row>
    <row r="119" ht="32.25" customHeight="1">
      <c r="A119" s="373"/>
      <c r="B119" s="385"/>
      <c r="C119" s="373"/>
      <c r="D119" s="373"/>
      <c r="E119" s="371" t="s">
        <v>147</v>
      </c>
      <c r="F119" s="386">
        <v>215.0</v>
      </c>
      <c r="G119" s="373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</row>
    <row r="120" ht="32.25" customHeight="1">
      <c r="A120" s="373"/>
      <c r="B120" s="385"/>
      <c r="C120" s="373"/>
      <c r="D120" s="373"/>
      <c r="E120" s="371" t="s">
        <v>148</v>
      </c>
      <c r="F120" s="387" t="s">
        <v>2072</v>
      </c>
      <c r="G120" s="373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</row>
    <row r="121" ht="32.25" customHeight="1">
      <c r="A121" s="352"/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</row>
    <row r="122" ht="32.25" customHeight="1">
      <c r="A122" s="102" t="s">
        <v>4</v>
      </c>
      <c r="B122" s="102" t="s">
        <v>5</v>
      </c>
      <c r="C122" s="102" t="s">
        <v>126</v>
      </c>
      <c r="D122" s="102" t="s">
        <v>6</v>
      </c>
      <c r="E122" s="102" t="s">
        <v>7</v>
      </c>
      <c r="F122" s="102" t="s">
        <v>127</v>
      </c>
      <c r="G122" s="103" t="s">
        <v>128</v>
      </c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</row>
    <row r="123" ht="32.25" customHeight="1">
      <c r="A123" s="104">
        <v>1.0</v>
      </c>
      <c r="B123" s="105">
        <v>46092.0</v>
      </c>
      <c r="C123" s="106" t="s">
        <v>1502</v>
      </c>
      <c r="D123" s="107" t="s">
        <v>2073</v>
      </c>
      <c r="E123" s="107" t="s">
        <v>343</v>
      </c>
      <c r="F123" s="108">
        <v>220.0</v>
      </c>
      <c r="G123" s="109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</row>
    <row r="124" ht="32.25" customHeight="1">
      <c r="A124" s="104">
        <v>2.0</v>
      </c>
      <c r="B124" s="120"/>
      <c r="C124" s="110"/>
      <c r="D124" s="107"/>
      <c r="E124" s="107" t="s">
        <v>1358</v>
      </c>
      <c r="F124" s="108">
        <v>50.0</v>
      </c>
      <c r="G124" s="109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</row>
    <row r="125" ht="32.25" customHeight="1">
      <c r="A125" s="104">
        <v>3.0</v>
      </c>
      <c r="B125" s="120"/>
      <c r="C125" s="110"/>
      <c r="D125" s="107"/>
      <c r="E125" s="107" t="s">
        <v>2074</v>
      </c>
      <c r="F125" s="108" t="s">
        <v>2075</v>
      </c>
      <c r="G125" s="109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</row>
    <row r="126" ht="32.25" customHeight="1">
      <c r="A126" s="104">
        <v>4.0</v>
      </c>
      <c r="B126" s="120"/>
      <c r="C126" s="110"/>
      <c r="D126" s="107"/>
      <c r="E126" s="107" t="s">
        <v>2076</v>
      </c>
      <c r="F126" s="108">
        <v>50.0</v>
      </c>
      <c r="G126" s="109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</row>
    <row r="127" ht="32.25" customHeight="1">
      <c r="A127" s="104">
        <v>5.0</v>
      </c>
      <c r="B127" s="120"/>
      <c r="C127" s="110"/>
      <c r="D127" s="107"/>
      <c r="E127" s="107"/>
      <c r="F127" s="108"/>
      <c r="G127" s="111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</row>
    <row r="128" ht="32.25" customHeight="1">
      <c r="A128" s="104">
        <v>6.0</v>
      </c>
      <c r="B128" s="120"/>
      <c r="C128" s="110"/>
      <c r="D128" s="107"/>
      <c r="E128" s="107"/>
      <c r="F128" s="388"/>
      <c r="G128" s="177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</row>
    <row r="129" ht="32.25" customHeight="1">
      <c r="A129" s="104">
        <v>7.0</v>
      </c>
      <c r="B129" s="120"/>
      <c r="C129" s="110"/>
      <c r="D129" s="107"/>
      <c r="E129" s="107"/>
      <c r="F129" s="111"/>
      <c r="G129" s="109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</row>
    <row r="130" ht="32.25" customHeight="1">
      <c r="A130" s="104">
        <v>8.0</v>
      </c>
      <c r="B130" s="120"/>
      <c r="C130" s="110"/>
      <c r="D130" s="107"/>
      <c r="E130" s="107"/>
      <c r="F130" s="111"/>
      <c r="G130" s="109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</row>
    <row r="131" ht="32.25" customHeight="1">
      <c r="A131" s="104">
        <v>9.0</v>
      </c>
      <c r="B131" s="120"/>
      <c r="C131" s="110"/>
      <c r="D131" s="107"/>
      <c r="E131" s="107"/>
      <c r="F131" s="111"/>
      <c r="G131" s="109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</row>
    <row r="132" ht="32.25" customHeight="1">
      <c r="A132" s="104">
        <v>10.0</v>
      </c>
      <c r="B132" s="120"/>
      <c r="C132" s="110"/>
      <c r="D132" s="107"/>
      <c r="E132" s="107"/>
      <c r="F132" s="108"/>
      <c r="G132" s="109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</row>
    <row r="133" ht="32.25" customHeight="1">
      <c r="A133" s="104">
        <v>11.0</v>
      </c>
      <c r="B133" s="120"/>
      <c r="C133" s="110"/>
      <c r="D133" s="107"/>
      <c r="E133" s="107"/>
      <c r="F133" s="109"/>
      <c r="G133" s="109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</row>
    <row r="134" ht="32.25" customHeight="1">
      <c r="A134" s="104">
        <v>12.0</v>
      </c>
      <c r="B134" s="120"/>
      <c r="C134" s="110"/>
      <c r="D134" s="107"/>
      <c r="E134" s="107"/>
      <c r="F134" s="108"/>
      <c r="G134" s="109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</row>
    <row r="135" ht="32.25" customHeight="1">
      <c r="A135" s="104">
        <v>13.0</v>
      </c>
      <c r="B135" s="120"/>
      <c r="C135" s="110"/>
      <c r="D135" s="107"/>
      <c r="E135" s="107"/>
      <c r="F135" s="108"/>
      <c r="G135" s="109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</row>
    <row r="136" ht="32.25" customHeight="1">
      <c r="A136" s="104">
        <v>14.0</v>
      </c>
      <c r="B136" s="120"/>
      <c r="C136" s="110"/>
      <c r="D136" s="107"/>
      <c r="E136" s="107"/>
      <c r="F136" s="108"/>
      <c r="G136" s="109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</row>
    <row r="137" ht="32.25" customHeight="1">
      <c r="A137" s="122">
        <v>15.0</v>
      </c>
      <c r="B137" s="123"/>
      <c r="C137" s="124"/>
      <c r="D137" s="107"/>
      <c r="E137" s="107"/>
      <c r="F137" s="108"/>
      <c r="G137" s="109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</row>
    <row r="138" ht="32.25" customHeight="1">
      <c r="A138" s="112"/>
      <c r="B138" s="113"/>
      <c r="C138" s="114"/>
      <c r="D138" s="114"/>
      <c r="E138" s="99"/>
      <c r="F138" s="126"/>
      <c r="G138" s="114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</row>
    <row r="139" ht="32.25" customHeight="1">
      <c r="A139" s="115"/>
      <c r="B139" s="113"/>
      <c r="C139" s="114"/>
      <c r="D139" s="114"/>
      <c r="E139" s="99"/>
      <c r="F139" s="100">
        <v>2290.0</v>
      </c>
      <c r="G139" s="114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</row>
    <row r="140" ht="32.25" customHeight="1">
      <c r="A140" s="115"/>
      <c r="B140" s="113"/>
      <c r="C140" s="114"/>
      <c r="D140" s="114"/>
      <c r="E140" s="99"/>
      <c r="F140" s="100">
        <v>440.0</v>
      </c>
      <c r="G140" s="114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</row>
    <row r="141" ht="32.25" customHeight="1">
      <c r="A141" s="115"/>
      <c r="B141" s="113"/>
      <c r="C141" s="114"/>
      <c r="D141" s="114"/>
      <c r="E141" s="99"/>
      <c r="F141" s="100">
        <v>330.0</v>
      </c>
      <c r="G141" s="114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</row>
    <row r="142" ht="32.25" customHeight="1">
      <c r="A142" s="115"/>
      <c r="B142" s="113"/>
      <c r="C142" s="114"/>
      <c r="D142" s="114"/>
      <c r="E142" s="99"/>
      <c r="F142" s="100">
        <v>1960.0</v>
      </c>
      <c r="G142" s="114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</row>
    <row r="143" ht="32.25" customHeight="1">
      <c r="A143" s="352"/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</row>
    <row r="144" ht="32.25" customHeight="1">
      <c r="A144" s="118"/>
      <c r="B144" s="119"/>
      <c r="C144" s="119"/>
      <c r="D144" s="119"/>
      <c r="E144" s="119"/>
      <c r="F144" s="119"/>
      <c r="G144" s="119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</row>
    <row r="145" ht="32.25" customHeight="1">
      <c r="A145" s="102" t="s">
        <v>4</v>
      </c>
      <c r="B145" s="102" t="s">
        <v>5</v>
      </c>
      <c r="C145" s="102" t="s">
        <v>126</v>
      </c>
      <c r="D145" s="102" t="s">
        <v>6</v>
      </c>
      <c r="E145" s="102" t="s">
        <v>7</v>
      </c>
      <c r="F145" s="102" t="s">
        <v>127</v>
      </c>
      <c r="G145" s="103" t="s">
        <v>128</v>
      </c>
      <c r="H145" s="313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</row>
    <row r="146" ht="32.25" customHeight="1">
      <c r="A146" s="104">
        <v>1.0</v>
      </c>
      <c r="B146" s="105">
        <v>46093.0</v>
      </c>
      <c r="C146" s="106" t="s">
        <v>310</v>
      </c>
      <c r="D146" s="107" t="s">
        <v>2036</v>
      </c>
      <c r="E146" s="107" t="s">
        <v>242</v>
      </c>
      <c r="F146" s="127">
        <v>35.0</v>
      </c>
      <c r="G146" s="108"/>
      <c r="H146" s="109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</row>
    <row r="147" ht="32.25" customHeight="1">
      <c r="A147" s="104">
        <v>2.0</v>
      </c>
      <c r="B147" s="120"/>
      <c r="C147" s="110"/>
      <c r="E147" s="107" t="s">
        <v>2077</v>
      </c>
      <c r="F147" s="127">
        <v>35.0</v>
      </c>
      <c r="G147" s="111"/>
      <c r="H147" s="109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</row>
    <row r="148" ht="32.25" customHeight="1">
      <c r="A148" s="104">
        <v>3.0</v>
      </c>
      <c r="B148" s="120"/>
      <c r="C148" s="110"/>
      <c r="E148" s="107" t="s">
        <v>2078</v>
      </c>
      <c r="F148" s="127">
        <v>70.0</v>
      </c>
      <c r="G148" s="108"/>
      <c r="H148" s="111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</row>
    <row r="149" ht="32.25" customHeight="1">
      <c r="A149" s="104">
        <v>4.0</v>
      </c>
      <c r="B149" s="120"/>
      <c r="C149" s="110"/>
      <c r="E149" s="107" t="s">
        <v>848</v>
      </c>
      <c r="F149" s="127">
        <v>40.0</v>
      </c>
      <c r="G149" s="108"/>
      <c r="H149" s="111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</row>
    <row r="150" ht="32.25" customHeight="1">
      <c r="A150" s="104">
        <v>5.0</v>
      </c>
      <c r="B150" s="120"/>
      <c r="C150" s="110"/>
      <c r="E150" s="107" t="s">
        <v>36</v>
      </c>
      <c r="F150" s="127">
        <v>35.0</v>
      </c>
      <c r="G150" s="111" t="s">
        <v>2079</v>
      </c>
      <c r="H150" s="109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</row>
    <row r="151" ht="32.25" customHeight="1">
      <c r="A151" s="104">
        <v>6.0</v>
      </c>
      <c r="B151" s="120"/>
      <c r="C151" s="110"/>
      <c r="E151" s="107" t="s">
        <v>235</v>
      </c>
      <c r="F151" s="348">
        <v>50.0</v>
      </c>
      <c r="H151" s="389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</row>
    <row r="152" ht="32.25" customHeight="1">
      <c r="A152" s="104">
        <v>7.0</v>
      </c>
      <c r="B152" s="120"/>
      <c r="C152" s="110"/>
      <c r="D152" s="107"/>
      <c r="E152" s="107"/>
      <c r="F152" s="108"/>
      <c r="G152" s="109"/>
      <c r="H152" s="389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</row>
    <row r="153" ht="32.25" customHeight="1">
      <c r="A153" s="104">
        <v>8.0</v>
      </c>
      <c r="B153" s="120"/>
      <c r="C153" s="106"/>
      <c r="D153" s="107"/>
      <c r="E153" s="107"/>
      <c r="F153" s="108"/>
      <c r="G153" s="109"/>
      <c r="H153" s="389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</row>
    <row r="154" ht="32.25" customHeight="1">
      <c r="A154" s="104">
        <v>9.0</v>
      </c>
      <c r="B154" s="120"/>
      <c r="C154" s="110"/>
      <c r="D154" s="107"/>
      <c r="E154" s="107"/>
      <c r="F154" s="108"/>
      <c r="G154" s="109"/>
      <c r="H154" s="389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</row>
    <row r="155" ht="32.25" customHeight="1">
      <c r="A155" s="104">
        <v>10.0</v>
      </c>
      <c r="B155" s="120"/>
      <c r="C155" s="110"/>
      <c r="D155" s="107"/>
      <c r="E155" s="107"/>
      <c r="F155" s="108"/>
      <c r="G155" s="109"/>
      <c r="H155" s="389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</row>
    <row r="156" ht="32.25" customHeight="1">
      <c r="A156" s="104">
        <v>11.0</v>
      </c>
      <c r="B156" s="120"/>
      <c r="C156" s="110"/>
      <c r="D156" s="107"/>
      <c r="E156" s="107"/>
      <c r="F156" s="108"/>
      <c r="G156" s="109"/>
      <c r="H156" s="389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</row>
    <row r="157" ht="32.25" customHeight="1">
      <c r="A157" s="104">
        <v>12.0</v>
      </c>
      <c r="B157" s="120"/>
      <c r="C157" s="110"/>
      <c r="D157" s="107"/>
      <c r="E157" s="107"/>
      <c r="F157" s="109"/>
      <c r="G157" s="111"/>
      <c r="H157" s="390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</row>
    <row r="158" ht="32.25" customHeight="1">
      <c r="A158" s="104">
        <v>13.0</v>
      </c>
      <c r="B158" s="120"/>
      <c r="C158" s="110"/>
      <c r="D158" s="107"/>
      <c r="E158" s="107"/>
      <c r="F158" s="121"/>
      <c r="G158" s="109"/>
      <c r="H158" s="389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</row>
    <row r="159" ht="32.25" customHeight="1">
      <c r="A159" s="104">
        <v>14.0</v>
      </c>
      <c r="B159" s="120"/>
      <c r="C159" s="110"/>
      <c r="D159" s="107"/>
      <c r="E159" s="107"/>
      <c r="F159" s="108"/>
      <c r="G159" s="109"/>
      <c r="H159" s="389"/>
      <c r="I159" s="352"/>
      <c r="J159" s="352"/>
      <c r="K159" s="352"/>
      <c r="L159" s="352"/>
      <c r="M159" s="352"/>
      <c r="N159" s="352"/>
      <c r="O159" s="352"/>
      <c r="P159" s="352"/>
      <c r="Q159" s="352"/>
      <c r="R159" s="352"/>
    </row>
    <row r="160" ht="32.25" customHeight="1">
      <c r="A160" s="122">
        <v>15.0</v>
      </c>
      <c r="B160" s="123"/>
      <c r="C160" s="124"/>
      <c r="D160" s="107"/>
      <c r="E160" s="125"/>
      <c r="F160" s="109"/>
      <c r="G160" s="109"/>
      <c r="H160" s="389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</row>
    <row r="161" ht="32.25" customHeight="1">
      <c r="A161" s="112"/>
      <c r="B161" s="113"/>
      <c r="C161" s="114"/>
      <c r="D161" s="114"/>
      <c r="E161" s="99" t="s">
        <v>144</v>
      </c>
      <c r="F161" s="131"/>
      <c r="G161" s="114"/>
      <c r="H161" s="369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</row>
    <row r="162" ht="32.25" customHeight="1">
      <c r="A162" s="115"/>
      <c r="B162" s="113"/>
      <c r="C162" s="114"/>
      <c r="D162" s="114"/>
      <c r="E162" s="99" t="s">
        <v>145</v>
      </c>
      <c r="F162" s="100">
        <v>265.0</v>
      </c>
      <c r="G162" s="114"/>
      <c r="H162" s="369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</row>
    <row r="163" ht="32.25" customHeight="1">
      <c r="A163" s="115"/>
      <c r="B163" s="113"/>
      <c r="C163" s="114"/>
      <c r="D163" s="114"/>
      <c r="E163" s="99" t="s">
        <v>146</v>
      </c>
      <c r="F163" s="100">
        <v>300.0</v>
      </c>
      <c r="G163" s="114"/>
      <c r="H163" s="369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</row>
    <row r="164" ht="32.25" customHeight="1">
      <c r="A164" s="115"/>
      <c r="B164" s="113"/>
      <c r="C164" s="114"/>
      <c r="D164" s="114"/>
      <c r="E164" s="99" t="s">
        <v>147</v>
      </c>
      <c r="F164" s="100">
        <v>225.0</v>
      </c>
      <c r="G164" s="114"/>
      <c r="H164" s="369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</row>
    <row r="165" ht="32.25" customHeight="1">
      <c r="A165" s="115"/>
      <c r="B165" s="113"/>
      <c r="C165" s="114"/>
      <c r="D165" s="114"/>
      <c r="E165" s="99" t="s">
        <v>148</v>
      </c>
      <c r="F165" s="100"/>
      <c r="G165" s="114"/>
      <c r="H165" s="369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</row>
    <row r="166" ht="32.25" customHeight="1">
      <c r="A166" s="118"/>
      <c r="B166" s="119"/>
      <c r="C166" s="119"/>
      <c r="D166" s="119"/>
      <c r="E166" s="119"/>
      <c r="F166" s="119"/>
      <c r="G166" s="119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</row>
    <row r="167" ht="32.25" customHeight="1">
      <c r="A167" s="102" t="s">
        <v>4</v>
      </c>
      <c r="B167" s="102" t="s">
        <v>5</v>
      </c>
      <c r="C167" s="102" t="s">
        <v>126</v>
      </c>
      <c r="D167" s="102" t="s">
        <v>6</v>
      </c>
      <c r="E167" s="102" t="s">
        <v>7</v>
      </c>
      <c r="F167" s="102" t="s">
        <v>127</v>
      </c>
      <c r="G167" s="103" t="s">
        <v>128</v>
      </c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</row>
    <row r="168" ht="32.25" customHeight="1">
      <c r="A168" s="104">
        <v>1.0</v>
      </c>
      <c r="B168" s="105">
        <v>46094.0</v>
      </c>
      <c r="C168" s="106" t="s">
        <v>239</v>
      </c>
      <c r="D168" s="107" t="s">
        <v>2036</v>
      </c>
      <c r="E168" s="107" t="s">
        <v>36</v>
      </c>
      <c r="F168" s="108"/>
      <c r="G168" s="109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</row>
    <row r="169" ht="32.25" customHeight="1">
      <c r="A169" s="104">
        <v>2.0</v>
      </c>
      <c r="B169" s="120"/>
      <c r="C169" s="110"/>
      <c r="D169" s="107"/>
      <c r="E169" s="107" t="s">
        <v>154</v>
      </c>
      <c r="F169" s="111" t="s">
        <v>2080</v>
      </c>
      <c r="G169" s="109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</row>
    <row r="170" ht="32.25" customHeight="1">
      <c r="A170" s="104">
        <v>3.0</v>
      </c>
      <c r="B170" s="120"/>
      <c r="C170" s="110"/>
      <c r="D170" s="107"/>
      <c r="E170" s="107"/>
      <c r="F170" s="111"/>
      <c r="G170" s="109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</row>
    <row r="171" ht="32.25" customHeight="1">
      <c r="A171" s="104">
        <v>4.0</v>
      </c>
      <c r="B171" s="120"/>
      <c r="C171" s="110"/>
      <c r="D171" s="107"/>
      <c r="E171" s="107"/>
      <c r="F171" s="108"/>
      <c r="G171" s="111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</row>
    <row r="172" ht="32.25" customHeight="1">
      <c r="A172" s="104">
        <v>5.0</v>
      </c>
      <c r="B172" s="120"/>
      <c r="C172" s="110"/>
      <c r="D172" s="107"/>
      <c r="E172" s="107"/>
      <c r="F172" s="108"/>
      <c r="G172" s="109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</row>
    <row r="173" ht="32.25" customHeight="1">
      <c r="A173" s="104">
        <v>6.0</v>
      </c>
      <c r="B173" s="120"/>
      <c r="C173" s="110"/>
      <c r="D173" s="107"/>
      <c r="E173" s="107"/>
      <c r="F173" s="108"/>
      <c r="G173" s="109"/>
      <c r="H173" s="352"/>
      <c r="I173" s="352"/>
      <c r="J173" s="352"/>
      <c r="K173" s="352"/>
      <c r="L173" s="352"/>
      <c r="M173" s="352"/>
      <c r="N173" s="352"/>
      <c r="O173" s="352"/>
      <c r="P173" s="352"/>
      <c r="Q173" s="352"/>
      <c r="R173" s="352"/>
    </row>
    <row r="174" ht="32.25" customHeight="1">
      <c r="A174" s="104">
        <v>7.0</v>
      </c>
      <c r="B174" s="120"/>
      <c r="C174" s="110"/>
      <c r="D174" s="107"/>
      <c r="E174" s="107"/>
      <c r="F174" s="108"/>
      <c r="G174" s="109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</row>
    <row r="175" ht="32.25" customHeight="1">
      <c r="A175" s="104">
        <v>8.0</v>
      </c>
      <c r="B175" s="120"/>
      <c r="C175" s="106"/>
      <c r="D175" s="107"/>
      <c r="E175" s="107"/>
      <c r="F175" s="108"/>
      <c r="G175" s="109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</row>
    <row r="176" ht="32.25" customHeight="1">
      <c r="A176" s="104">
        <v>9.0</v>
      </c>
      <c r="B176" s="120"/>
      <c r="C176" s="110"/>
      <c r="D176" s="107"/>
      <c r="E176" s="107"/>
      <c r="F176" s="108"/>
      <c r="G176" s="109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</row>
    <row r="177" ht="32.25" customHeight="1">
      <c r="A177" s="104">
        <v>10.0</v>
      </c>
      <c r="B177" s="120"/>
      <c r="C177" s="110"/>
      <c r="D177" s="107"/>
      <c r="E177" s="107"/>
      <c r="F177" s="108"/>
      <c r="G177" s="109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</row>
    <row r="178" ht="32.25" customHeight="1">
      <c r="A178" s="104">
        <v>11.0</v>
      </c>
      <c r="B178" s="120"/>
      <c r="C178" s="110"/>
      <c r="D178" s="107"/>
      <c r="E178" s="107"/>
      <c r="F178" s="108"/>
      <c r="G178" s="109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</row>
    <row r="179" ht="32.25" customHeight="1">
      <c r="A179" s="104">
        <v>12.0</v>
      </c>
      <c r="B179" s="120"/>
      <c r="C179" s="110"/>
      <c r="D179" s="107"/>
      <c r="E179" s="107"/>
      <c r="F179" s="109"/>
      <c r="G179" s="111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</row>
    <row r="180" ht="32.25" customHeight="1">
      <c r="A180" s="104">
        <v>13.0</v>
      </c>
      <c r="B180" s="120"/>
      <c r="C180" s="110"/>
      <c r="D180" s="107"/>
      <c r="E180" s="107"/>
      <c r="F180" s="121"/>
      <c r="G180" s="109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</row>
    <row r="181" ht="32.25" customHeight="1">
      <c r="A181" s="104">
        <v>14.0</v>
      </c>
      <c r="B181" s="120"/>
      <c r="C181" s="110"/>
      <c r="D181" s="107"/>
      <c r="E181" s="107"/>
      <c r="F181" s="108"/>
      <c r="G181" s="109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</row>
    <row r="182" ht="32.25" customHeight="1">
      <c r="A182" s="122">
        <v>15.0</v>
      </c>
      <c r="B182" s="123"/>
      <c r="C182" s="124"/>
      <c r="D182" s="107"/>
      <c r="E182" s="125"/>
      <c r="F182" s="109"/>
      <c r="G182" s="109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</row>
    <row r="183" ht="32.25" customHeight="1">
      <c r="A183" s="112"/>
      <c r="B183" s="113"/>
      <c r="C183" s="114"/>
      <c r="D183" s="114"/>
      <c r="E183" s="99" t="s">
        <v>144</v>
      </c>
      <c r="F183" s="131"/>
      <c r="G183" s="114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</row>
    <row r="184" ht="32.25" customHeight="1">
      <c r="A184" s="115"/>
      <c r="B184" s="113"/>
      <c r="C184" s="114"/>
      <c r="D184" s="114"/>
      <c r="E184" s="99" t="s">
        <v>145</v>
      </c>
      <c r="F184" s="100"/>
      <c r="G184" s="114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</row>
    <row r="185" ht="32.25" customHeight="1">
      <c r="A185" s="115"/>
      <c r="B185" s="113"/>
      <c r="C185" s="114"/>
      <c r="D185" s="114"/>
      <c r="E185" s="99" t="s">
        <v>146</v>
      </c>
      <c r="F185" s="100"/>
      <c r="G185" s="114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</row>
    <row r="186" ht="32.25" customHeight="1">
      <c r="A186" s="115"/>
      <c r="B186" s="113"/>
      <c r="C186" s="114"/>
      <c r="D186" s="114"/>
      <c r="E186" s="99" t="s">
        <v>147</v>
      </c>
      <c r="F186" s="100"/>
      <c r="G186" s="114"/>
      <c r="H186" s="352"/>
      <c r="I186" s="352"/>
      <c r="J186" s="352"/>
      <c r="K186" s="352"/>
      <c r="L186" s="352"/>
      <c r="M186" s="352"/>
      <c r="N186" s="352"/>
      <c r="O186" s="352"/>
      <c r="P186" s="352"/>
      <c r="Q186" s="352"/>
      <c r="R186" s="352"/>
    </row>
    <row r="187" ht="32.25" customHeight="1">
      <c r="A187" s="115"/>
      <c r="B187" s="113"/>
      <c r="C187" s="114"/>
      <c r="D187" s="114"/>
      <c r="E187" s="99" t="s">
        <v>148</v>
      </c>
      <c r="F187" s="100"/>
      <c r="G187" s="114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</row>
    <row r="188" ht="32.25" customHeight="1">
      <c r="A188" s="118"/>
      <c r="B188" s="119"/>
      <c r="C188" s="119"/>
      <c r="D188" s="119"/>
      <c r="E188" s="119"/>
      <c r="F188" s="119"/>
      <c r="G188" s="119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</row>
    <row r="189" ht="32.25" customHeight="1">
      <c r="A189" s="102" t="s">
        <v>4</v>
      </c>
      <c r="B189" s="102" t="s">
        <v>5</v>
      </c>
      <c r="C189" s="102" t="s">
        <v>126</v>
      </c>
      <c r="D189" s="102" t="s">
        <v>6</v>
      </c>
      <c r="E189" s="102" t="s">
        <v>7</v>
      </c>
      <c r="F189" s="102" t="s">
        <v>127</v>
      </c>
      <c r="G189" s="103" t="s">
        <v>128</v>
      </c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</row>
    <row r="190" ht="32.25" customHeight="1">
      <c r="A190" s="104">
        <v>1.0</v>
      </c>
      <c r="B190" s="105">
        <v>46095.0</v>
      </c>
      <c r="C190" s="106" t="s">
        <v>341</v>
      </c>
      <c r="D190" s="107"/>
      <c r="E190" s="107"/>
      <c r="F190" s="108"/>
      <c r="G190" s="109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</row>
    <row r="191" ht="32.25" customHeight="1">
      <c r="A191" s="104">
        <v>2.0</v>
      </c>
      <c r="B191" s="120"/>
      <c r="C191" s="110"/>
      <c r="D191" s="107"/>
      <c r="E191" s="107"/>
      <c r="F191" s="108"/>
      <c r="G191" s="109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</row>
    <row r="192" ht="32.25" customHeight="1">
      <c r="A192" s="104">
        <v>3.0</v>
      </c>
      <c r="B192" s="120"/>
      <c r="C192" s="110"/>
      <c r="D192" s="107"/>
      <c r="E192" s="107"/>
      <c r="F192" s="111"/>
      <c r="G192" s="109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</row>
    <row r="193" ht="32.25" customHeight="1">
      <c r="A193" s="104">
        <v>4.0</v>
      </c>
      <c r="B193" s="120"/>
      <c r="C193" s="110"/>
      <c r="D193" s="107"/>
      <c r="E193" s="107"/>
      <c r="F193" s="108"/>
      <c r="G193" s="111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</row>
    <row r="194" ht="32.25" customHeight="1">
      <c r="A194" s="104">
        <v>5.0</v>
      </c>
      <c r="B194" s="120"/>
      <c r="C194" s="110"/>
      <c r="D194" s="107"/>
      <c r="E194" s="107"/>
      <c r="F194" s="108"/>
      <c r="G194" s="109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</row>
    <row r="195" ht="32.25" customHeight="1">
      <c r="A195" s="104">
        <v>6.0</v>
      </c>
      <c r="B195" s="120"/>
      <c r="C195" s="110"/>
      <c r="D195" s="107"/>
      <c r="E195" s="107"/>
      <c r="F195" s="108"/>
      <c r="G195" s="109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</row>
    <row r="196" ht="32.25" customHeight="1">
      <c r="A196" s="104">
        <v>7.0</v>
      </c>
      <c r="B196" s="120"/>
      <c r="C196" s="110"/>
      <c r="D196" s="107"/>
      <c r="E196" s="107"/>
      <c r="F196" s="108"/>
      <c r="G196" s="109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</row>
    <row r="197" ht="32.25" customHeight="1">
      <c r="A197" s="104">
        <v>8.0</v>
      </c>
      <c r="B197" s="120"/>
      <c r="C197" s="106"/>
      <c r="D197" s="107"/>
      <c r="E197" s="107"/>
      <c r="F197" s="108"/>
      <c r="G197" s="109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</row>
    <row r="198" ht="32.25" customHeight="1">
      <c r="A198" s="104">
        <v>9.0</v>
      </c>
      <c r="B198" s="120"/>
      <c r="C198" s="110"/>
      <c r="D198" s="107"/>
      <c r="E198" s="107"/>
      <c r="F198" s="108"/>
      <c r="G198" s="109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</row>
    <row r="199" ht="32.25" customHeight="1">
      <c r="A199" s="104">
        <v>10.0</v>
      </c>
      <c r="B199" s="120"/>
      <c r="C199" s="110"/>
      <c r="D199" s="107"/>
      <c r="E199" s="107"/>
      <c r="F199" s="108"/>
      <c r="G199" s="109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</row>
    <row r="200" ht="32.25" customHeight="1">
      <c r="A200" s="104">
        <v>11.0</v>
      </c>
      <c r="B200" s="120"/>
      <c r="C200" s="110"/>
      <c r="D200" s="107"/>
      <c r="E200" s="107"/>
      <c r="F200" s="108"/>
      <c r="G200" s="109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</row>
    <row r="201" ht="32.25" customHeight="1">
      <c r="A201" s="104">
        <v>12.0</v>
      </c>
      <c r="B201" s="120"/>
      <c r="C201" s="110"/>
      <c r="D201" s="107"/>
      <c r="E201" s="107"/>
      <c r="F201" s="109"/>
      <c r="G201" s="111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</row>
    <row r="202" ht="32.25" customHeight="1">
      <c r="A202" s="104">
        <v>13.0</v>
      </c>
      <c r="B202" s="120"/>
      <c r="C202" s="110"/>
      <c r="D202" s="107"/>
      <c r="E202" s="107"/>
      <c r="F202" s="121"/>
      <c r="G202" s="109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</row>
    <row r="203" ht="32.25" customHeight="1">
      <c r="A203" s="104">
        <v>14.0</v>
      </c>
      <c r="B203" s="120"/>
      <c r="C203" s="110"/>
      <c r="D203" s="107"/>
      <c r="E203" s="107"/>
      <c r="F203" s="108"/>
      <c r="G203" s="109"/>
      <c r="H203" s="352"/>
      <c r="I203" s="352"/>
      <c r="J203" s="352"/>
      <c r="K203" s="352"/>
      <c r="L203" s="352"/>
      <c r="M203" s="352"/>
      <c r="N203" s="352"/>
      <c r="O203" s="352"/>
      <c r="P203" s="352"/>
      <c r="Q203" s="352"/>
      <c r="R203" s="352"/>
    </row>
    <row r="204" ht="32.25" customHeight="1">
      <c r="A204" s="122">
        <v>15.0</v>
      </c>
      <c r="B204" s="123"/>
      <c r="C204" s="124"/>
      <c r="D204" s="107"/>
      <c r="E204" s="125"/>
      <c r="F204" s="109"/>
      <c r="G204" s="109"/>
      <c r="H204" s="352"/>
      <c r="I204" s="352"/>
      <c r="J204" s="352"/>
      <c r="K204" s="352"/>
      <c r="L204" s="352"/>
      <c r="M204" s="352"/>
      <c r="N204" s="352"/>
      <c r="O204" s="352"/>
      <c r="P204" s="352"/>
      <c r="Q204" s="352"/>
      <c r="R204" s="352"/>
    </row>
    <row r="205" ht="32.25" customHeight="1">
      <c r="A205" s="112"/>
      <c r="B205" s="113"/>
      <c r="C205" s="114"/>
      <c r="D205" s="114"/>
      <c r="E205" s="99" t="s">
        <v>144</v>
      </c>
      <c r="F205" s="131"/>
      <c r="G205" s="114"/>
      <c r="H205" s="352"/>
      <c r="I205" s="352"/>
      <c r="J205" s="352"/>
      <c r="K205" s="352"/>
      <c r="L205" s="352"/>
      <c r="M205" s="352"/>
      <c r="N205" s="352"/>
      <c r="O205" s="352"/>
      <c r="P205" s="352"/>
      <c r="Q205" s="352"/>
      <c r="R205" s="352"/>
    </row>
    <row r="206" ht="32.25" customHeight="1">
      <c r="A206" s="115"/>
      <c r="B206" s="113"/>
      <c r="C206" s="114"/>
      <c r="D206" s="114"/>
      <c r="E206" s="99" t="s">
        <v>145</v>
      </c>
      <c r="F206" s="100"/>
      <c r="G206" s="114"/>
      <c r="H206" s="352"/>
      <c r="I206" s="352"/>
      <c r="J206" s="352"/>
      <c r="K206" s="352"/>
      <c r="L206" s="352"/>
      <c r="M206" s="352"/>
      <c r="N206" s="352"/>
      <c r="O206" s="352"/>
      <c r="P206" s="352"/>
      <c r="Q206" s="352"/>
      <c r="R206" s="352"/>
    </row>
    <row r="207" ht="32.25" customHeight="1">
      <c r="A207" s="115"/>
      <c r="B207" s="113"/>
      <c r="C207" s="114"/>
      <c r="D207" s="114"/>
      <c r="E207" s="99" t="s">
        <v>146</v>
      </c>
      <c r="F207" s="100"/>
      <c r="G207" s="114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</row>
    <row r="208" ht="32.25" customHeight="1">
      <c r="A208" s="115"/>
      <c r="B208" s="113"/>
      <c r="C208" s="114"/>
      <c r="D208" s="114"/>
      <c r="E208" s="99" t="s">
        <v>147</v>
      </c>
      <c r="F208" s="100"/>
      <c r="G208" s="114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</row>
    <row r="209" ht="32.25" customHeight="1">
      <c r="A209" s="115"/>
      <c r="B209" s="113"/>
      <c r="C209" s="114"/>
      <c r="D209" s="114"/>
      <c r="E209" s="99" t="s">
        <v>148</v>
      </c>
      <c r="F209" s="100"/>
      <c r="G209" s="114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</row>
    <row r="210" ht="32.25" customHeight="1">
      <c r="A210" s="118"/>
      <c r="B210" s="119"/>
      <c r="C210" s="119"/>
      <c r="D210" s="119"/>
      <c r="E210" s="119"/>
      <c r="F210" s="119"/>
      <c r="G210" s="119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</row>
    <row r="211" ht="32.25" customHeight="1">
      <c r="A211" s="102" t="s">
        <v>4</v>
      </c>
      <c r="B211" s="102" t="s">
        <v>5</v>
      </c>
      <c r="C211" s="102" t="s">
        <v>126</v>
      </c>
      <c r="D211" s="102" t="s">
        <v>6</v>
      </c>
      <c r="E211" s="102" t="s">
        <v>7</v>
      </c>
      <c r="F211" s="102" t="s">
        <v>127</v>
      </c>
      <c r="G211" s="103" t="s">
        <v>128</v>
      </c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</row>
    <row r="212" ht="32.25" customHeight="1">
      <c r="A212" s="104">
        <v>1.0</v>
      </c>
      <c r="B212" s="105">
        <v>46096.0</v>
      </c>
      <c r="C212" s="106" t="s">
        <v>129</v>
      </c>
      <c r="D212" s="107" t="s">
        <v>2036</v>
      </c>
      <c r="E212" s="107" t="s">
        <v>1409</v>
      </c>
      <c r="F212" s="108"/>
      <c r="G212" s="109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</row>
    <row r="213" ht="32.25" customHeight="1">
      <c r="A213" s="104">
        <v>2.0</v>
      </c>
      <c r="B213" s="120"/>
      <c r="C213" s="110"/>
      <c r="D213" s="107"/>
      <c r="E213" s="107" t="s">
        <v>2081</v>
      </c>
      <c r="F213" s="108"/>
      <c r="G213" s="109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</row>
    <row r="214" ht="32.25" customHeight="1">
      <c r="A214" s="104">
        <v>3.0</v>
      </c>
      <c r="B214" s="120"/>
      <c r="C214" s="110"/>
      <c r="D214" s="107"/>
      <c r="E214" s="107" t="s">
        <v>133</v>
      </c>
      <c r="F214" s="111"/>
      <c r="G214" s="109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</row>
    <row r="215" ht="32.25" customHeight="1">
      <c r="A215" s="104">
        <v>4.0</v>
      </c>
      <c r="B215" s="120"/>
      <c r="C215" s="110"/>
      <c r="D215" s="107"/>
      <c r="E215" s="107" t="s">
        <v>235</v>
      </c>
      <c r="F215" s="108"/>
      <c r="G215" s="111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</row>
    <row r="216" ht="32.25" customHeight="1">
      <c r="A216" s="104">
        <v>5.0</v>
      </c>
      <c r="B216" s="120"/>
      <c r="C216" s="110"/>
      <c r="D216" s="107"/>
      <c r="E216" s="107"/>
      <c r="F216" s="108"/>
      <c r="G216" s="109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</row>
    <row r="217" ht="32.25" customHeight="1">
      <c r="A217" s="104">
        <v>6.0</v>
      </c>
      <c r="B217" s="120"/>
      <c r="C217" s="110"/>
      <c r="D217" s="107"/>
      <c r="E217" s="107"/>
      <c r="F217" s="108"/>
      <c r="G217" s="109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</row>
    <row r="218" ht="32.25" customHeight="1">
      <c r="A218" s="104">
        <v>7.0</v>
      </c>
      <c r="B218" s="120"/>
      <c r="C218" s="110"/>
      <c r="D218" s="107"/>
      <c r="E218" s="107"/>
      <c r="F218" s="108"/>
      <c r="G218" s="109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</row>
    <row r="219" ht="32.25" customHeight="1">
      <c r="A219" s="104">
        <v>8.0</v>
      </c>
      <c r="B219" s="120"/>
      <c r="C219" s="106"/>
      <c r="D219" s="107"/>
      <c r="E219" s="107"/>
      <c r="F219" s="108"/>
      <c r="G219" s="109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</row>
    <row r="220" ht="32.25" customHeight="1">
      <c r="A220" s="104">
        <v>9.0</v>
      </c>
      <c r="B220" s="120"/>
      <c r="C220" s="110"/>
      <c r="D220" s="107"/>
      <c r="E220" s="107"/>
      <c r="F220" s="108"/>
      <c r="G220" s="109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</row>
    <row r="221" ht="32.25" customHeight="1">
      <c r="A221" s="104">
        <v>10.0</v>
      </c>
      <c r="B221" s="120"/>
      <c r="C221" s="110"/>
      <c r="D221" s="107"/>
      <c r="E221" s="107"/>
      <c r="F221" s="108"/>
      <c r="G221" s="109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</row>
    <row r="222" ht="32.25" customHeight="1">
      <c r="A222" s="104">
        <v>11.0</v>
      </c>
      <c r="B222" s="120"/>
      <c r="C222" s="110"/>
      <c r="D222" s="107"/>
      <c r="E222" s="107"/>
      <c r="F222" s="108"/>
      <c r="G222" s="109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</row>
    <row r="223" ht="32.25" customHeight="1">
      <c r="A223" s="104">
        <v>12.0</v>
      </c>
      <c r="B223" s="120"/>
      <c r="C223" s="110"/>
      <c r="D223" s="107"/>
      <c r="E223" s="107"/>
      <c r="F223" s="109"/>
      <c r="G223" s="111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</row>
    <row r="224" ht="32.25" customHeight="1">
      <c r="A224" s="104">
        <v>13.0</v>
      </c>
      <c r="B224" s="120"/>
      <c r="C224" s="110"/>
      <c r="D224" s="107"/>
      <c r="E224" s="107"/>
      <c r="F224" s="121"/>
      <c r="G224" s="109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</row>
    <row r="225" ht="32.25" customHeight="1">
      <c r="A225" s="104">
        <v>14.0</v>
      </c>
      <c r="B225" s="120"/>
      <c r="C225" s="110"/>
      <c r="D225" s="107"/>
      <c r="E225" s="107"/>
      <c r="F225" s="108"/>
      <c r="G225" s="109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</row>
    <row r="226" ht="32.25" customHeight="1">
      <c r="A226" s="122">
        <v>15.0</v>
      </c>
      <c r="B226" s="123"/>
      <c r="C226" s="124"/>
      <c r="D226" s="107"/>
      <c r="E226" s="125"/>
      <c r="F226" s="109"/>
      <c r="G226" s="109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</row>
    <row r="227" ht="32.25" customHeight="1">
      <c r="A227" s="112"/>
      <c r="B227" s="113"/>
      <c r="C227" s="114"/>
      <c r="D227" s="114"/>
      <c r="E227" s="99" t="s">
        <v>144</v>
      </c>
      <c r="F227" s="131"/>
      <c r="G227" s="114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</row>
    <row r="228" ht="32.25" customHeight="1">
      <c r="A228" s="115"/>
      <c r="B228" s="113"/>
      <c r="C228" s="114"/>
      <c r="D228" s="114"/>
      <c r="E228" s="99" t="s">
        <v>145</v>
      </c>
      <c r="F228" s="100"/>
      <c r="G228" s="114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</row>
    <row r="229" ht="32.25" customHeight="1">
      <c r="A229" s="115"/>
      <c r="B229" s="113"/>
      <c r="C229" s="114"/>
      <c r="D229" s="114"/>
      <c r="E229" s="99" t="s">
        <v>146</v>
      </c>
      <c r="F229" s="100"/>
      <c r="G229" s="114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</row>
    <row r="230" ht="32.25" customHeight="1">
      <c r="A230" s="115"/>
      <c r="B230" s="113"/>
      <c r="C230" s="114"/>
      <c r="D230" s="114"/>
      <c r="E230" s="99" t="s">
        <v>147</v>
      </c>
      <c r="F230" s="100"/>
      <c r="G230" s="114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</row>
    <row r="231" ht="32.25" customHeight="1">
      <c r="A231" s="115"/>
      <c r="B231" s="113"/>
      <c r="C231" s="114"/>
      <c r="D231" s="114"/>
      <c r="E231" s="99" t="s">
        <v>148</v>
      </c>
      <c r="F231" s="100"/>
      <c r="G231" s="114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</row>
    <row r="232" ht="32.25" customHeight="1">
      <c r="A232" s="118"/>
      <c r="B232" s="119"/>
      <c r="C232" s="119"/>
      <c r="D232" s="119"/>
      <c r="E232" s="119"/>
      <c r="F232" s="119"/>
      <c r="G232" s="119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</row>
    <row r="233" ht="32.25" customHeight="1">
      <c r="A233" s="102" t="s">
        <v>4</v>
      </c>
      <c r="B233" s="102" t="s">
        <v>5</v>
      </c>
      <c r="C233" s="102" t="s">
        <v>126</v>
      </c>
      <c r="D233" s="102" t="s">
        <v>6</v>
      </c>
      <c r="E233" s="102" t="s">
        <v>7</v>
      </c>
      <c r="F233" s="102" t="s">
        <v>127</v>
      </c>
      <c r="G233" s="103" t="s">
        <v>128</v>
      </c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</row>
    <row r="234" ht="32.25" customHeight="1">
      <c r="A234" s="104">
        <v>1.0</v>
      </c>
      <c r="B234" s="105">
        <v>46097.0</v>
      </c>
      <c r="C234" s="106" t="s">
        <v>261</v>
      </c>
      <c r="D234" s="107"/>
      <c r="E234" s="107"/>
      <c r="F234" s="108"/>
      <c r="G234" s="109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</row>
    <row r="235" ht="32.25" customHeight="1">
      <c r="A235" s="104">
        <v>2.0</v>
      </c>
      <c r="B235" s="120"/>
      <c r="C235" s="110"/>
      <c r="D235" s="107"/>
      <c r="E235" s="107"/>
      <c r="F235" s="108"/>
      <c r="G235" s="109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</row>
    <row r="236" ht="32.25" customHeight="1">
      <c r="A236" s="104">
        <v>3.0</v>
      </c>
      <c r="B236" s="120"/>
      <c r="C236" s="110"/>
      <c r="D236" s="107"/>
      <c r="E236" s="107"/>
      <c r="F236" s="111"/>
      <c r="G236" s="109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</row>
    <row r="237" ht="32.25" customHeight="1">
      <c r="A237" s="104">
        <v>4.0</v>
      </c>
      <c r="B237" s="120"/>
      <c r="C237" s="110"/>
      <c r="D237" s="107"/>
      <c r="E237" s="107"/>
      <c r="F237" s="108"/>
      <c r="G237" s="111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</row>
    <row r="238" ht="32.25" customHeight="1">
      <c r="A238" s="104">
        <v>5.0</v>
      </c>
      <c r="B238" s="120"/>
      <c r="C238" s="110"/>
      <c r="D238" s="107"/>
      <c r="E238" s="107"/>
      <c r="F238" s="108"/>
      <c r="G238" s="109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</row>
    <row r="239" ht="32.25" customHeight="1">
      <c r="A239" s="104">
        <v>6.0</v>
      </c>
      <c r="B239" s="120"/>
      <c r="C239" s="110"/>
      <c r="D239" s="107"/>
      <c r="E239" s="107"/>
      <c r="F239" s="108"/>
      <c r="G239" s="109"/>
      <c r="H239" s="352"/>
      <c r="I239" s="352"/>
      <c r="J239" s="352"/>
      <c r="K239" s="352"/>
      <c r="L239" s="352"/>
      <c r="M239" s="352"/>
      <c r="N239" s="352"/>
      <c r="O239" s="352"/>
      <c r="P239" s="352"/>
      <c r="Q239" s="352"/>
      <c r="R239" s="352"/>
    </row>
    <row r="240" ht="32.25" customHeight="1">
      <c r="A240" s="104">
        <v>7.0</v>
      </c>
      <c r="B240" s="120"/>
      <c r="C240" s="110"/>
      <c r="D240" s="107"/>
      <c r="E240" s="107"/>
      <c r="F240" s="108"/>
      <c r="G240" s="109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</row>
    <row r="241" ht="32.25" customHeight="1">
      <c r="A241" s="104">
        <v>8.0</v>
      </c>
      <c r="B241" s="120"/>
      <c r="C241" s="106"/>
      <c r="D241" s="107"/>
      <c r="E241" s="107"/>
      <c r="F241" s="108"/>
      <c r="G241" s="109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</row>
    <row r="242" ht="32.25" customHeight="1">
      <c r="A242" s="104">
        <v>9.0</v>
      </c>
      <c r="B242" s="120"/>
      <c r="C242" s="110"/>
      <c r="D242" s="107"/>
      <c r="E242" s="107"/>
      <c r="F242" s="108"/>
      <c r="G242" s="109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</row>
    <row r="243" ht="32.25" customHeight="1">
      <c r="A243" s="104">
        <v>10.0</v>
      </c>
      <c r="B243" s="120"/>
      <c r="C243" s="110"/>
      <c r="D243" s="107"/>
      <c r="E243" s="107"/>
      <c r="F243" s="108"/>
      <c r="G243" s="109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</row>
    <row r="244" ht="32.25" customHeight="1">
      <c r="A244" s="104">
        <v>11.0</v>
      </c>
      <c r="B244" s="120"/>
      <c r="C244" s="110"/>
      <c r="D244" s="107"/>
      <c r="E244" s="107"/>
      <c r="F244" s="108"/>
      <c r="G244" s="109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</row>
    <row r="245" ht="32.25" customHeight="1">
      <c r="A245" s="104">
        <v>12.0</v>
      </c>
      <c r="B245" s="120"/>
      <c r="C245" s="110"/>
      <c r="D245" s="107"/>
      <c r="E245" s="107"/>
      <c r="F245" s="109"/>
      <c r="G245" s="111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</row>
    <row r="246" ht="32.25" customHeight="1">
      <c r="A246" s="104">
        <v>13.0</v>
      </c>
      <c r="B246" s="120"/>
      <c r="C246" s="110"/>
      <c r="D246" s="107"/>
      <c r="E246" s="107"/>
      <c r="F246" s="121"/>
      <c r="G246" s="109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</row>
    <row r="247" ht="32.25" customHeight="1">
      <c r="A247" s="104">
        <v>14.0</v>
      </c>
      <c r="B247" s="120"/>
      <c r="C247" s="110"/>
      <c r="D247" s="107"/>
      <c r="E247" s="107"/>
      <c r="F247" s="108"/>
      <c r="G247" s="109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</row>
    <row r="248" ht="32.25" customHeight="1">
      <c r="A248" s="122">
        <v>15.0</v>
      </c>
      <c r="B248" s="123"/>
      <c r="C248" s="124"/>
      <c r="D248" s="107"/>
      <c r="E248" s="125"/>
      <c r="F248" s="109"/>
      <c r="G248" s="109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</row>
    <row r="249" ht="32.25" customHeight="1">
      <c r="A249" s="112"/>
      <c r="B249" s="113"/>
      <c r="C249" s="114"/>
      <c r="D249" s="114"/>
      <c r="E249" s="99" t="s">
        <v>144</v>
      </c>
      <c r="F249" s="131"/>
      <c r="G249" s="114"/>
      <c r="H249" s="352"/>
      <c r="I249" s="352"/>
      <c r="J249" s="352"/>
      <c r="K249" s="352"/>
      <c r="L249" s="352"/>
      <c r="M249" s="352"/>
      <c r="N249" s="352"/>
      <c r="O249" s="352"/>
      <c r="P249" s="352"/>
      <c r="Q249" s="352"/>
      <c r="R249" s="352"/>
    </row>
    <row r="250" ht="32.25" customHeight="1">
      <c r="A250" s="115"/>
      <c r="B250" s="113"/>
      <c r="C250" s="114"/>
      <c r="D250" s="114"/>
      <c r="E250" s="99" t="s">
        <v>145</v>
      </c>
      <c r="F250" s="100"/>
      <c r="G250" s="114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</row>
    <row r="251" ht="32.25" customHeight="1">
      <c r="A251" s="115"/>
      <c r="B251" s="113"/>
      <c r="C251" s="114"/>
      <c r="D251" s="114"/>
      <c r="E251" s="99" t="s">
        <v>146</v>
      </c>
      <c r="F251" s="100"/>
      <c r="G251" s="114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</row>
    <row r="252" ht="32.25" customHeight="1">
      <c r="A252" s="115"/>
      <c r="B252" s="113"/>
      <c r="C252" s="114"/>
      <c r="D252" s="114"/>
      <c r="E252" s="99" t="s">
        <v>147</v>
      </c>
      <c r="F252" s="100"/>
      <c r="G252" s="114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</row>
    <row r="253" ht="32.25" customHeight="1">
      <c r="A253" s="115"/>
      <c r="B253" s="113"/>
      <c r="C253" s="114"/>
      <c r="D253" s="114"/>
      <c r="E253" s="99" t="s">
        <v>148</v>
      </c>
      <c r="F253" s="100"/>
      <c r="G253" s="114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</row>
    <row r="254" ht="32.25" customHeight="1">
      <c r="A254" s="118"/>
      <c r="B254" s="119"/>
      <c r="C254" s="119"/>
      <c r="D254" s="119"/>
      <c r="E254" s="119"/>
      <c r="F254" s="119"/>
      <c r="G254" s="119"/>
      <c r="H254" s="352"/>
      <c r="I254" s="352"/>
      <c r="J254" s="352"/>
      <c r="K254" s="352"/>
      <c r="L254" s="352"/>
      <c r="M254" s="352"/>
      <c r="N254" s="352"/>
      <c r="O254" s="352"/>
      <c r="P254" s="352"/>
      <c r="Q254" s="352"/>
      <c r="R254" s="352"/>
    </row>
    <row r="255" ht="32.25" customHeight="1">
      <c r="A255" s="102" t="s">
        <v>4</v>
      </c>
      <c r="B255" s="102" t="s">
        <v>5</v>
      </c>
      <c r="C255" s="102" t="s">
        <v>126</v>
      </c>
      <c r="D255" s="102" t="s">
        <v>6</v>
      </c>
      <c r="E255" s="102" t="s">
        <v>7</v>
      </c>
      <c r="F255" s="102" t="s">
        <v>127</v>
      </c>
      <c r="G255" s="103" t="s">
        <v>128</v>
      </c>
      <c r="H255" s="352"/>
      <c r="I255" s="352"/>
      <c r="J255" s="352"/>
      <c r="K255" s="352"/>
      <c r="L255" s="352"/>
      <c r="M255" s="352"/>
      <c r="N255" s="352"/>
      <c r="O255" s="352"/>
      <c r="P255" s="352"/>
      <c r="Q255" s="352"/>
      <c r="R255" s="352"/>
    </row>
    <row r="256" ht="32.25" customHeight="1">
      <c r="A256" s="104">
        <v>1.0</v>
      </c>
      <c r="B256" s="105">
        <v>46098.0</v>
      </c>
      <c r="C256" s="106" t="s">
        <v>169</v>
      </c>
      <c r="D256" s="107"/>
      <c r="E256" s="107" t="s">
        <v>2082</v>
      </c>
      <c r="F256" s="111"/>
      <c r="G256" s="109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</row>
    <row r="257" ht="32.25" customHeight="1">
      <c r="A257" s="104">
        <v>2.0</v>
      </c>
      <c r="B257" s="120"/>
      <c r="C257" s="110"/>
      <c r="D257" s="107"/>
      <c r="E257" s="107" t="s">
        <v>2083</v>
      </c>
      <c r="F257" s="108"/>
      <c r="G257" s="109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</row>
    <row r="258" ht="32.25" customHeight="1">
      <c r="A258" s="104">
        <v>3.0</v>
      </c>
      <c r="B258" s="120"/>
      <c r="C258" s="110"/>
      <c r="D258" s="107"/>
      <c r="E258" s="107" t="s">
        <v>2084</v>
      </c>
      <c r="F258" s="111"/>
      <c r="G258" s="109"/>
      <c r="H258" s="352"/>
      <c r="I258" s="352"/>
      <c r="J258" s="352"/>
      <c r="K258" s="352"/>
      <c r="L258" s="352"/>
      <c r="M258" s="352"/>
      <c r="N258" s="352"/>
      <c r="O258" s="352"/>
      <c r="P258" s="352"/>
      <c r="Q258" s="352"/>
      <c r="R258" s="352"/>
    </row>
    <row r="259" ht="32.25" customHeight="1">
      <c r="A259" s="104">
        <v>4.0</v>
      </c>
      <c r="B259" s="120"/>
      <c r="C259" s="110"/>
      <c r="D259" s="107"/>
      <c r="E259" s="107" t="s">
        <v>2085</v>
      </c>
      <c r="F259" s="108"/>
      <c r="G259" s="111"/>
      <c r="H259" s="352"/>
      <c r="I259" s="352"/>
      <c r="J259" s="352"/>
      <c r="K259" s="352"/>
      <c r="L259" s="352"/>
      <c r="M259" s="352"/>
      <c r="N259" s="352"/>
      <c r="O259" s="352"/>
      <c r="P259" s="352"/>
      <c r="Q259" s="352"/>
      <c r="R259" s="352"/>
    </row>
    <row r="260" ht="32.25" customHeight="1">
      <c r="A260" s="104">
        <v>5.0</v>
      </c>
      <c r="B260" s="120"/>
      <c r="C260" s="110"/>
      <c r="D260" s="107"/>
      <c r="E260" s="107" t="s">
        <v>2086</v>
      </c>
      <c r="F260" s="108"/>
      <c r="G260" s="109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</row>
    <row r="261" ht="32.25" customHeight="1">
      <c r="A261" s="104">
        <v>6.0</v>
      </c>
      <c r="B261" s="120"/>
      <c r="C261" s="110"/>
      <c r="D261" s="107"/>
      <c r="E261" s="107" t="s">
        <v>2087</v>
      </c>
      <c r="F261" s="108"/>
      <c r="G261" s="109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</row>
    <row r="262" ht="32.25" customHeight="1">
      <c r="A262" s="104">
        <v>7.0</v>
      </c>
      <c r="B262" s="120"/>
      <c r="C262" s="110"/>
      <c r="D262" s="107"/>
      <c r="E262" s="107" t="s">
        <v>2088</v>
      </c>
      <c r="F262" s="108"/>
      <c r="G262" s="109"/>
      <c r="H262" s="352"/>
      <c r="I262" s="352"/>
      <c r="J262" s="352"/>
      <c r="K262" s="352"/>
      <c r="L262" s="352"/>
      <c r="M262" s="352"/>
      <c r="N262" s="352"/>
      <c r="O262" s="352"/>
      <c r="P262" s="352"/>
      <c r="Q262" s="352"/>
      <c r="R262" s="352"/>
    </row>
    <row r="263" ht="32.25" customHeight="1">
      <c r="A263" s="104">
        <v>8.0</v>
      </c>
      <c r="B263" s="120"/>
      <c r="C263" s="106"/>
      <c r="D263" s="107"/>
      <c r="E263" s="107" t="s">
        <v>2089</v>
      </c>
      <c r="F263" s="108"/>
      <c r="G263" s="109"/>
      <c r="H263" s="352"/>
      <c r="I263" s="352"/>
      <c r="J263" s="352"/>
      <c r="K263" s="352"/>
      <c r="L263" s="352"/>
      <c r="M263" s="352"/>
      <c r="N263" s="352"/>
      <c r="O263" s="352"/>
      <c r="P263" s="352"/>
      <c r="Q263" s="352"/>
      <c r="R263" s="352"/>
    </row>
    <row r="264" ht="32.25" customHeight="1">
      <c r="A264" s="104">
        <v>9.0</v>
      </c>
      <c r="B264" s="120"/>
      <c r="C264" s="110"/>
      <c r="D264" s="107"/>
      <c r="E264" s="107"/>
      <c r="F264" s="108"/>
      <c r="G264" s="109"/>
      <c r="H264" s="352"/>
      <c r="I264" s="352"/>
      <c r="J264" s="352"/>
      <c r="K264" s="352"/>
      <c r="L264" s="352"/>
      <c r="M264" s="352"/>
      <c r="N264" s="352"/>
      <c r="O264" s="352"/>
      <c r="P264" s="352"/>
      <c r="Q264" s="352"/>
      <c r="R264" s="352"/>
    </row>
    <row r="265" ht="32.25" customHeight="1">
      <c r="A265" s="104">
        <v>10.0</v>
      </c>
      <c r="B265" s="120"/>
      <c r="C265" s="110"/>
      <c r="D265" s="107"/>
      <c r="E265" s="107"/>
      <c r="F265" s="108"/>
      <c r="G265" s="109"/>
      <c r="H265" s="352"/>
      <c r="I265" s="352"/>
      <c r="J265" s="352"/>
      <c r="K265" s="352"/>
      <c r="L265" s="352"/>
      <c r="M265" s="352"/>
      <c r="N265" s="352"/>
      <c r="O265" s="352"/>
      <c r="P265" s="352"/>
      <c r="Q265" s="352"/>
      <c r="R265" s="352"/>
    </row>
    <row r="266" ht="32.25" customHeight="1">
      <c r="A266" s="104">
        <v>11.0</v>
      </c>
      <c r="B266" s="120"/>
      <c r="C266" s="110"/>
      <c r="D266" s="107"/>
      <c r="E266" s="107"/>
      <c r="F266" s="108"/>
      <c r="G266" s="109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</row>
    <row r="267" ht="32.25" customHeight="1">
      <c r="A267" s="104">
        <v>12.0</v>
      </c>
      <c r="B267" s="120"/>
      <c r="C267" s="110"/>
      <c r="D267" s="107"/>
      <c r="E267" s="107"/>
      <c r="F267" s="109"/>
      <c r="G267" s="111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</row>
    <row r="268" ht="32.25" customHeight="1">
      <c r="A268" s="104">
        <v>13.0</v>
      </c>
      <c r="B268" s="120"/>
      <c r="C268" s="110"/>
      <c r="D268" s="107"/>
      <c r="E268" s="107"/>
      <c r="F268" s="121"/>
      <c r="G268" s="109"/>
      <c r="H268" s="352"/>
      <c r="I268" s="352"/>
      <c r="J268" s="352"/>
      <c r="K268" s="352"/>
      <c r="L268" s="352"/>
      <c r="M268" s="352"/>
      <c r="N268" s="352"/>
      <c r="O268" s="352"/>
      <c r="P268" s="352"/>
      <c r="Q268" s="352"/>
      <c r="R268" s="352"/>
    </row>
    <row r="269" ht="32.25" customHeight="1">
      <c r="A269" s="104">
        <v>14.0</v>
      </c>
      <c r="B269" s="120"/>
      <c r="C269" s="110"/>
      <c r="D269" s="107"/>
      <c r="E269" s="107"/>
      <c r="F269" s="108"/>
      <c r="G269" s="109"/>
      <c r="H269" s="352"/>
      <c r="I269" s="352"/>
      <c r="J269" s="352"/>
      <c r="K269" s="352"/>
      <c r="L269" s="352"/>
      <c r="M269" s="352"/>
      <c r="N269" s="352"/>
      <c r="O269" s="352"/>
      <c r="P269" s="352"/>
      <c r="Q269" s="352"/>
      <c r="R269" s="352"/>
    </row>
    <row r="270" ht="32.25" customHeight="1">
      <c r="A270" s="122">
        <v>15.0</v>
      </c>
      <c r="B270" s="123"/>
      <c r="C270" s="124"/>
      <c r="D270" s="107"/>
      <c r="E270" s="125"/>
      <c r="F270" s="109"/>
      <c r="G270" s="109"/>
      <c r="H270" s="352"/>
      <c r="I270" s="352"/>
      <c r="J270" s="352"/>
      <c r="K270" s="352"/>
      <c r="L270" s="352"/>
      <c r="M270" s="352"/>
      <c r="N270" s="352"/>
      <c r="O270" s="352"/>
      <c r="P270" s="352"/>
      <c r="Q270" s="352"/>
      <c r="R270" s="352"/>
    </row>
    <row r="271" ht="32.25" customHeight="1">
      <c r="A271" s="112"/>
      <c r="B271" s="113"/>
      <c r="C271" s="114"/>
      <c r="D271" s="114"/>
      <c r="E271" s="99" t="s">
        <v>144</v>
      </c>
      <c r="F271" s="131"/>
      <c r="G271" s="220" t="s">
        <v>2090</v>
      </c>
      <c r="H271" s="352"/>
      <c r="I271" s="352"/>
      <c r="J271" s="352"/>
      <c r="K271" s="352"/>
      <c r="L271" s="352"/>
      <c r="M271" s="352"/>
      <c r="N271" s="352"/>
      <c r="O271" s="352"/>
      <c r="P271" s="352"/>
      <c r="Q271" s="352"/>
      <c r="R271" s="352"/>
    </row>
    <row r="272" ht="32.25" customHeight="1">
      <c r="A272" s="115"/>
      <c r="B272" s="113"/>
      <c r="C272" s="114"/>
      <c r="D272" s="114"/>
      <c r="E272" s="99" t="s">
        <v>145</v>
      </c>
      <c r="F272" s="100">
        <v>4040.0</v>
      </c>
      <c r="G272" s="114"/>
      <c r="H272" s="352"/>
      <c r="I272" s="352"/>
      <c r="J272" s="352"/>
      <c r="K272" s="352"/>
      <c r="L272" s="352"/>
      <c r="M272" s="352"/>
      <c r="N272" s="352"/>
      <c r="O272" s="352"/>
      <c r="P272" s="352"/>
      <c r="Q272" s="352"/>
      <c r="R272" s="352"/>
    </row>
    <row r="273" ht="32.25" customHeight="1">
      <c r="A273" s="115"/>
      <c r="B273" s="113"/>
      <c r="C273" s="114"/>
      <c r="D273" s="114"/>
      <c r="E273" s="99" t="s">
        <v>146</v>
      </c>
      <c r="F273" s="100">
        <v>340.0</v>
      </c>
      <c r="G273" s="114"/>
      <c r="H273" s="352"/>
      <c r="I273" s="352"/>
      <c r="J273" s="352"/>
      <c r="K273" s="352"/>
      <c r="L273" s="352"/>
      <c r="M273" s="352"/>
      <c r="N273" s="352"/>
      <c r="O273" s="352"/>
      <c r="P273" s="352"/>
      <c r="Q273" s="352"/>
      <c r="R273" s="352"/>
    </row>
    <row r="274" ht="32.25" customHeight="1">
      <c r="A274" s="115"/>
      <c r="B274" s="113"/>
      <c r="C274" s="114"/>
      <c r="D274" s="114"/>
      <c r="E274" s="99" t="s">
        <v>147</v>
      </c>
      <c r="F274" s="100">
        <v>255.0</v>
      </c>
      <c r="G274" s="114"/>
      <c r="H274" s="352"/>
      <c r="I274" s="352"/>
      <c r="J274" s="352"/>
      <c r="K274" s="352"/>
      <c r="L274" s="352"/>
      <c r="M274" s="352"/>
      <c r="N274" s="352"/>
      <c r="O274" s="352"/>
      <c r="P274" s="352"/>
      <c r="Q274" s="352"/>
      <c r="R274" s="352"/>
    </row>
    <row r="275" ht="32.25" customHeight="1">
      <c r="A275" s="115"/>
      <c r="B275" s="113"/>
      <c r="C275" s="114"/>
      <c r="D275" s="114"/>
      <c r="E275" s="99" t="s">
        <v>148</v>
      </c>
      <c r="F275" s="100">
        <v>3785.0</v>
      </c>
      <c r="G275" s="114"/>
      <c r="H275" s="352"/>
      <c r="I275" s="352"/>
      <c r="J275" s="352"/>
      <c r="K275" s="352"/>
      <c r="L275" s="352"/>
      <c r="M275" s="352"/>
      <c r="N275" s="352"/>
      <c r="O275" s="352"/>
      <c r="P275" s="352"/>
      <c r="Q275" s="352"/>
      <c r="R275" s="352"/>
    </row>
    <row r="276" ht="32.25" customHeight="1">
      <c r="A276" s="118"/>
      <c r="B276" s="119"/>
      <c r="C276" s="119"/>
      <c r="D276" s="119"/>
      <c r="E276" s="119"/>
      <c r="F276" s="119"/>
      <c r="G276" s="119"/>
      <c r="H276" s="352"/>
      <c r="I276" s="352"/>
      <c r="J276" s="352"/>
      <c r="K276" s="352"/>
      <c r="L276" s="352"/>
      <c r="M276" s="352"/>
      <c r="N276" s="352"/>
      <c r="O276" s="352"/>
      <c r="P276" s="352"/>
      <c r="Q276" s="352"/>
      <c r="R276" s="352"/>
    </row>
    <row r="277" ht="32.25" customHeight="1">
      <c r="A277" s="102" t="s">
        <v>4</v>
      </c>
      <c r="B277" s="102" t="s">
        <v>5</v>
      </c>
      <c r="C277" s="102" t="s">
        <v>126</v>
      </c>
      <c r="D277" s="102" t="s">
        <v>6</v>
      </c>
      <c r="E277" s="102" t="s">
        <v>7</v>
      </c>
      <c r="F277" s="102" t="s">
        <v>127</v>
      </c>
      <c r="G277" s="103" t="s">
        <v>128</v>
      </c>
      <c r="H277" s="352"/>
      <c r="I277" s="352"/>
      <c r="J277" s="352"/>
      <c r="K277" s="352"/>
      <c r="L277" s="352"/>
      <c r="M277" s="352"/>
      <c r="N277" s="352"/>
      <c r="O277" s="352"/>
      <c r="P277" s="352"/>
      <c r="Q277" s="352"/>
      <c r="R277" s="352"/>
    </row>
    <row r="278" ht="32.25" customHeight="1">
      <c r="A278" s="104">
        <v>1.0</v>
      </c>
      <c r="B278" s="105">
        <v>46099.0</v>
      </c>
      <c r="C278" s="106" t="s">
        <v>299</v>
      </c>
      <c r="D278" s="107"/>
      <c r="E278" s="107"/>
      <c r="F278" s="108"/>
      <c r="G278" s="109"/>
      <c r="H278" s="352"/>
      <c r="I278" s="352"/>
      <c r="J278" s="352"/>
      <c r="K278" s="352"/>
      <c r="L278" s="352"/>
      <c r="M278" s="352"/>
      <c r="N278" s="352"/>
      <c r="O278" s="352"/>
      <c r="P278" s="352"/>
      <c r="Q278" s="352"/>
      <c r="R278" s="352"/>
    </row>
    <row r="279" ht="32.25" customHeight="1">
      <c r="A279" s="104">
        <v>2.0</v>
      </c>
      <c r="B279" s="120"/>
      <c r="C279" s="110"/>
      <c r="D279" s="107"/>
      <c r="E279" s="107"/>
      <c r="F279" s="108"/>
      <c r="G279" s="109"/>
      <c r="H279" s="352"/>
      <c r="I279" s="352"/>
      <c r="J279" s="352"/>
      <c r="K279" s="352"/>
      <c r="L279" s="352"/>
      <c r="M279" s="352"/>
      <c r="N279" s="352"/>
      <c r="O279" s="352"/>
      <c r="P279" s="352"/>
      <c r="Q279" s="352"/>
      <c r="R279" s="352"/>
    </row>
    <row r="280" ht="32.25" customHeight="1">
      <c r="A280" s="104">
        <v>3.0</v>
      </c>
      <c r="B280" s="120"/>
      <c r="C280" s="110"/>
      <c r="D280" s="107"/>
      <c r="E280" s="107"/>
      <c r="F280" s="111"/>
      <c r="G280" s="109"/>
      <c r="H280" s="352"/>
      <c r="I280" s="352"/>
      <c r="J280" s="352"/>
      <c r="K280" s="352"/>
      <c r="L280" s="352"/>
      <c r="M280" s="352"/>
      <c r="N280" s="352"/>
      <c r="O280" s="352"/>
      <c r="P280" s="352"/>
      <c r="Q280" s="352"/>
      <c r="R280" s="352"/>
    </row>
    <row r="281" ht="32.25" customHeight="1">
      <c r="A281" s="104">
        <v>4.0</v>
      </c>
      <c r="B281" s="120"/>
      <c r="C281" s="110"/>
      <c r="D281" s="107"/>
      <c r="E281" s="107"/>
      <c r="F281" s="108"/>
      <c r="G281" s="111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</row>
    <row r="282" ht="32.25" customHeight="1">
      <c r="A282" s="104">
        <v>5.0</v>
      </c>
      <c r="B282" s="120"/>
      <c r="C282" s="110"/>
      <c r="D282" s="107"/>
      <c r="E282" s="107"/>
      <c r="F282" s="108"/>
      <c r="G282" s="109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</row>
    <row r="283" ht="32.25" customHeight="1">
      <c r="A283" s="104">
        <v>6.0</v>
      </c>
      <c r="B283" s="120"/>
      <c r="C283" s="110"/>
      <c r="D283" s="107"/>
      <c r="E283" s="107"/>
      <c r="F283" s="108"/>
      <c r="G283" s="109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</row>
    <row r="284" ht="32.25" customHeight="1">
      <c r="A284" s="104">
        <v>7.0</v>
      </c>
      <c r="B284" s="120"/>
      <c r="C284" s="110"/>
      <c r="D284" s="107"/>
      <c r="E284" s="107"/>
      <c r="F284" s="108"/>
      <c r="G284" s="109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</row>
    <row r="285" ht="32.25" customHeight="1">
      <c r="A285" s="104">
        <v>8.0</v>
      </c>
      <c r="B285" s="120"/>
      <c r="C285" s="106"/>
      <c r="D285" s="107"/>
      <c r="E285" s="107"/>
      <c r="F285" s="108"/>
      <c r="G285" s="109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</row>
    <row r="286" ht="32.25" customHeight="1">
      <c r="A286" s="104">
        <v>9.0</v>
      </c>
      <c r="B286" s="120"/>
      <c r="C286" s="110"/>
      <c r="D286" s="107"/>
      <c r="E286" s="107"/>
      <c r="F286" s="108"/>
      <c r="G286" s="109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</row>
    <row r="287" ht="32.25" customHeight="1">
      <c r="A287" s="104">
        <v>10.0</v>
      </c>
      <c r="B287" s="120"/>
      <c r="C287" s="110"/>
      <c r="D287" s="107"/>
      <c r="E287" s="107"/>
      <c r="F287" s="108"/>
      <c r="G287" s="109"/>
      <c r="H287" s="352"/>
      <c r="I287" s="352"/>
      <c r="J287" s="352"/>
      <c r="K287" s="352"/>
      <c r="L287" s="352"/>
      <c r="M287" s="352"/>
      <c r="N287" s="352"/>
      <c r="O287" s="352"/>
      <c r="P287" s="352"/>
      <c r="Q287" s="352"/>
      <c r="R287" s="352"/>
    </row>
    <row r="288" ht="32.25" customHeight="1">
      <c r="A288" s="104">
        <v>11.0</v>
      </c>
      <c r="B288" s="120"/>
      <c r="C288" s="110"/>
      <c r="D288" s="107"/>
      <c r="E288" s="107"/>
      <c r="F288" s="108"/>
      <c r="G288" s="109"/>
      <c r="H288" s="352"/>
      <c r="I288" s="352"/>
      <c r="J288" s="352"/>
      <c r="K288" s="352"/>
      <c r="L288" s="352"/>
      <c r="M288" s="352"/>
      <c r="N288" s="352"/>
      <c r="O288" s="352"/>
      <c r="P288" s="352"/>
      <c r="Q288" s="352"/>
      <c r="R288" s="352"/>
    </row>
    <row r="289" ht="32.25" customHeight="1">
      <c r="A289" s="104">
        <v>12.0</v>
      </c>
      <c r="B289" s="120"/>
      <c r="C289" s="110"/>
      <c r="D289" s="107"/>
      <c r="E289" s="107"/>
      <c r="F289" s="109"/>
      <c r="G289" s="111"/>
      <c r="H289" s="352"/>
      <c r="I289" s="352"/>
      <c r="J289" s="352"/>
      <c r="K289" s="352"/>
      <c r="L289" s="352"/>
      <c r="M289" s="352"/>
      <c r="N289" s="352"/>
      <c r="O289" s="352"/>
      <c r="P289" s="352"/>
      <c r="Q289" s="352"/>
      <c r="R289" s="352"/>
    </row>
    <row r="290" ht="32.25" customHeight="1">
      <c r="A290" s="104">
        <v>13.0</v>
      </c>
      <c r="B290" s="120"/>
      <c r="C290" s="110"/>
      <c r="D290" s="107"/>
      <c r="E290" s="107"/>
      <c r="F290" s="121"/>
      <c r="G290" s="109"/>
      <c r="H290" s="352"/>
      <c r="I290" s="352"/>
      <c r="J290" s="352"/>
      <c r="K290" s="352"/>
      <c r="L290" s="352"/>
      <c r="M290" s="352"/>
      <c r="N290" s="352"/>
      <c r="O290" s="352"/>
      <c r="P290" s="352"/>
      <c r="Q290" s="352"/>
      <c r="R290" s="352"/>
    </row>
    <row r="291" ht="32.25" customHeight="1">
      <c r="A291" s="104">
        <v>14.0</v>
      </c>
      <c r="B291" s="120"/>
      <c r="C291" s="110"/>
      <c r="D291" s="107"/>
      <c r="E291" s="107"/>
      <c r="F291" s="108"/>
      <c r="G291" s="109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</row>
    <row r="292" ht="32.25" customHeight="1">
      <c r="A292" s="122">
        <v>15.0</v>
      </c>
      <c r="B292" s="123"/>
      <c r="C292" s="124"/>
      <c r="D292" s="107"/>
      <c r="E292" s="125"/>
      <c r="F292" s="109"/>
      <c r="G292" s="109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</row>
    <row r="293" ht="32.25" customHeight="1">
      <c r="A293" s="112"/>
      <c r="B293" s="113"/>
      <c r="C293" s="114"/>
      <c r="D293" s="114"/>
      <c r="E293" s="99" t="s">
        <v>144</v>
      </c>
      <c r="F293" s="131"/>
      <c r="G293" s="114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</row>
    <row r="294" ht="32.25" customHeight="1">
      <c r="A294" s="115"/>
      <c r="B294" s="113"/>
      <c r="C294" s="114"/>
      <c r="D294" s="114"/>
      <c r="E294" s="99" t="s">
        <v>145</v>
      </c>
      <c r="F294" s="100"/>
      <c r="G294" s="114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</row>
    <row r="295" ht="32.25" customHeight="1">
      <c r="A295" s="115"/>
      <c r="B295" s="113"/>
      <c r="C295" s="114"/>
      <c r="D295" s="114"/>
      <c r="E295" s="99" t="s">
        <v>146</v>
      </c>
      <c r="F295" s="100"/>
      <c r="G295" s="114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</row>
    <row r="296" ht="32.25" customHeight="1">
      <c r="A296" s="115"/>
      <c r="B296" s="113"/>
      <c r="C296" s="114"/>
      <c r="D296" s="114"/>
      <c r="E296" s="99" t="s">
        <v>147</v>
      </c>
      <c r="F296" s="100"/>
      <c r="G296" s="114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</row>
    <row r="297" ht="32.25" customHeight="1">
      <c r="A297" s="115"/>
      <c r="B297" s="113"/>
      <c r="C297" s="114"/>
      <c r="D297" s="114"/>
      <c r="E297" s="99" t="s">
        <v>148</v>
      </c>
      <c r="F297" s="100"/>
      <c r="G297" s="114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</row>
    <row r="298" ht="32.25" customHeight="1">
      <c r="A298" s="118"/>
      <c r="B298" s="119"/>
      <c r="C298" s="119"/>
      <c r="D298" s="119"/>
      <c r="E298" s="119"/>
      <c r="F298" s="119"/>
      <c r="G298" s="119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</row>
    <row r="299" ht="32.25" customHeight="1">
      <c r="A299" s="102" t="s">
        <v>4</v>
      </c>
      <c r="B299" s="102" t="s">
        <v>5</v>
      </c>
      <c r="C299" s="102" t="s">
        <v>126</v>
      </c>
      <c r="D299" s="102" t="s">
        <v>6</v>
      </c>
      <c r="E299" s="102" t="s">
        <v>7</v>
      </c>
      <c r="F299" s="102" t="s">
        <v>127</v>
      </c>
      <c r="G299" s="103" t="s">
        <v>128</v>
      </c>
      <c r="H299" s="352"/>
      <c r="I299" s="352"/>
      <c r="J299" s="352"/>
      <c r="K299" s="352"/>
      <c r="L299" s="352"/>
      <c r="M299" s="352"/>
      <c r="N299" s="352"/>
      <c r="O299" s="352"/>
      <c r="P299" s="352"/>
      <c r="Q299" s="352"/>
      <c r="R299" s="352"/>
    </row>
    <row r="300" ht="32.25" customHeight="1">
      <c r="A300" s="104">
        <v>1.0</v>
      </c>
      <c r="B300" s="105">
        <v>46100.0</v>
      </c>
      <c r="C300" s="106" t="s">
        <v>211</v>
      </c>
      <c r="D300" s="107"/>
      <c r="E300" s="107"/>
      <c r="F300" s="108"/>
      <c r="G300" s="109"/>
      <c r="H300" s="352"/>
      <c r="I300" s="352"/>
      <c r="J300" s="352"/>
      <c r="K300" s="352"/>
      <c r="L300" s="352"/>
      <c r="M300" s="352"/>
      <c r="N300" s="352"/>
      <c r="O300" s="352"/>
      <c r="P300" s="352"/>
      <c r="Q300" s="352"/>
      <c r="R300" s="352"/>
    </row>
    <row r="301" ht="32.25" customHeight="1">
      <c r="A301" s="104">
        <v>2.0</v>
      </c>
      <c r="B301" s="120"/>
      <c r="C301" s="110"/>
      <c r="D301" s="107"/>
      <c r="E301" s="107"/>
      <c r="F301" s="108"/>
      <c r="G301" s="109"/>
      <c r="H301" s="352"/>
      <c r="I301" s="352"/>
      <c r="J301" s="352"/>
      <c r="K301" s="352"/>
      <c r="L301" s="352"/>
      <c r="M301" s="352"/>
      <c r="N301" s="352"/>
      <c r="O301" s="352"/>
      <c r="P301" s="352"/>
      <c r="Q301" s="352"/>
      <c r="R301" s="352"/>
    </row>
    <row r="302" ht="32.25" customHeight="1">
      <c r="A302" s="104">
        <v>3.0</v>
      </c>
      <c r="B302" s="120"/>
      <c r="C302" s="110"/>
      <c r="D302" s="107"/>
      <c r="E302" s="107"/>
      <c r="F302" s="111"/>
      <c r="G302" s="109"/>
      <c r="H302" s="352"/>
      <c r="I302" s="352"/>
      <c r="J302" s="352"/>
      <c r="K302" s="352"/>
      <c r="L302" s="352"/>
      <c r="M302" s="352"/>
      <c r="N302" s="352"/>
      <c r="O302" s="352"/>
      <c r="P302" s="352"/>
      <c r="Q302" s="352"/>
      <c r="R302" s="352"/>
    </row>
    <row r="303" ht="32.25" customHeight="1">
      <c r="A303" s="104">
        <v>4.0</v>
      </c>
      <c r="B303" s="120"/>
      <c r="C303" s="110"/>
      <c r="D303" s="107"/>
      <c r="E303" s="107"/>
      <c r="F303" s="108"/>
      <c r="G303" s="111"/>
      <c r="H303" s="352"/>
      <c r="I303" s="352"/>
      <c r="J303" s="352"/>
      <c r="K303" s="352"/>
      <c r="L303" s="352"/>
      <c r="M303" s="352"/>
      <c r="N303" s="352"/>
      <c r="O303" s="352"/>
      <c r="P303" s="352"/>
      <c r="Q303" s="352"/>
      <c r="R303" s="352"/>
    </row>
    <row r="304" ht="32.25" customHeight="1">
      <c r="A304" s="104">
        <v>5.0</v>
      </c>
      <c r="B304" s="120"/>
      <c r="C304" s="110"/>
      <c r="D304" s="107"/>
      <c r="E304" s="107"/>
      <c r="F304" s="108"/>
      <c r="G304" s="109"/>
      <c r="H304" s="352"/>
      <c r="I304" s="352"/>
      <c r="J304" s="352"/>
      <c r="K304" s="352"/>
      <c r="L304" s="352"/>
      <c r="M304" s="352"/>
      <c r="N304" s="352"/>
      <c r="O304" s="352"/>
      <c r="P304" s="352"/>
      <c r="Q304" s="352"/>
      <c r="R304" s="352"/>
    </row>
    <row r="305" ht="32.25" customHeight="1">
      <c r="A305" s="104">
        <v>6.0</v>
      </c>
      <c r="B305" s="120"/>
      <c r="C305" s="110"/>
      <c r="D305" s="107"/>
      <c r="E305" s="107"/>
      <c r="F305" s="108"/>
      <c r="G305" s="109"/>
      <c r="H305" s="352"/>
      <c r="I305" s="352"/>
      <c r="J305" s="352"/>
      <c r="K305" s="352"/>
      <c r="L305" s="352"/>
      <c r="M305" s="352"/>
      <c r="N305" s="352"/>
      <c r="O305" s="352"/>
      <c r="P305" s="352"/>
      <c r="Q305" s="352"/>
      <c r="R305" s="352"/>
    </row>
    <row r="306" ht="32.25" customHeight="1">
      <c r="A306" s="104">
        <v>7.0</v>
      </c>
      <c r="B306" s="120"/>
      <c r="C306" s="110"/>
      <c r="D306" s="107"/>
      <c r="E306" s="107"/>
      <c r="F306" s="108"/>
      <c r="G306" s="109"/>
      <c r="H306" s="352"/>
      <c r="I306" s="352"/>
      <c r="J306" s="352"/>
      <c r="K306" s="352"/>
      <c r="L306" s="352"/>
      <c r="M306" s="352"/>
      <c r="N306" s="352"/>
      <c r="O306" s="352"/>
      <c r="P306" s="352"/>
      <c r="Q306" s="352"/>
      <c r="R306" s="352"/>
    </row>
    <row r="307" ht="32.25" customHeight="1">
      <c r="A307" s="104">
        <v>8.0</v>
      </c>
      <c r="B307" s="120"/>
      <c r="C307" s="106"/>
      <c r="D307" s="107"/>
      <c r="E307" s="107"/>
      <c r="F307" s="108"/>
      <c r="G307" s="109"/>
      <c r="H307" s="352"/>
      <c r="I307" s="352"/>
      <c r="J307" s="352"/>
      <c r="K307" s="352"/>
      <c r="L307" s="352"/>
      <c r="M307" s="352"/>
      <c r="N307" s="352"/>
      <c r="O307" s="352"/>
      <c r="P307" s="352"/>
      <c r="Q307" s="352"/>
      <c r="R307" s="352"/>
    </row>
    <row r="308" ht="32.25" customHeight="1">
      <c r="A308" s="104">
        <v>9.0</v>
      </c>
      <c r="B308" s="120"/>
      <c r="C308" s="110"/>
      <c r="D308" s="107"/>
      <c r="E308" s="107"/>
      <c r="F308" s="108"/>
      <c r="G308" s="109"/>
      <c r="H308" s="352"/>
      <c r="I308" s="352"/>
      <c r="J308" s="352"/>
      <c r="K308" s="352"/>
      <c r="L308" s="352"/>
      <c r="M308" s="352"/>
      <c r="N308" s="352"/>
      <c r="O308" s="352"/>
      <c r="P308" s="352"/>
      <c r="Q308" s="352"/>
      <c r="R308" s="352"/>
    </row>
    <row r="309" ht="32.25" customHeight="1">
      <c r="A309" s="104">
        <v>10.0</v>
      </c>
      <c r="B309" s="120"/>
      <c r="C309" s="110"/>
      <c r="D309" s="107"/>
      <c r="E309" s="107"/>
      <c r="F309" s="108"/>
      <c r="G309" s="109"/>
      <c r="H309" s="352"/>
      <c r="I309" s="352"/>
      <c r="J309" s="352"/>
      <c r="K309" s="352"/>
      <c r="L309" s="352"/>
      <c r="M309" s="352"/>
      <c r="N309" s="352"/>
      <c r="O309" s="352"/>
      <c r="P309" s="352"/>
      <c r="Q309" s="352"/>
      <c r="R309" s="352"/>
    </row>
    <row r="310" ht="32.25" customHeight="1">
      <c r="A310" s="104">
        <v>11.0</v>
      </c>
      <c r="B310" s="120"/>
      <c r="C310" s="110"/>
      <c r="D310" s="107"/>
      <c r="E310" s="107"/>
      <c r="F310" s="108"/>
      <c r="G310" s="109"/>
      <c r="H310" s="352"/>
      <c r="I310" s="352"/>
      <c r="J310" s="352"/>
      <c r="K310" s="352"/>
      <c r="L310" s="352"/>
      <c r="M310" s="352"/>
      <c r="N310" s="352"/>
      <c r="O310" s="352"/>
      <c r="P310" s="352"/>
      <c r="Q310" s="352"/>
      <c r="R310" s="352"/>
    </row>
    <row r="311" ht="32.25" customHeight="1">
      <c r="A311" s="104">
        <v>12.0</v>
      </c>
      <c r="B311" s="120"/>
      <c r="C311" s="110"/>
      <c r="D311" s="107"/>
      <c r="E311" s="107"/>
      <c r="F311" s="109"/>
      <c r="G311" s="111"/>
      <c r="H311" s="352"/>
      <c r="I311" s="352"/>
      <c r="J311" s="352"/>
      <c r="K311" s="352"/>
      <c r="L311" s="352"/>
      <c r="M311" s="352"/>
      <c r="N311" s="352"/>
      <c r="O311" s="352"/>
      <c r="P311" s="352"/>
      <c r="Q311" s="352"/>
      <c r="R311" s="352"/>
    </row>
    <row r="312" ht="32.25" customHeight="1">
      <c r="A312" s="104">
        <v>13.0</v>
      </c>
      <c r="B312" s="120"/>
      <c r="C312" s="110"/>
      <c r="D312" s="107"/>
      <c r="E312" s="107"/>
      <c r="F312" s="121"/>
      <c r="G312" s="109"/>
      <c r="H312" s="352"/>
      <c r="I312" s="352"/>
      <c r="J312" s="352"/>
      <c r="K312" s="352"/>
      <c r="L312" s="352"/>
      <c r="M312" s="352"/>
      <c r="N312" s="352"/>
      <c r="O312" s="352"/>
      <c r="P312" s="352"/>
      <c r="Q312" s="352"/>
      <c r="R312" s="352"/>
    </row>
    <row r="313" ht="32.25" customHeight="1">
      <c r="A313" s="104">
        <v>14.0</v>
      </c>
      <c r="B313" s="120"/>
      <c r="C313" s="110"/>
      <c r="D313" s="107"/>
      <c r="E313" s="107"/>
      <c r="F313" s="108"/>
      <c r="G313" s="109"/>
      <c r="H313" s="352"/>
      <c r="I313" s="352"/>
      <c r="J313" s="352"/>
      <c r="K313" s="352"/>
      <c r="L313" s="352"/>
      <c r="M313" s="352"/>
      <c r="N313" s="352"/>
      <c r="O313" s="352"/>
      <c r="P313" s="352"/>
      <c r="Q313" s="352"/>
      <c r="R313" s="352"/>
    </row>
    <row r="314" ht="32.25" customHeight="1">
      <c r="A314" s="122">
        <v>15.0</v>
      </c>
      <c r="B314" s="123"/>
      <c r="C314" s="124"/>
      <c r="D314" s="107"/>
      <c r="E314" s="125"/>
      <c r="F314" s="109"/>
      <c r="G314" s="109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</row>
    <row r="315" ht="32.25" customHeight="1">
      <c r="A315" s="112"/>
      <c r="B315" s="113"/>
      <c r="C315" s="114"/>
      <c r="D315" s="114"/>
      <c r="E315" s="99" t="s">
        <v>144</v>
      </c>
      <c r="F315" s="131"/>
      <c r="G315" s="114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</row>
    <row r="316" ht="32.25" customHeight="1">
      <c r="A316" s="115"/>
      <c r="B316" s="113"/>
      <c r="C316" s="114"/>
      <c r="D316" s="114"/>
      <c r="E316" s="99" t="s">
        <v>145</v>
      </c>
      <c r="F316" s="100"/>
      <c r="G316" s="114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</row>
    <row r="317" ht="32.25" customHeight="1">
      <c r="A317" s="115"/>
      <c r="B317" s="113"/>
      <c r="C317" s="114"/>
      <c r="D317" s="114"/>
      <c r="E317" s="99" t="s">
        <v>146</v>
      </c>
      <c r="F317" s="100"/>
      <c r="G317" s="114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</row>
    <row r="318" ht="32.25" customHeight="1">
      <c r="A318" s="115"/>
      <c r="B318" s="113"/>
      <c r="C318" s="114"/>
      <c r="D318" s="114"/>
      <c r="E318" s="99" t="s">
        <v>147</v>
      </c>
      <c r="F318" s="100"/>
      <c r="G318" s="114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</row>
    <row r="319" ht="32.25" customHeight="1">
      <c r="A319" s="115"/>
      <c r="B319" s="113"/>
      <c r="C319" s="114"/>
      <c r="D319" s="114"/>
      <c r="E319" s="99" t="s">
        <v>148</v>
      </c>
      <c r="F319" s="100"/>
      <c r="G319" s="114"/>
      <c r="H319" s="352"/>
      <c r="I319" s="352"/>
      <c r="J319" s="352"/>
      <c r="K319" s="352"/>
      <c r="L319" s="352"/>
      <c r="M319" s="352"/>
      <c r="N319" s="352"/>
      <c r="O319" s="352"/>
      <c r="P319" s="352"/>
      <c r="Q319" s="352"/>
      <c r="R319" s="352"/>
    </row>
    <row r="320" ht="32.25" customHeight="1">
      <c r="A320" s="118"/>
      <c r="B320" s="119"/>
      <c r="C320" s="119"/>
      <c r="D320" s="119"/>
      <c r="E320" s="119"/>
      <c r="F320" s="119"/>
      <c r="G320" s="119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</row>
    <row r="321" ht="32.25" customHeight="1">
      <c r="A321" s="102" t="s">
        <v>4</v>
      </c>
      <c r="B321" s="102" t="s">
        <v>5</v>
      </c>
      <c r="C321" s="102" t="s">
        <v>126</v>
      </c>
      <c r="D321" s="102" t="s">
        <v>6</v>
      </c>
      <c r="E321" s="102" t="s">
        <v>7</v>
      </c>
      <c r="F321" s="102" t="s">
        <v>127</v>
      </c>
      <c r="G321" s="103" t="s">
        <v>128</v>
      </c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</row>
    <row r="322" ht="32.25" customHeight="1">
      <c r="A322" s="104">
        <v>1.0</v>
      </c>
      <c r="B322" s="105">
        <v>46101.0</v>
      </c>
      <c r="C322" s="106" t="s">
        <v>239</v>
      </c>
      <c r="D322" s="107"/>
      <c r="E322" s="107"/>
      <c r="F322" s="108"/>
      <c r="G322" s="109"/>
      <c r="H322" s="352"/>
      <c r="I322" s="352"/>
      <c r="J322" s="352"/>
      <c r="K322" s="352"/>
      <c r="L322" s="352"/>
      <c r="M322" s="352"/>
      <c r="N322" s="352"/>
      <c r="O322" s="352"/>
      <c r="P322" s="352"/>
      <c r="Q322" s="352"/>
      <c r="R322" s="352"/>
    </row>
    <row r="323" ht="32.25" customHeight="1">
      <c r="A323" s="104">
        <v>2.0</v>
      </c>
      <c r="B323" s="120"/>
      <c r="C323" s="110"/>
      <c r="D323" s="107"/>
      <c r="E323" s="107"/>
      <c r="F323" s="108"/>
      <c r="G323" s="109"/>
      <c r="H323" s="352"/>
      <c r="I323" s="352"/>
      <c r="J323" s="352"/>
      <c r="K323" s="352"/>
      <c r="L323" s="352"/>
      <c r="M323" s="352"/>
      <c r="N323" s="352"/>
      <c r="O323" s="352"/>
      <c r="P323" s="352"/>
      <c r="Q323" s="352"/>
      <c r="R323" s="352"/>
    </row>
    <row r="324" ht="32.25" customHeight="1">
      <c r="A324" s="104">
        <v>3.0</v>
      </c>
      <c r="B324" s="120"/>
      <c r="C324" s="110"/>
      <c r="D324" s="107"/>
      <c r="E324" s="107"/>
      <c r="F324" s="111"/>
      <c r="G324" s="109"/>
      <c r="H324" s="352"/>
      <c r="I324" s="352"/>
      <c r="J324" s="352"/>
      <c r="K324" s="352"/>
      <c r="L324" s="352"/>
      <c r="M324" s="352"/>
      <c r="N324" s="352"/>
      <c r="O324" s="352"/>
      <c r="P324" s="352"/>
      <c r="Q324" s="352"/>
      <c r="R324" s="352"/>
    </row>
    <row r="325" ht="32.25" customHeight="1">
      <c r="A325" s="104">
        <v>4.0</v>
      </c>
      <c r="B325" s="120"/>
      <c r="C325" s="110"/>
      <c r="D325" s="107"/>
      <c r="E325" s="107"/>
      <c r="F325" s="108"/>
      <c r="G325" s="111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</row>
    <row r="326" ht="32.25" customHeight="1">
      <c r="A326" s="104">
        <v>5.0</v>
      </c>
      <c r="B326" s="120"/>
      <c r="C326" s="110"/>
      <c r="D326" s="107"/>
      <c r="E326" s="107"/>
      <c r="F326" s="108"/>
      <c r="G326" s="109"/>
      <c r="H326" s="352"/>
      <c r="I326" s="352"/>
      <c r="J326" s="352"/>
      <c r="K326" s="352"/>
      <c r="L326" s="352"/>
      <c r="M326" s="352"/>
      <c r="N326" s="352"/>
      <c r="O326" s="352"/>
      <c r="P326" s="352"/>
      <c r="Q326" s="352"/>
      <c r="R326" s="352"/>
    </row>
    <row r="327" ht="32.25" customHeight="1">
      <c r="A327" s="104">
        <v>6.0</v>
      </c>
      <c r="B327" s="120"/>
      <c r="C327" s="110"/>
      <c r="D327" s="107"/>
      <c r="E327" s="107"/>
      <c r="F327" s="108"/>
      <c r="G327" s="109"/>
      <c r="H327" s="352"/>
      <c r="I327" s="352"/>
      <c r="J327" s="352"/>
      <c r="K327" s="352"/>
      <c r="L327" s="352"/>
      <c r="M327" s="352"/>
      <c r="N327" s="352"/>
      <c r="O327" s="352"/>
      <c r="P327" s="352"/>
      <c r="Q327" s="352"/>
      <c r="R327" s="352"/>
    </row>
    <row r="328" ht="32.25" customHeight="1">
      <c r="A328" s="104">
        <v>7.0</v>
      </c>
      <c r="B328" s="120"/>
      <c r="C328" s="110"/>
      <c r="D328" s="107"/>
      <c r="E328" s="107"/>
      <c r="F328" s="108"/>
      <c r="G328" s="109"/>
      <c r="H328" s="352"/>
      <c r="I328" s="352"/>
      <c r="J328" s="352"/>
      <c r="K328" s="352"/>
      <c r="L328" s="352"/>
      <c r="M328" s="352"/>
      <c r="N328" s="352"/>
      <c r="O328" s="352"/>
      <c r="P328" s="352"/>
      <c r="Q328" s="352"/>
      <c r="R328" s="352"/>
    </row>
    <row r="329" ht="32.25" customHeight="1">
      <c r="A329" s="104">
        <v>8.0</v>
      </c>
      <c r="B329" s="120"/>
      <c r="C329" s="106"/>
      <c r="D329" s="107"/>
      <c r="E329" s="107"/>
      <c r="F329" s="108"/>
      <c r="G329" s="109"/>
      <c r="H329" s="352"/>
      <c r="I329" s="352"/>
      <c r="J329" s="352"/>
      <c r="K329" s="352"/>
      <c r="L329" s="352"/>
      <c r="M329" s="352"/>
      <c r="N329" s="352"/>
      <c r="O329" s="352"/>
      <c r="P329" s="352"/>
      <c r="Q329" s="352"/>
      <c r="R329" s="352"/>
    </row>
    <row r="330" ht="32.25" customHeight="1">
      <c r="A330" s="104">
        <v>9.0</v>
      </c>
      <c r="B330" s="120"/>
      <c r="C330" s="110"/>
      <c r="D330" s="107"/>
      <c r="E330" s="107"/>
      <c r="F330" s="108"/>
      <c r="G330" s="109"/>
      <c r="H330" s="352"/>
      <c r="I330" s="352"/>
      <c r="J330" s="352"/>
      <c r="K330" s="352"/>
      <c r="L330" s="352"/>
      <c r="M330" s="352"/>
      <c r="N330" s="352"/>
      <c r="O330" s="352"/>
      <c r="P330" s="352"/>
      <c r="Q330" s="352"/>
      <c r="R330" s="352"/>
    </row>
    <row r="331" ht="32.25" customHeight="1">
      <c r="A331" s="104">
        <v>10.0</v>
      </c>
      <c r="B331" s="120"/>
      <c r="C331" s="110"/>
      <c r="D331" s="107"/>
      <c r="E331" s="107"/>
      <c r="F331" s="108"/>
      <c r="G331" s="109"/>
      <c r="H331" s="352"/>
      <c r="I331" s="352"/>
      <c r="J331" s="352"/>
      <c r="K331" s="352"/>
      <c r="L331" s="352"/>
      <c r="M331" s="352"/>
      <c r="N331" s="352"/>
      <c r="O331" s="352"/>
      <c r="P331" s="352"/>
      <c r="Q331" s="352"/>
      <c r="R331" s="352"/>
    </row>
    <row r="332" ht="32.25" customHeight="1">
      <c r="A332" s="104">
        <v>11.0</v>
      </c>
      <c r="B332" s="120"/>
      <c r="C332" s="110"/>
      <c r="D332" s="107"/>
      <c r="E332" s="107"/>
      <c r="F332" s="108"/>
      <c r="G332" s="109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</row>
    <row r="333" ht="32.25" customHeight="1">
      <c r="A333" s="104">
        <v>12.0</v>
      </c>
      <c r="B333" s="120"/>
      <c r="C333" s="110"/>
      <c r="D333" s="107"/>
      <c r="E333" s="107"/>
      <c r="F333" s="109"/>
      <c r="G333" s="111"/>
      <c r="H333" s="352"/>
      <c r="I333" s="352"/>
      <c r="J333" s="352"/>
      <c r="K333" s="352"/>
      <c r="L333" s="352"/>
      <c r="M333" s="352"/>
      <c r="N333" s="352"/>
      <c r="O333" s="352"/>
      <c r="P333" s="352"/>
      <c r="Q333" s="352"/>
      <c r="R333" s="352"/>
    </row>
    <row r="334" ht="32.25" customHeight="1">
      <c r="A334" s="104">
        <v>13.0</v>
      </c>
      <c r="B334" s="120"/>
      <c r="C334" s="110"/>
      <c r="D334" s="107"/>
      <c r="E334" s="107"/>
      <c r="F334" s="121"/>
      <c r="G334" s="109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</row>
    <row r="335" ht="32.25" customHeight="1">
      <c r="A335" s="104">
        <v>14.0</v>
      </c>
      <c r="B335" s="120"/>
      <c r="C335" s="110"/>
      <c r="D335" s="107"/>
      <c r="E335" s="107"/>
      <c r="F335" s="108"/>
      <c r="G335" s="109"/>
      <c r="H335" s="352"/>
      <c r="I335" s="352"/>
      <c r="J335" s="352"/>
      <c r="K335" s="352"/>
      <c r="L335" s="352"/>
      <c r="M335" s="352"/>
      <c r="N335" s="352"/>
      <c r="O335" s="352"/>
      <c r="P335" s="352"/>
      <c r="Q335" s="352"/>
      <c r="R335" s="352"/>
    </row>
    <row r="336" ht="32.25" customHeight="1">
      <c r="A336" s="122">
        <v>15.0</v>
      </c>
      <c r="B336" s="123"/>
      <c r="C336" s="124"/>
      <c r="D336" s="107"/>
      <c r="E336" s="125"/>
      <c r="F336" s="109"/>
      <c r="G336" s="109"/>
      <c r="H336" s="352"/>
      <c r="I336" s="352"/>
      <c r="J336" s="352"/>
      <c r="K336" s="352"/>
      <c r="L336" s="352"/>
      <c r="M336" s="352"/>
      <c r="N336" s="352"/>
      <c r="O336" s="352"/>
      <c r="P336" s="352"/>
      <c r="Q336" s="352"/>
      <c r="R336" s="352"/>
    </row>
    <row r="337" ht="32.25" customHeight="1">
      <c r="A337" s="112"/>
      <c r="B337" s="113"/>
      <c r="C337" s="114"/>
      <c r="D337" s="114"/>
      <c r="E337" s="99" t="s">
        <v>144</v>
      </c>
      <c r="F337" s="131"/>
      <c r="G337" s="114"/>
      <c r="H337" s="352"/>
      <c r="I337" s="352"/>
      <c r="J337" s="352"/>
      <c r="K337" s="352"/>
      <c r="L337" s="352"/>
      <c r="M337" s="352"/>
      <c r="N337" s="352"/>
      <c r="O337" s="352"/>
      <c r="P337" s="352"/>
      <c r="Q337" s="352"/>
      <c r="R337" s="352"/>
    </row>
    <row r="338" ht="32.25" customHeight="1">
      <c r="A338" s="115"/>
      <c r="B338" s="113"/>
      <c r="C338" s="114"/>
      <c r="D338" s="114"/>
      <c r="E338" s="99" t="s">
        <v>145</v>
      </c>
      <c r="F338" s="100"/>
      <c r="G338" s="114"/>
      <c r="H338" s="352"/>
      <c r="I338" s="352"/>
      <c r="J338" s="352"/>
      <c r="K338" s="352"/>
      <c r="L338" s="352"/>
      <c r="M338" s="352"/>
      <c r="N338" s="352"/>
      <c r="O338" s="352"/>
      <c r="P338" s="352"/>
      <c r="Q338" s="352"/>
      <c r="R338" s="352"/>
    </row>
    <row r="339" ht="32.25" customHeight="1">
      <c r="A339" s="115"/>
      <c r="B339" s="113"/>
      <c r="C339" s="114"/>
      <c r="D339" s="114"/>
      <c r="E339" s="99" t="s">
        <v>146</v>
      </c>
      <c r="F339" s="100"/>
      <c r="G339" s="114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</row>
    <row r="340" ht="32.25" customHeight="1">
      <c r="A340" s="115"/>
      <c r="B340" s="113"/>
      <c r="C340" s="114"/>
      <c r="D340" s="114"/>
      <c r="E340" s="99" t="s">
        <v>147</v>
      </c>
      <c r="F340" s="100"/>
      <c r="G340" s="114"/>
      <c r="H340" s="352"/>
      <c r="I340" s="352"/>
      <c r="J340" s="352"/>
      <c r="K340" s="352"/>
      <c r="L340" s="352"/>
      <c r="M340" s="352"/>
      <c r="N340" s="352"/>
      <c r="O340" s="352"/>
      <c r="P340" s="352"/>
      <c r="Q340" s="352"/>
      <c r="R340" s="352"/>
    </row>
    <row r="341" ht="32.25" customHeight="1">
      <c r="A341" s="115"/>
      <c r="B341" s="113"/>
      <c r="C341" s="114"/>
      <c r="D341" s="114"/>
      <c r="E341" s="99" t="s">
        <v>148</v>
      </c>
      <c r="F341" s="100"/>
      <c r="G341" s="114"/>
      <c r="H341" s="352"/>
      <c r="I341" s="352"/>
      <c r="J341" s="352"/>
      <c r="K341" s="352"/>
      <c r="L341" s="352"/>
      <c r="M341" s="352"/>
      <c r="N341" s="352"/>
      <c r="O341" s="352"/>
      <c r="P341" s="352"/>
      <c r="Q341" s="352"/>
      <c r="R341" s="352"/>
    </row>
    <row r="342" ht="32.25" customHeight="1">
      <c r="A342" s="352"/>
      <c r="B342" s="352"/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352"/>
      <c r="N342" s="352"/>
      <c r="O342" s="352"/>
      <c r="P342" s="352"/>
      <c r="Q342" s="352"/>
      <c r="R342" s="352"/>
    </row>
    <row r="343" ht="32.25" customHeight="1">
      <c r="A343" s="102" t="s">
        <v>4</v>
      </c>
      <c r="B343" s="102" t="s">
        <v>5</v>
      </c>
      <c r="C343" s="102" t="s">
        <v>126</v>
      </c>
      <c r="D343" s="102" t="s">
        <v>6</v>
      </c>
      <c r="E343" s="102" t="s">
        <v>7</v>
      </c>
      <c r="F343" s="102" t="s">
        <v>127</v>
      </c>
      <c r="G343" s="102" t="s">
        <v>128</v>
      </c>
      <c r="H343" s="313"/>
      <c r="I343" s="352"/>
      <c r="J343" s="352"/>
      <c r="K343" s="352"/>
      <c r="L343" s="352"/>
      <c r="M343" s="352"/>
      <c r="N343" s="352"/>
      <c r="O343" s="352"/>
      <c r="P343" s="352"/>
      <c r="Q343" s="352"/>
      <c r="R343" s="352"/>
    </row>
    <row r="344" ht="32.25" customHeight="1">
      <c r="A344" s="102">
        <v>1.0</v>
      </c>
      <c r="B344" s="147">
        <v>46105.0</v>
      </c>
      <c r="C344" s="148" t="s">
        <v>169</v>
      </c>
      <c r="D344" s="107"/>
      <c r="E344" s="107"/>
      <c r="F344" s="108"/>
      <c r="G344" s="108"/>
      <c r="H344" s="391"/>
      <c r="I344" s="352"/>
      <c r="J344" s="352"/>
      <c r="K344" s="352"/>
      <c r="L344" s="352"/>
      <c r="M344" s="352"/>
      <c r="N344" s="352"/>
      <c r="O344" s="352"/>
      <c r="P344" s="352"/>
      <c r="Q344" s="352"/>
      <c r="R344" s="352"/>
    </row>
    <row r="345" ht="32.25" customHeight="1">
      <c r="A345" s="102">
        <v>2.0</v>
      </c>
      <c r="B345" s="123"/>
      <c r="C345" s="123"/>
      <c r="D345" s="107"/>
      <c r="E345" s="107"/>
      <c r="F345" s="108"/>
      <c r="G345" s="108"/>
      <c r="H345" s="391"/>
      <c r="I345" s="352"/>
      <c r="J345" s="352"/>
      <c r="K345" s="352"/>
      <c r="L345" s="352"/>
      <c r="M345" s="352"/>
      <c r="N345" s="352"/>
      <c r="O345" s="352"/>
      <c r="P345" s="352"/>
      <c r="Q345" s="352"/>
      <c r="R345" s="352"/>
    </row>
    <row r="346" ht="32.25" customHeight="1">
      <c r="A346" s="102">
        <v>3.0</v>
      </c>
      <c r="B346" s="123"/>
      <c r="C346" s="123"/>
      <c r="D346" s="107"/>
      <c r="E346" s="107"/>
      <c r="F346" s="108"/>
      <c r="G346" s="108"/>
      <c r="H346" s="391"/>
      <c r="I346" s="352"/>
      <c r="J346" s="352"/>
      <c r="K346" s="352"/>
      <c r="L346" s="352"/>
      <c r="M346" s="352"/>
      <c r="N346" s="352"/>
      <c r="O346" s="352"/>
      <c r="P346" s="352"/>
      <c r="Q346" s="352"/>
      <c r="R346" s="352"/>
    </row>
    <row r="347" ht="32.25" customHeight="1">
      <c r="A347" s="102">
        <v>4.0</v>
      </c>
      <c r="B347" s="123"/>
      <c r="C347" s="123"/>
      <c r="D347" s="107"/>
      <c r="E347" s="107"/>
      <c r="F347" s="108"/>
      <c r="G347" s="108"/>
      <c r="H347" s="391"/>
      <c r="I347" s="352"/>
      <c r="J347" s="352"/>
      <c r="K347" s="352"/>
      <c r="L347" s="352"/>
      <c r="M347" s="352"/>
      <c r="N347" s="352"/>
      <c r="O347" s="352"/>
      <c r="P347" s="352"/>
      <c r="Q347" s="352"/>
      <c r="R347" s="352"/>
    </row>
    <row r="348" ht="32.25" customHeight="1">
      <c r="A348" s="102">
        <v>5.0</v>
      </c>
      <c r="B348" s="123"/>
      <c r="C348" s="123"/>
      <c r="D348" s="107"/>
      <c r="E348" s="107"/>
      <c r="F348" s="108"/>
      <c r="G348" s="108"/>
      <c r="H348" s="391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</row>
    <row r="349" ht="32.25" customHeight="1">
      <c r="A349" s="102">
        <v>6.0</v>
      </c>
      <c r="B349" s="123"/>
      <c r="C349" s="123"/>
      <c r="D349" s="107"/>
      <c r="E349" s="107"/>
      <c r="F349" s="108"/>
      <c r="G349" s="108"/>
      <c r="H349" s="391"/>
      <c r="I349" s="352"/>
      <c r="J349" s="352"/>
      <c r="K349" s="352"/>
      <c r="L349" s="352"/>
      <c r="M349" s="352"/>
      <c r="N349" s="352"/>
      <c r="O349" s="352"/>
      <c r="P349" s="352"/>
      <c r="Q349" s="352"/>
      <c r="R349" s="352"/>
    </row>
    <row r="350" ht="32.25" customHeight="1">
      <c r="A350" s="102">
        <v>7.0</v>
      </c>
      <c r="B350" s="123"/>
      <c r="C350" s="123"/>
      <c r="D350" s="107"/>
      <c r="E350" s="107"/>
      <c r="F350" s="108"/>
      <c r="G350" s="108"/>
      <c r="H350" s="391"/>
      <c r="I350" s="352"/>
      <c r="J350" s="352"/>
      <c r="K350" s="352"/>
      <c r="L350" s="352"/>
      <c r="M350" s="352"/>
      <c r="N350" s="352"/>
      <c r="O350" s="352"/>
      <c r="P350" s="352"/>
      <c r="Q350" s="352"/>
      <c r="R350" s="352"/>
    </row>
    <row r="351" ht="32.25" customHeight="1">
      <c r="A351" s="102">
        <v>8.0</v>
      </c>
      <c r="B351" s="123"/>
      <c r="C351" s="123"/>
      <c r="D351" s="107"/>
      <c r="E351" s="107"/>
      <c r="F351" s="108"/>
      <c r="G351" s="108"/>
      <c r="H351" s="391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</row>
    <row r="352" ht="32.25" customHeight="1">
      <c r="A352" s="102">
        <v>9.0</v>
      </c>
      <c r="B352" s="123"/>
      <c r="C352" s="123"/>
      <c r="D352" s="107"/>
      <c r="E352" s="107"/>
      <c r="F352" s="108"/>
      <c r="G352" s="108"/>
      <c r="H352" s="391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</row>
    <row r="353" ht="32.25" customHeight="1">
      <c r="A353" s="102">
        <v>10.0</v>
      </c>
      <c r="B353" s="123"/>
      <c r="C353" s="123"/>
      <c r="D353" s="107"/>
      <c r="E353" s="107"/>
      <c r="F353" s="108"/>
      <c r="G353" s="108"/>
      <c r="H353" s="391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</row>
    <row r="354" ht="32.25" customHeight="1">
      <c r="A354" s="102">
        <v>11.0</v>
      </c>
      <c r="B354" s="123"/>
      <c r="C354" s="123"/>
      <c r="D354" s="107"/>
      <c r="E354" s="107"/>
      <c r="F354" s="108"/>
      <c r="G354" s="108"/>
      <c r="H354" s="391"/>
      <c r="I354" s="352"/>
      <c r="J354" s="352"/>
      <c r="K354" s="352"/>
      <c r="L354" s="352"/>
      <c r="M354" s="352"/>
      <c r="N354" s="352"/>
      <c r="O354" s="352"/>
      <c r="P354" s="352"/>
      <c r="Q354" s="352"/>
      <c r="R354" s="352"/>
    </row>
    <row r="355" ht="32.25" customHeight="1">
      <c r="A355" s="102">
        <v>12.0</v>
      </c>
      <c r="B355" s="123"/>
      <c r="C355" s="123"/>
      <c r="D355" s="107"/>
      <c r="E355" s="107"/>
      <c r="F355" s="108"/>
      <c r="G355" s="108"/>
      <c r="H355" s="391"/>
      <c r="I355" s="352"/>
      <c r="J355" s="352"/>
      <c r="K355" s="352"/>
      <c r="L355" s="352"/>
      <c r="M355" s="352"/>
      <c r="N355" s="352"/>
      <c r="O355" s="352"/>
      <c r="P355" s="352"/>
      <c r="Q355" s="352"/>
      <c r="R355" s="352"/>
    </row>
    <row r="356" ht="32.25" customHeight="1">
      <c r="A356" s="102">
        <v>13.0</v>
      </c>
      <c r="B356" s="123"/>
      <c r="C356" s="123"/>
      <c r="D356" s="107"/>
      <c r="E356" s="107"/>
      <c r="F356" s="108"/>
      <c r="G356" s="108"/>
      <c r="H356" s="391"/>
      <c r="I356" s="352"/>
      <c r="J356" s="352"/>
      <c r="K356" s="352"/>
      <c r="L356" s="352"/>
      <c r="M356" s="352"/>
      <c r="N356" s="352"/>
      <c r="O356" s="352"/>
      <c r="P356" s="352"/>
      <c r="Q356" s="352"/>
      <c r="R356" s="352"/>
    </row>
    <row r="357" ht="32.25" customHeight="1">
      <c r="A357" s="102">
        <v>14.0</v>
      </c>
      <c r="B357" s="123"/>
      <c r="C357" s="123"/>
      <c r="D357" s="107"/>
      <c r="E357" s="107"/>
      <c r="F357" s="108"/>
      <c r="G357" s="108"/>
      <c r="H357" s="391"/>
      <c r="I357" s="352"/>
      <c r="J357" s="352"/>
      <c r="K357" s="352"/>
      <c r="L357" s="352"/>
      <c r="M357" s="352"/>
      <c r="N357" s="352"/>
      <c r="O357" s="352"/>
      <c r="P357" s="352"/>
      <c r="Q357" s="352"/>
      <c r="R357" s="352"/>
    </row>
    <row r="358" ht="32.25" customHeight="1">
      <c r="A358" s="102">
        <v>15.0</v>
      </c>
      <c r="B358" s="123"/>
      <c r="C358" s="123"/>
      <c r="D358" s="107"/>
      <c r="E358" s="107"/>
      <c r="F358" s="108"/>
      <c r="G358" s="108"/>
      <c r="H358" s="391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</row>
    <row r="359" ht="32.25" customHeight="1">
      <c r="A359" s="58"/>
      <c r="B359" s="149"/>
      <c r="C359" s="58"/>
      <c r="D359" s="58"/>
      <c r="E359" s="102" t="s">
        <v>144</v>
      </c>
      <c r="F359" s="102"/>
      <c r="G359" s="58"/>
      <c r="H359" s="373"/>
      <c r="I359" s="352"/>
      <c r="J359" s="352"/>
      <c r="K359" s="352"/>
      <c r="L359" s="352"/>
      <c r="M359" s="352"/>
      <c r="N359" s="352"/>
      <c r="O359" s="352"/>
      <c r="P359" s="352"/>
      <c r="Q359" s="352"/>
      <c r="R359" s="352"/>
    </row>
    <row r="360" ht="32.25" customHeight="1">
      <c r="A360" s="58"/>
      <c r="B360" s="149"/>
      <c r="C360" s="58"/>
      <c r="D360" s="58"/>
      <c r="E360" s="102" t="s">
        <v>145</v>
      </c>
      <c r="F360" s="102"/>
      <c r="G360" s="58"/>
      <c r="H360" s="373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</row>
    <row r="361" ht="32.25" customHeight="1">
      <c r="A361" s="58"/>
      <c r="B361" s="149"/>
      <c r="C361" s="58"/>
      <c r="D361" s="58"/>
      <c r="E361" s="102" t="s">
        <v>146</v>
      </c>
      <c r="F361" s="102"/>
      <c r="G361" s="58"/>
      <c r="H361" s="373"/>
      <c r="I361" s="352"/>
      <c r="J361" s="352"/>
      <c r="K361" s="352"/>
      <c r="L361" s="352"/>
      <c r="M361" s="352"/>
      <c r="N361" s="352"/>
      <c r="O361" s="352"/>
      <c r="P361" s="352"/>
      <c r="Q361" s="352"/>
      <c r="R361" s="352"/>
    </row>
    <row r="362" ht="32.25" customHeight="1">
      <c r="A362" s="58"/>
      <c r="B362" s="149"/>
      <c r="C362" s="58"/>
      <c r="D362" s="58"/>
      <c r="E362" s="102" t="s">
        <v>147</v>
      </c>
      <c r="F362" s="102"/>
      <c r="G362" s="58"/>
      <c r="H362" s="373"/>
      <c r="I362" s="352"/>
      <c r="J362" s="352"/>
      <c r="K362" s="352"/>
      <c r="L362" s="352"/>
      <c r="M362" s="352"/>
      <c r="N362" s="352"/>
      <c r="O362" s="352"/>
      <c r="P362" s="352"/>
      <c r="Q362" s="352"/>
      <c r="R362" s="352"/>
    </row>
    <row r="363" ht="32.25" customHeight="1">
      <c r="A363" s="58"/>
      <c r="B363" s="149"/>
      <c r="C363" s="58"/>
      <c r="D363" s="58"/>
      <c r="E363" s="102" t="s">
        <v>148</v>
      </c>
      <c r="F363" s="102"/>
      <c r="G363" s="58"/>
      <c r="H363" s="373"/>
      <c r="I363" s="352"/>
      <c r="J363" s="352"/>
      <c r="K363" s="352"/>
      <c r="L363" s="352"/>
      <c r="M363" s="352"/>
      <c r="N363" s="352"/>
      <c r="O363" s="352"/>
      <c r="P363" s="352"/>
      <c r="Q363" s="352"/>
      <c r="R363" s="352"/>
    </row>
    <row r="364" ht="32.25" customHeight="1">
      <c r="A364" s="115"/>
      <c r="B364" s="113"/>
      <c r="C364" s="114"/>
      <c r="D364" s="114"/>
      <c r="E364" s="146"/>
      <c r="F364" s="146"/>
      <c r="G364" s="114"/>
      <c r="H364" s="369"/>
      <c r="I364" s="352"/>
      <c r="J364" s="352"/>
      <c r="K364" s="352"/>
      <c r="L364" s="352"/>
      <c r="M364" s="352"/>
      <c r="N364" s="352"/>
      <c r="O364" s="352"/>
      <c r="P364" s="352"/>
      <c r="Q364" s="352"/>
      <c r="R364" s="352"/>
    </row>
    <row r="365" ht="32.25" customHeight="1">
      <c r="A365" s="102" t="s">
        <v>4</v>
      </c>
      <c r="B365" s="102" t="s">
        <v>5</v>
      </c>
      <c r="C365" s="102" t="s">
        <v>126</v>
      </c>
      <c r="D365" s="102" t="s">
        <v>6</v>
      </c>
      <c r="E365" s="102" t="s">
        <v>7</v>
      </c>
      <c r="F365" s="102" t="s">
        <v>127</v>
      </c>
      <c r="G365" s="102" t="s">
        <v>128</v>
      </c>
      <c r="H365" s="313"/>
      <c r="I365" s="352"/>
      <c r="J365" s="352"/>
      <c r="K365" s="352"/>
      <c r="L365" s="352"/>
      <c r="M365" s="352"/>
      <c r="N365" s="352"/>
      <c r="O365" s="352"/>
      <c r="P365" s="352"/>
      <c r="Q365" s="352"/>
      <c r="R365" s="352"/>
    </row>
    <row r="366" ht="32.25" customHeight="1">
      <c r="A366" s="102">
        <v>1.0</v>
      </c>
      <c r="B366" s="147">
        <v>46111.0</v>
      </c>
      <c r="C366" s="148" t="s">
        <v>2091</v>
      </c>
      <c r="D366" s="107" t="s">
        <v>2092</v>
      </c>
      <c r="E366" s="107" t="s">
        <v>2093</v>
      </c>
      <c r="F366" s="108"/>
      <c r="G366" s="108"/>
      <c r="H366" s="391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</row>
    <row r="367" ht="32.25" customHeight="1">
      <c r="A367" s="102">
        <v>2.0</v>
      </c>
      <c r="B367" s="123"/>
      <c r="C367" s="123"/>
      <c r="D367" s="107"/>
      <c r="E367" s="107" t="s">
        <v>2094</v>
      </c>
      <c r="F367" s="108"/>
      <c r="G367" s="108"/>
      <c r="H367" s="391"/>
      <c r="I367" s="352"/>
      <c r="J367" s="352"/>
      <c r="K367" s="352"/>
      <c r="L367" s="352"/>
      <c r="M367" s="352"/>
      <c r="N367" s="352"/>
      <c r="O367" s="352"/>
      <c r="P367" s="352"/>
      <c r="Q367" s="352"/>
      <c r="R367" s="352"/>
    </row>
    <row r="368" ht="32.25" customHeight="1">
      <c r="A368" s="102">
        <v>3.0</v>
      </c>
      <c r="B368" s="123"/>
      <c r="C368" s="123"/>
      <c r="D368" s="107"/>
      <c r="E368" s="107" t="s">
        <v>2095</v>
      </c>
      <c r="F368" s="108"/>
      <c r="G368" s="108"/>
      <c r="H368" s="391"/>
      <c r="I368" s="352"/>
      <c r="J368" s="352"/>
      <c r="K368" s="352"/>
      <c r="L368" s="352"/>
      <c r="M368" s="352"/>
      <c r="N368" s="352"/>
      <c r="O368" s="352"/>
      <c r="P368" s="352"/>
      <c r="Q368" s="352"/>
      <c r="R368" s="352"/>
    </row>
    <row r="369" ht="32.25" customHeight="1">
      <c r="A369" s="102">
        <v>4.0</v>
      </c>
      <c r="B369" s="123"/>
      <c r="C369" s="123"/>
      <c r="D369" s="107"/>
      <c r="E369" s="107" t="s">
        <v>2096</v>
      </c>
      <c r="F369" s="108"/>
      <c r="G369" s="108"/>
      <c r="H369" s="391"/>
      <c r="I369" s="352"/>
      <c r="J369" s="352"/>
      <c r="K369" s="352"/>
      <c r="L369" s="352"/>
      <c r="M369" s="352"/>
      <c r="N369" s="352"/>
      <c r="O369" s="352"/>
      <c r="P369" s="352"/>
      <c r="Q369" s="352"/>
      <c r="R369" s="352"/>
    </row>
    <row r="370" ht="32.25" customHeight="1">
      <c r="A370" s="102">
        <v>5.0</v>
      </c>
      <c r="B370" s="123"/>
      <c r="C370" s="123"/>
      <c r="D370" s="107"/>
      <c r="E370" s="107"/>
      <c r="F370" s="108"/>
      <c r="G370" s="108"/>
      <c r="H370" s="391"/>
      <c r="I370" s="352"/>
      <c r="J370" s="352"/>
      <c r="K370" s="352"/>
      <c r="L370" s="352"/>
      <c r="M370" s="352"/>
      <c r="N370" s="352"/>
      <c r="O370" s="352"/>
      <c r="P370" s="352"/>
      <c r="Q370" s="352"/>
      <c r="R370" s="352"/>
    </row>
    <row r="371" ht="32.25" customHeight="1">
      <c r="A371" s="102">
        <v>6.0</v>
      </c>
      <c r="B371" s="123"/>
      <c r="C371" s="123"/>
      <c r="D371" s="107"/>
      <c r="E371" s="107"/>
      <c r="F371" s="108"/>
      <c r="G371" s="108"/>
      <c r="H371" s="391"/>
      <c r="I371" s="352"/>
      <c r="J371" s="352"/>
      <c r="K371" s="352"/>
      <c r="L371" s="352"/>
      <c r="M371" s="352"/>
      <c r="N371" s="352"/>
      <c r="O371" s="352"/>
      <c r="P371" s="352"/>
      <c r="Q371" s="352"/>
      <c r="R371" s="352"/>
    </row>
    <row r="372" ht="32.25" customHeight="1">
      <c r="A372" s="102">
        <v>7.0</v>
      </c>
      <c r="B372" s="123"/>
      <c r="C372" s="123"/>
      <c r="D372" s="107"/>
      <c r="E372" s="107"/>
      <c r="F372" s="108"/>
      <c r="G372" s="108"/>
      <c r="H372" s="391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</row>
    <row r="373" ht="32.25" customHeight="1">
      <c r="A373" s="102">
        <v>8.0</v>
      </c>
      <c r="B373" s="123"/>
      <c r="C373" s="123"/>
      <c r="D373" s="107"/>
      <c r="E373" s="107"/>
      <c r="F373" s="108"/>
      <c r="G373" s="108"/>
      <c r="H373" s="391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</row>
    <row r="374" ht="32.25" customHeight="1">
      <c r="A374" s="102">
        <v>9.0</v>
      </c>
      <c r="B374" s="123"/>
      <c r="C374" s="123"/>
      <c r="D374" s="107"/>
      <c r="E374" s="107"/>
      <c r="F374" s="108"/>
      <c r="G374" s="108"/>
      <c r="H374" s="391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</row>
    <row r="375" ht="32.25" customHeight="1">
      <c r="A375" s="102">
        <v>10.0</v>
      </c>
      <c r="B375" s="123"/>
      <c r="C375" s="123"/>
      <c r="D375" s="107"/>
      <c r="E375" s="107"/>
      <c r="F375" s="108"/>
      <c r="G375" s="108"/>
      <c r="H375" s="391"/>
      <c r="I375" s="352"/>
      <c r="J375" s="352"/>
      <c r="K375" s="352"/>
      <c r="L375" s="352"/>
      <c r="M375" s="352"/>
      <c r="N375" s="352"/>
      <c r="O375" s="352"/>
      <c r="P375" s="352"/>
      <c r="Q375" s="352"/>
      <c r="R375" s="352"/>
    </row>
    <row r="376" ht="32.25" customHeight="1">
      <c r="A376" s="102">
        <v>11.0</v>
      </c>
      <c r="B376" s="123"/>
      <c r="C376" s="123"/>
      <c r="D376" s="107"/>
      <c r="E376" s="107"/>
      <c r="F376" s="108"/>
      <c r="G376" s="108"/>
      <c r="H376" s="391"/>
      <c r="I376" s="352"/>
      <c r="J376" s="352"/>
      <c r="K376" s="352"/>
      <c r="L376" s="352"/>
      <c r="M376" s="352"/>
      <c r="N376" s="352"/>
      <c r="O376" s="352"/>
      <c r="P376" s="352"/>
      <c r="Q376" s="352"/>
      <c r="R376" s="352"/>
    </row>
    <row r="377" ht="32.25" customHeight="1">
      <c r="A377" s="102">
        <v>12.0</v>
      </c>
      <c r="B377" s="123"/>
      <c r="C377" s="123"/>
      <c r="D377" s="107"/>
      <c r="E377" s="107"/>
      <c r="F377" s="108"/>
      <c r="G377" s="108"/>
      <c r="H377" s="391"/>
      <c r="I377" s="352"/>
      <c r="J377" s="352"/>
      <c r="K377" s="352"/>
      <c r="L377" s="352"/>
      <c r="M377" s="352"/>
      <c r="N377" s="352"/>
      <c r="O377" s="352"/>
      <c r="P377" s="352"/>
      <c r="Q377" s="352"/>
      <c r="R377" s="352"/>
    </row>
    <row r="378" ht="32.25" customHeight="1">
      <c r="A378" s="102">
        <v>13.0</v>
      </c>
      <c r="B378" s="123"/>
      <c r="C378" s="123"/>
      <c r="D378" s="107"/>
      <c r="E378" s="107"/>
      <c r="F378" s="108"/>
      <c r="G378" s="108"/>
      <c r="H378" s="391"/>
      <c r="I378" s="352"/>
      <c r="J378" s="352"/>
      <c r="K378" s="352"/>
      <c r="L378" s="352"/>
      <c r="M378" s="352"/>
      <c r="N378" s="352"/>
      <c r="O378" s="352"/>
      <c r="P378" s="352"/>
      <c r="Q378" s="352"/>
      <c r="R378" s="352"/>
    </row>
    <row r="379" ht="32.25" customHeight="1">
      <c r="A379" s="102">
        <v>14.0</v>
      </c>
      <c r="B379" s="123"/>
      <c r="C379" s="123"/>
      <c r="D379" s="107"/>
      <c r="E379" s="107"/>
      <c r="F379" s="108"/>
      <c r="G379" s="108"/>
      <c r="H379" s="391"/>
      <c r="I379" s="352"/>
      <c r="J379" s="352"/>
      <c r="K379" s="352"/>
      <c r="L379" s="352"/>
      <c r="M379" s="352"/>
      <c r="N379" s="352"/>
      <c r="O379" s="352"/>
      <c r="P379" s="352"/>
      <c r="Q379" s="352"/>
      <c r="R379" s="352"/>
    </row>
    <row r="380" ht="32.25" customHeight="1">
      <c r="A380" s="102">
        <v>15.0</v>
      </c>
      <c r="B380" s="123"/>
      <c r="C380" s="123"/>
      <c r="D380" s="107"/>
      <c r="E380" s="107"/>
      <c r="F380" s="108"/>
      <c r="G380" s="108"/>
      <c r="H380" s="391"/>
      <c r="I380" s="352"/>
      <c r="J380" s="352"/>
      <c r="K380" s="352"/>
      <c r="L380" s="352"/>
      <c r="M380" s="352"/>
      <c r="N380" s="352"/>
      <c r="O380" s="352"/>
      <c r="P380" s="352"/>
      <c r="Q380" s="352"/>
      <c r="R380" s="352"/>
    </row>
    <row r="381" ht="32.25" customHeight="1">
      <c r="A381" s="58"/>
      <c r="B381" s="149"/>
      <c r="C381" s="58"/>
      <c r="D381" s="58"/>
      <c r="E381" s="102" t="s">
        <v>144</v>
      </c>
      <c r="F381" s="150">
        <v>200.0</v>
      </c>
      <c r="G381" s="58"/>
      <c r="H381" s="373"/>
      <c r="I381" s="352"/>
      <c r="J381" s="352"/>
      <c r="K381" s="352"/>
      <c r="L381" s="352"/>
      <c r="M381" s="352"/>
      <c r="N381" s="352"/>
      <c r="O381" s="352"/>
      <c r="P381" s="352"/>
      <c r="Q381" s="352"/>
      <c r="R381" s="352"/>
    </row>
    <row r="382" ht="32.25" customHeight="1">
      <c r="A382" s="58"/>
      <c r="B382" s="149"/>
      <c r="C382" s="58"/>
      <c r="D382" s="58"/>
      <c r="E382" s="102" t="s">
        <v>145</v>
      </c>
      <c r="F382" s="150">
        <v>330.0</v>
      </c>
      <c r="G382" s="58"/>
      <c r="H382" s="373"/>
      <c r="I382" s="352"/>
      <c r="J382" s="352"/>
      <c r="K382" s="352"/>
      <c r="L382" s="352"/>
      <c r="M382" s="352"/>
      <c r="N382" s="352"/>
      <c r="O382" s="352"/>
      <c r="P382" s="352"/>
      <c r="Q382" s="352"/>
      <c r="R382" s="352"/>
    </row>
    <row r="383" ht="32.25" customHeight="1">
      <c r="A383" s="58"/>
      <c r="B383" s="149"/>
      <c r="C383" s="58"/>
      <c r="D383" s="58"/>
      <c r="E383" s="102" t="s">
        <v>146</v>
      </c>
      <c r="F383" s="150">
        <v>235.0</v>
      </c>
      <c r="G383" s="58"/>
      <c r="H383" s="373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</row>
    <row r="384" ht="32.25" customHeight="1">
      <c r="A384" s="58"/>
      <c r="B384" s="149"/>
      <c r="C384" s="58"/>
      <c r="D384" s="58"/>
      <c r="E384" s="102" t="s">
        <v>147</v>
      </c>
      <c r="F384" s="150">
        <v>175.0</v>
      </c>
      <c r="G384" s="58"/>
      <c r="H384" s="373"/>
      <c r="I384" s="352"/>
      <c r="J384" s="352"/>
      <c r="K384" s="352"/>
      <c r="L384" s="352"/>
      <c r="M384" s="352"/>
      <c r="N384" s="352"/>
      <c r="O384" s="352"/>
      <c r="P384" s="352"/>
      <c r="Q384" s="352"/>
      <c r="R384" s="352"/>
    </row>
    <row r="385" ht="32.25" customHeight="1">
      <c r="A385" s="58"/>
      <c r="B385" s="149"/>
      <c r="C385" s="58"/>
      <c r="D385" s="58"/>
      <c r="E385" s="102" t="s">
        <v>148</v>
      </c>
      <c r="F385" s="150">
        <v>155.0</v>
      </c>
      <c r="G385" s="58"/>
      <c r="H385" s="373"/>
      <c r="I385" s="352"/>
      <c r="J385" s="352"/>
      <c r="K385" s="352"/>
      <c r="L385" s="352"/>
      <c r="M385" s="352"/>
      <c r="N385" s="352"/>
      <c r="O385" s="352"/>
      <c r="P385" s="352"/>
      <c r="Q385" s="352"/>
      <c r="R385" s="352"/>
    </row>
    <row r="386" ht="32.25" customHeight="1">
      <c r="A386" s="102" t="s">
        <v>4</v>
      </c>
      <c r="B386" s="102" t="s">
        <v>5</v>
      </c>
      <c r="C386" s="102" t="s">
        <v>126</v>
      </c>
      <c r="D386" s="102" t="s">
        <v>6</v>
      </c>
      <c r="E386" s="102" t="s">
        <v>7</v>
      </c>
      <c r="F386" s="102" t="s">
        <v>127</v>
      </c>
      <c r="G386" s="102" t="s">
        <v>128</v>
      </c>
      <c r="H386" s="313"/>
      <c r="I386" s="352"/>
      <c r="J386" s="352"/>
      <c r="K386" s="352"/>
      <c r="L386" s="352"/>
      <c r="M386" s="352"/>
      <c r="N386" s="352"/>
      <c r="O386" s="352"/>
      <c r="P386" s="352"/>
      <c r="Q386" s="352"/>
      <c r="R386" s="352"/>
    </row>
    <row r="387" ht="32.25" customHeight="1">
      <c r="A387" s="102">
        <v>1.0</v>
      </c>
      <c r="B387" s="147">
        <v>46112.0</v>
      </c>
      <c r="C387" s="148" t="s">
        <v>2091</v>
      </c>
      <c r="D387" s="107" t="s">
        <v>2036</v>
      </c>
      <c r="E387" s="107" t="s">
        <v>2097</v>
      </c>
      <c r="F387" s="108"/>
      <c r="G387" s="108"/>
      <c r="H387" s="391"/>
      <c r="I387" s="352"/>
      <c r="J387" s="352"/>
      <c r="K387" s="352"/>
      <c r="L387" s="352"/>
      <c r="M387" s="352"/>
      <c r="N387" s="352"/>
      <c r="O387" s="352"/>
      <c r="P387" s="352"/>
      <c r="Q387" s="352"/>
      <c r="R387" s="352"/>
    </row>
    <row r="388" ht="32.25" customHeight="1">
      <c r="A388" s="102">
        <v>2.0</v>
      </c>
      <c r="B388" s="123"/>
      <c r="C388" s="123"/>
      <c r="D388" s="107"/>
      <c r="E388" s="107" t="s">
        <v>2098</v>
      </c>
      <c r="F388" s="108"/>
      <c r="G388" s="108"/>
      <c r="H388" s="391"/>
      <c r="I388" s="352"/>
      <c r="J388" s="352"/>
      <c r="K388" s="352"/>
      <c r="L388" s="352"/>
      <c r="M388" s="352"/>
      <c r="N388" s="352"/>
      <c r="O388" s="352"/>
      <c r="P388" s="352"/>
      <c r="Q388" s="352"/>
      <c r="R388" s="352"/>
    </row>
    <row r="389" ht="32.25" customHeight="1">
      <c r="A389" s="102">
        <v>3.0</v>
      </c>
      <c r="B389" s="123"/>
      <c r="C389" s="123"/>
      <c r="D389" s="107"/>
      <c r="E389" s="107" t="s">
        <v>2099</v>
      </c>
      <c r="F389" s="108"/>
      <c r="G389" s="108"/>
      <c r="H389" s="391"/>
      <c r="I389" s="352"/>
      <c r="J389" s="352"/>
      <c r="K389" s="352"/>
      <c r="L389" s="352"/>
      <c r="M389" s="352"/>
      <c r="N389" s="352"/>
      <c r="O389" s="352"/>
      <c r="P389" s="352"/>
      <c r="Q389" s="352"/>
      <c r="R389" s="352"/>
    </row>
    <row r="390" ht="32.25" customHeight="1">
      <c r="A390" s="102">
        <v>4.0</v>
      </c>
      <c r="B390" s="123"/>
      <c r="C390" s="123"/>
      <c r="D390" s="107"/>
      <c r="E390" s="107" t="s">
        <v>2100</v>
      </c>
      <c r="F390" s="108"/>
      <c r="G390" s="108"/>
      <c r="H390" s="391"/>
      <c r="I390" s="352"/>
      <c r="J390" s="352"/>
      <c r="K390" s="352"/>
      <c r="L390" s="352"/>
      <c r="M390" s="352"/>
      <c r="N390" s="352"/>
      <c r="O390" s="352"/>
      <c r="P390" s="352"/>
      <c r="Q390" s="352"/>
      <c r="R390" s="352"/>
    </row>
    <row r="391" ht="32.25" customHeight="1">
      <c r="A391" s="102">
        <v>5.0</v>
      </c>
      <c r="B391" s="123"/>
      <c r="C391" s="123"/>
      <c r="D391" s="107"/>
      <c r="E391" s="107" t="s">
        <v>421</v>
      </c>
      <c r="F391" s="108"/>
      <c r="G391" s="108"/>
      <c r="H391" s="391"/>
      <c r="I391" s="352"/>
      <c r="J391" s="352"/>
      <c r="K391" s="352"/>
      <c r="L391" s="352"/>
      <c r="M391" s="352"/>
      <c r="N391" s="352"/>
      <c r="O391" s="352"/>
      <c r="P391" s="352"/>
      <c r="Q391" s="352"/>
      <c r="R391" s="352"/>
    </row>
    <row r="392" ht="32.25" customHeight="1">
      <c r="A392" s="102">
        <v>6.0</v>
      </c>
      <c r="B392" s="123"/>
      <c r="C392" s="123"/>
      <c r="D392" s="107"/>
      <c r="E392" s="107"/>
      <c r="F392" s="108"/>
      <c r="G392" s="108"/>
      <c r="H392" s="391"/>
      <c r="I392" s="352"/>
      <c r="J392" s="352"/>
      <c r="K392" s="352"/>
      <c r="L392" s="352"/>
      <c r="M392" s="352"/>
      <c r="N392" s="352"/>
      <c r="O392" s="352"/>
      <c r="P392" s="352"/>
      <c r="Q392" s="352"/>
      <c r="R392" s="352"/>
    </row>
    <row r="393" ht="32.25" customHeight="1">
      <c r="A393" s="102">
        <v>7.0</v>
      </c>
      <c r="B393" s="123"/>
      <c r="C393" s="123"/>
      <c r="D393" s="107"/>
      <c r="E393" s="107"/>
      <c r="F393" s="108"/>
      <c r="G393" s="108"/>
      <c r="H393" s="391"/>
      <c r="I393" s="352"/>
      <c r="J393" s="352"/>
      <c r="K393" s="352"/>
      <c r="L393" s="352"/>
      <c r="M393" s="352"/>
      <c r="N393" s="352"/>
      <c r="O393" s="352"/>
      <c r="P393" s="352"/>
      <c r="Q393" s="352"/>
      <c r="R393" s="352"/>
    </row>
    <row r="394" ht="32.25" customHeight="1">
      <c r="A394" s="102">
        <v>8.0</v>
      </c>
      <c r="B394" s="123"/>
      <c r="C394" s="123"/>
      <c r="D394" s="107"/>
      <c r="E394" s="107"/>
      <c r="F394" s="108"/>
      <c r="G394" s="108"/>
      <c r="H394" s="391"/>
      <c r="I394" s="352"/>
      <c r="J394" s="352"/>
      <c r="K394" s="352"/>
      <c r="L394" s="352"/>
      <c r="M394" s="352"/>
      <c r="N394" s="352"/>
      <c r="O394" s="352"/>
      <c r="P394" s="352"/>
      <c r="Q394" s="352"/>
      <c r="R394" s="352"/>
    </row>
    <row r="395" ht="32.25" customHeight="1">
      <c r="A395" s="102">
        <v>9.0</v>
      </c>
      <c r="B395" s="123"/>
      <c r="C395" s="123"/>
      <c r="D395" s="107"/>
      <c r="E395" s="107"/>
      <c r="F395" s="108"/>
      <c r="G395" s="108"/>
      <c r="H395" s="391"/>
      <c r="I395" s="352"/>
      <c r="J395" s="352"/>
      <c r="K395" s="352"/>
      <c r="L395" s="352"/>
      <c r="M395" s="352"/>
      <c r="N395" s="352"/>
      <c r="O395" s="352"/>
      <c r="P395" s="352"/>
      <c r="Q395" s="352"/>
      <c r="R395" s="352"/>
    </row>
    <row r="396" ht="32.25" customHeight="1">
      <c r="A396" s="102">
        <v>10.0</v>
      </c>
      <c r="B396" s="123"/>
      <c r="C396" s="123"/>
      <c r="D396" s="107"/>
      <c r="E396" s="107"/>
      <c r="F396" s="108"/>
      <c r="G396" s="108"/>
      <c r="H396" s="391"/>
      <c r="I396" s="352"/>
      <c r="J396" s="352"/>
      <c r="K396" s="352"/>
      <c r="L396" s="352"/>
      <c r="M396" s="352"/>
      <c r="N396" s="352"/>
      <c r="O396" s="352"/>
      <c r="P396" s="352"/>
      <c r="Q396" s="352"/>
      <c r="R396" s="352"/>
    </row>
    <row r="397" ht="32.25" customHeight="1">
      <c r="A397" s="102">
        <v>11.0</v>
      </c>
      <c r="B397" s="123"/>
      <c r="C397" s="123"/>
      <c r="D397" s="107"/>
      <c r="E397" s="107"/>
      <c r="F397" s="108"/>
      <c r="G397" s="108"/>
      <c r="H397" s="391"/>
      <c r="I397" s="352"/>
      <c r="J397" s="352"/>
      <c r="K397" s="352"/>
      <c r="L397" s="352"/>
      <c r="M397" s="352"/>
      <c r="N397" s="352"/>
      <c r="O397" s="352"/>
      <c r="P397" s="352"/>
      <c r="Q397" s="352"/>
      <c r="R397" s="352"/>
    </row>
    <row r="398" ht="32.25" customHeight="1">
      <c r="A398" s="102">
        <v>12.0</v>
      </c>
      <c r="B398" s="123"/>
      <c r="C398" s="123"/>
      <c r="D398" s="107"/>
      <c r="E398" s="107"/>
      <c r="F398" s="108"/>
      <c r="G398" s="108"/>
      <c r="H398" s="391"/>
      <c r="I398" s="352"/>
      <c r="J398" s="352"/>
      <c r="K398" s="352"/>
      <c r="L398" s="352"/>
      <c r="M398" s="352"/>
      <c r="N398" s="352"/>
      <c r="O398" s="352"/>
      <c r="P398" s="352"/>
      <c r="Q398" s="352"/>
      <c r="R398" s="352"/>
    </row>
    <row r="399" ht="32.25" customHeight="1">
      <c r="A399" s="102">
        <v>13.0</v>
      </c>
      <c r="B399" s="123"/>
      <c r="C399" s="123"/>
      <c r="D399" s="107"/>
      <c r="E399" s="107"/>
      <c r="F399" s="108"/>
      <c r="G399" s="108"/>
      <c r="H399" s="391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</row>
    <row r="400" ht="32.25" customHeight="1">
      <c r="A400" s="102">
        <v>14.0</v>
      </c>
      <c r="B400" s="123"/>
      <c r="C400" s="123"/>
      <c r="D400" s="107"/>
      <c r="E400" s="107"/>
      <c r="F400" s="108"/>
      <c r="G400" s="108"/>
      <c r="H400" s="391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</row>
    <row r="401" ht="32.25" customHeight="1">
      <c r="A401" s="102">
        <v>15.0</v>
      </c>
      <c r="B401" s="123"/>
      <c r="C401" s="123"/>
      <c r="D401" s="107"/>
      <c r="E401" s="107"/>
      <c r="F401" s="108"/>
      <c r="G401" s="108"/>
      <c r="H401" s="391"/>
      <c r="I401" s="352"/>
      <c r="J401" s="352"/>
      <c r="K401" s="352"/>
      <c r="L401" s="352"/>
      <c r="M401" s="352"/>
      <c r="N401" s="352"/>
      <c r="O401" s="352"/>
      <c r="P401" s="352"/>
      <c r="Q401" s="352"/>
      <c r="R401" s="352"/>
    </row>
    <row r="402" ht="32.25" customHeight="1">
      <c r="A402" s="58"/>
      <c r="B402" s="149"/>
      <c r="C402" s="58"/>
      <c r="D402" s="58"/>
      <c r="E402" s="102" t="s">
        <v>144</v>
      </c>
      <c r="F402" s="150">
        <v>500.0</v>
      </c>
      <c r="G402" s="58"/>
      <c r="H402" s="373"/>
      <c r="I402" s="352"/>
      <c r="J402" s="352"/>
      <c r="K402" s="352"/>
      <c r="L402" s="352"/>
      <c r="M402" s="352"/>
      <c r="N402" s="352"/>
      <c r="O402" s="352"/>
      <c r="P402" s="352"/>
      <c r="Q402" s="352"/>
      <c r="R402" s="352"/>
    </row>
    <row r="403" ht="32.25" customHeight="1">
      <c r="A403" s="58"/>
      <c r="B403" s="149"/>
      <c r="C403" s="58"/>
      <c r="D403" s="58"/>
      <c r="E403" s="102" t="s">
        <v>145</v>
      </c>
      <c r="F403" s="150">
        <v>780.0</v>
      </c>
      <c r="G403" s="58"/>
      <c r="H403" s="373"/>
      <c r="I403" s="352"/>
      <c r="J403" s="352"/>
      <c r="K403" s="352"/>
      <c r="L403" s="352"/>
      <c r="M403" s="352"/>
      <c r="N403" s="352"/>
      <c r="O403" s="352"/>
      <c r="P403" s="352"/>
      <c r="Q403" s="352"/>
      <c r="R403" s="352"/>
    </row>
    <row r="404" ht="32.25" customHeight="1">
      <c r="A404" s="58"/>
      <c r="B404" s="149"/>
      <c r="C404" s="58"/>
      <c r="D404" s="58"/>
      <c r="E404" s="102" t="s">
        <v>146</v>
      </c>
      <c r="F404" s="150">
        <v>235.0</v>
      </c>
      <c r="G404" s="58"/>
      <c r="H404" s="373"/>
      <c r="I404" s="352"/>
      <c r="J404" s="352"/>
      <c r="K404" s="352"/>
      <c r="L404" s="352"/>
      <c r="M404" s="352"/>
      <c r="N404" s="352"/>
      <c r="O404" s="352"/>
      <c r="P404" s="352"/>
      <c r="Q404" s="352"/>
      <c r="R404" s="352"/>
    </row>
    <row r="405" ht="32.25" customHeight="1">
      <c r="A405" s="58"/>
      <c r="B405" s="149"/>
      <c r="C405" s="58"/>
      <c r="D405" s="58"/>
      <c r="E405" s="102" t="s">
        <v>147</v>
      </c>
      <c r="F405" s="150">
        <v>175.0</v>
      </c>
      <c r="G405" s="58"/>
      <c r="H405" s="373"/>
      <c r="I405" s="352"/>
      <c r="J405" s="352"/>
      <c r="K405" s="352"/>
      <c r="L405" s="352"/>
      <c r="M405" s="352"/>
      <c r="N405" s="352"/>
      <c r="O405" s="352"/>
      <c r="P405" s="352"/>
      <c r="Q405" s="352"/>
      <c r="R405" s="352"/>
    </row>
    <row r="406" ht="32.25" customHeight="1">
      <c r="A406" s="58"/>
      <c r="B406" s="149"/>
      <c r="C406" s="58"/>
      <c r="D406" s="58"/>
      <c r="E406" s="102" t="s">
        <v>148</v>
      </c>
      <c r="F406" s="150">
        <v>605.0</v>
      </c>
      <c r="G406" s="58"/>
      <c r="H406" s="373"/>
      <c r="I406" s="352"/>
      <c r="J406" s="352"/>
      <c r="K406" s="352"/>
      <c r="L406" s="352"/>
      <c r="M406" s="352"/>
      <c r="N406" s="352"/>
      <c r="O406" s="352"/>
      <c r="P406" s="352"/>
      <c r="Q406" s="352"/>
      <c r="R406" s="352"/>
    </row>
    <row r="407" ht="32.25" customHeight="1">
      <c r="A407" s="102" t="s">
        <v>4</v>
      </c>
      <c r="B407" s="102" t="s">
        <v>5</v>
      </c>
      <c r="C407" s="102" t="s">
        <v>126</v>
      </c>
      <c r="D407" s="102" t="s">
        <v>6</v>
      </c>
      <c r="E407" s="102" t="s">
        <v>7</v>
      </c>
      <c r="F407" s="102" t="s">
        <v>127</v>
      </c>
      <c r="G407" s="102" t="s">
        <v>128</v>
      </c>
      <c r="H407" s="313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</row>
    <row r="408" ht="32.25" customHeight="1">
      <c r="A408" s="102">
        <v>1.0</v>
      </c>
      <c r="B408" s="147">
        <v>46113.0</v>
      </c>
      <c r="C408" s="148" t="s">
        <v>1502</v>
      </c>
      <c r="D408" s="107" t="s">
        <v>2036</v>
      </c>
      <c r="E408" s="107" t="s">
        <v>2101</v>
      </c>
      <c r="F408" s="108">
        <v>105.0</v>
      </c>
      <c r="G408" s="108"/>
      <c r="H408" s="391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</row>
    <row r="409" ht="32.25" customHeight="1">
      <c r="A409" s="102">
        <v>2.0</v>
      </c>
      <c r="B409" s="123"/>
      <c r="C409" s="123"/>
      <c r="D409" s="107"/>
      <c r="E409" s="107" t="s">
        <v>2102</v>
      </c>
      <c r="F409" s="108"/>
      <c r="G409" s="108"/>
      <c r="H409" s="391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</row>
    <row r="410" ht="32.25" customHeight="1">
      <c r="A410" s="392">
        <v>3.0</v>
      </c>
      <c r="B410" s="393"/>
      <c r="C410" s="393"/>
      <c r="D410" s="394"/>
      <c r="E410" s="394"/>
      <c r="F410" s="395"/>
      <c r="G410" s="395"/>
      <c r="H410" s="396"/>
      <c r="I410" s="397"/>
      <c r="J410" s="397"/>
      <c r="K410" s="397"/>
      <c r="L410" s="397"/>
      <c r="M410" s="397"/>
      <c r="N410" s="397"/>
      <c r="O410" s="397"/>
      <c r="P410" s="397"/>
      <c r="Q410" s="397"/>
      <c r="R410" s="397"/>
    </row>
    <row r="411" ht="32.25" customHeight="1">
      <c r="A411" s="102">
        <v>4.0</v>
      </c>
      <c r="B411" s="123"/>
      <c r="C411" s="123"/>
      <c r="D411" s="107" t="s">
        <v>2103</v>
      </c>
      <c r="E411" s="107"/>
      <c r="F411" s="108"/>
      <c r="G411" s="108"/>
      <c r="H411" s="391"/>
      <c r="I411" s="352"/>
      <c r="J411" s="352"/>
      <c r="K411" s="352"/>
      <c r="L411" s="352"/>
      <c r="M411" s="352"/>
      <c r="N411" s="352"/>
      <c r="O411" s="352"/>
      <c r="P411" s="352"/>
      <c r="Q411" s="352"/>
      <c r="R411" s="352"/>
    </row>
    <row r="412" ht="32.25" customHeight="1">
      <c r="A412" s="102">
        <v>5.0</v>
      </c>
      <c r="B412" s="123"/>
      <c r="C412" s="123"/>
      <c r="D412" s="107" t="s">
        <v>2104</v>
      </c>
      <c r="E412" s="107"/>
      <c r="F412" s="108"/>
      <c r="G412" s="108"/>
      <c r="H412" s="391"/>
      <c r="I412" s="352"/>
      <c r="J412" s="352"/>
      <c r="K412" s="352"/>
      <c r="L412" s="352"/>
      <c r="M412" s="352"/>
      <c r="N412" s="352"/>
      <c r="O412" s="352"/>
      <c r="P412" s="352"/>
      <c r="Q412" s="352"/>
      <c r="R412" s="352"/>
    </row>
    <row r="413" ht="32.25" customHeight="1">
      <c r="A413" s="102">
        <v>6.0</v>
      </c>
      <c r="B413" s="123"/>
      <c r="C413" s="123"/>
      <c r="D413" s="107" t="s">
        <v>2105</v>
      </c>
      <c r="E413" s="107"/>
      <c r="F413" s="108"/>
      <c r="G413" s="108"/>
      <c r="H413" s="391"/>
      <c r="I413" s="352"/>
      <c r="J413" s="352"/>
      <c r="K413" s="352"/>
      <c r="L413" s="352"/>
      <c r="M413" s="352"/>
      <c r="N413" s="352"/>
      <c r="O413" s="352"/>
      <c r="P413" s="352"/>
      <c r="Q413" s="352"/>
      <c r="R413" s="352"/>
    </row>
    <row r="414" ht="32.25" customHeight="1">
      <c r="A414" s="102">
        <v>7.0</v>
      </c>
      <c r="B414" s="123"/>
      <c r="C414" s="123"/>
      <c r="D414" s="107" t="s">
        <v>2106</v>
      </c>
      <c r="E414" s="107"/>
      <c r="F414" s="108"/>
      <c r="G414" s="108"/>
      <c r="H414" s="391"/>
      <c r="I414" s="352"/>
      <c r="J414" s="352"/>
      <c r="K414" s="352"/>
      <c r="L414" s="352"/>
      <c r="M414" s="352"/>
      <c r="N414" s="352"/>
      <c r="O414" s="352"/>
      <c r="P414" s="352"/>
      <c r="Q414" s="352"/>
      <c r="R414" s="352"/>
    </row>
    <row r="415" ht="32.25" customHeight="1">
      <c r="A415" s="102">
        <v>8.0</v>
      </c>
      <c r="B415" s="123"/>
      <c r="C415" s="123"/>
      <c r="D415" s="107" t="s">
        <v>2107</v>
      </c>
      <c r="E415" s="107"/>
      <c r="F415" s="108"/>
      <c r="G415" s="108"/>
      <c r="H415" s="391"/>
      <c r="I415" s="352"/>
      <c r="J415" s="352"/>
      <c r="K415" s="352"/>
      <c r="L415" s="352"/>
      <c r="M415" s="352"/>
      <c r="N415" s="352"/>
      <c r="O415" s="352"/>
      <c r="P415" s="352"/>
      <c r="Q415" s="352"/>
      <c r="R415" s="352"/>
    </row>
    <row r="416" ht="32.25" customHeight="1">
      <c r="A416" s="102">
        <v>9.0</v>
      </c>
      <c r="B416" s="123"/>
      <c r="C416" s="123"/>
      <c r="D416" s="107" t="s">
        <v>2108</v>
      </c>
      <c r="E416" s="107"/>
      <c r="F416" s="108"/>
      <c r="G416" s="108"/>
      <c r="H416" s="391"/>
      <c r="I416" s="352"/>
      <c r="J416" s="352"/>
      <c r="K416" s="352"/>
      <c r="L416" s="352"/>
      <c r="M416" s="352"/>
      <c r="N416" s="352"/>
      <c r="O416" s="352"/>
      <c r="P416" s="352"/>
      <c r="Q416" s="352"/>
      <c r="R416" s="352"/>
    </row>
    <row r="417" ht="32.25" customHeight="1">
      <c r="A417" s="102">
        <v>10.0</v>
      </c>
      <c r="B417" s="123"/>
      <c r="C417" s="123"/>
      <c r="D417" s="107"/>
      <c r="E417" s="107"/>
      <c r="F417" s="108"/>
      <c r="G417" s="108"/>
      <c r="H417" s="391"/>
      <c r="I417" s="352"/>
      <c r="J417" s="352"/>
      <c r="K417" s="352"/>
      <c r="L417" s="352"/>
      <c r="M417" s="352"/>
      <c r="N417" s="352"/>
      <c r="O417" s="352"/>
      <c r="P417" s="352"/>
      <c r="Q417" s="352"/>
      <c r="R417" s="352"/>
    </row>
    <row r="418" ht="32.25" customHeight="1">
      <c r="A418" s="102">
        <v>11.0</v>
      </c>
      <c r="B418" s="123"/>
      <c r="C418" s="123"/>
      <c r="D418" s="107"/>
      <c r="E418" s="107"/>
      <c r="F418" s="108"/>
      <c r="G418" s="108"/>
      <c r="H418" s="391"/>
      <c r="I418" s="352"/>
      <c r="J418" s="352"/>
      <c r="K418" s="352"/>
      <c r="L418" s="352"/>
      <c r="M418" s="352"/>
      <c r="N418" s="352"/>
      <c r="O418" s="352"/>
      <c r="P418" s="352"/>
      <c r="Q418" s="352"/>
      <c r="R418" s="352"/>
    </row>
    <row r="419" ht="32.25" customHeight="1">
      <c r="A419" s="102">
        <v>12.0</v>
      </c>
      <c r="B419" s="123"/>
      <c r="C419" s="123"/>
      <c r="D419" s="107"/>
      <c r="E419" s="107"/>
      <c r="F419" s="108"/>
      <c r="G419" s="108"/>
      <c r="H419" s="391"/>
      <c r="I419" s="352"/>
      <c r="J419" s="352"/>
      <c r="K419" s="352"/>
      <c r="L419" s="352"/>
      <c r="M419" s="352"/>
      <c r="N419" s="352"/>
      <c r="O419" s="352"/>
      <c r="P419" s="352"/>
      <c r="Q419" s="352"/>
      <c r="R419" s="352"/>
    </row>
    <row r="420" ht="32.25" customHeight="1">
      <c r="A420" s="102">
        <v>13.0</v>
      </c>
      <c r="B420" s="123"/>
      <c r="C420" s="123"/>
      <c r="D420" s="107"/>
      <c r="E420" s="107"/>
      <c r="F420" s="108"/>
      <c r="G420" s="108"/>
      <c r="H420" s="391"/>
      <c r="I420" s="352"/>
      <c r="J420" s="352"/>
      <c r="K420" s="352"/>
      <c r="L420" s="352"/>
      <c r="M420" s="352"/>
      <c r="N420" s="352"/>
      <c r="O420" s="352"/>
      <c r="P420" s="352"/>
      <c r="Q420" s="352"/>
      <c r="R420" s="352"/>
    </row>
    <row r="421" ht="32.25" customHeight="1">
      <c r="A421" s="102">
        <v>14.0</v>
      </c>
      <c r="B421" s="123"/>
      <c r="C421" s="123"/>
      <c r="D421" s="107"/>
      <c r="E421" s="107"/>
      <c r="F421" s="108"/>
      <c r="G421" s="108"/>
      <c r="H421" s="391"/>
      <c r="I421" s="352"/>
      <c r="J421" s="352"/>
      <c r="K421" s="352"/>
      <c r="L421" s="352"/>
      <c r="M421" s="352"/>
      <c r="N421" s="352"/>
      <c r="O421" s="352"/>
      <c r="P421" s="352"/>
      <c r="Q421" s="352"/>
      <c r="R421" s="352"/>
    </row>
    <row r="422" ht="32.25" customHeight="1">
      <c r="A422" s="102">
        <v>15.0</v>
      </c>
      <c r="B422" s="123"/>
      <c r="C422" s="123"/>
      <c r="D422" s="107"/>
      <c r="E422" s="107"/>
      <c r="F422" s="108"/>
      <c r="G422" s="108"/>
      <c r="H422" s="391"/>
      <c r="I422" s="352"/>
      <c r="J422" s="352"/>
      <c r="K422" s="352"/>
      <c r="L422" s="352"/>
      <c r="M422" s="352"/>
      <c r="N422" s="352"/>
      <c r="O422" s="352"/>
      <c r="P422" s="352"/>
      <c r="Q422" s="352"/>
      <c r="R422" s="352"/>
    </row>
    <row r="423" ht="32.25" customHeight="1">
      <c r="A423" s="58"/>
      <c r="B423" s="149"/>
      <c r="C423" s="58"/>
      <c r="D423" s="58"/>
      <c r="E423" s="102" t="s">
        <v>144</v>
      </c>
      <c r="F423" s="150"/>
      <c r="G423" s="58"/>
      <c r="H423" s="373"/>
      <c r="I423" s="352"/>
      <c r="J423" s="352"/>
      <c r="K423" s="352"/>
      <c r="L423" s="352"/>
      <c r="M423" s="352"/>
      <c r="N423" s="352"/>
      <c r="O423" s="352"/>
      <c r="P423" s="352"/>
      <c r="Q423" s="352"/>
      <c r="R423" s="352"/>
    </row>
    <row r="424" ht="32.25" customHeight="1">
      <c r="A424" s="58"/>
      <c r="B424" s="149"/>
      <c r="C424" s="58"/>
      <c r="D424" s="58"/>
      <c r="E424" s="102" t="s">
        <v>145</v>
      </c>
      <c r="F424" s="150">
        <v>185.0</v>
      </c>
      <c r="G424" s="58"/>
      <c r="H424" s="373"/>
      <c r="I424" s="352"/>
      <c r="J424" s="352"/>
      <c r="K424" s="352"/>
      <c r="L424" s="352"/>
      <c r="M424" s="352"/>
      <c r="N424" s="352"/>
      <c r="O424" s="352"/>
      <c r="P424" s="352"/>
      <c r="Q424" s="352"/>
      <c r="R424" s="352"/>
    </row>
    <row r="425" ht="32.25" customHeight="1">
      <c r="A425" s="58"/>
      <c r="B425" s="149"/>
      <c r="C425" s="58"/>
      <c r="D425" s="58"/>
      <c r="E425" s="102" t="s">
        <v>146</v>
      </c>
      <c r="F425" s="150">
        <v>185.0</v>
      </c>
      <c r="G425" s="58"/>
      <c r="H425" s="373"/>
      <c r="I425" s="352"/>
      <c r="J425" s="352"/>
      <c r="K425" s="352"/>
      <c r="L425" s="352"/>
      <c r="M425" s="352"/>
      <c r="N425" s="352"/>
      <c r="O425" s="352"/>
      <c r="P425" s="352"/>
      <c r="Q425" s="352"/>
      <c r="R425" s="352"/>
    </row>
    <row r="426" ht="32.25" customHeight="1">
      <c r="A426" s="58"/>
      <c r="B426" s="149"/>
      <c r="C426" s="58"/>
      <c r="D426" s="58"/>
      <c r="E426" s="102" t="s">
        <v>147</v>
      </c>
      <c r="F426" s="150">
        <v>140.0</v>
      </c>
      <c r="G426" s="58"/>
      <c r="H426" s="373"/>
      <c r="I426" s="352"/>
      <c r="J426" s="352"/>
      <c r="K426" s="352"/>
      <c r="L426" s="352"/>
      <c r="M426" s="352"/>
      <c r="N426" s="352"/>
      <c r="O426" s="352"/>
      <c r="P426" s="352"/>
      <c r="Q426" s="352"/>
      <c r="R426" s="352"/>
    </row>
    <row r="427" ht="32.25" customHeight="1">
      <c r="A427" s="58"/>
      <c r="B427" s="149"/>
      <c r="C427" s="58"/>
      <c r="D427" s="58"/>
      <c r="E427" s="102" t="s">
        <v>148</v>
      </c>
      <c r="F427" s="150">
        <v>45.0</v>
      </c>
      <c r="G427" s="58"/>
      <c r="H427" s="373"/>
      <c r="I427" s="352"/>
      <c r="J427" s="352"/>
      <c r="K427" s="352"/>
      <c r="L427" s="352"/>
      <c r="M427" s="352"/>
      <c r="N427" s="352"/>
      <c r="O427" s="352"/>
      <c r="P427" s="352"/>
      <c r="Q427" s="352"/>
      <c r="R427" s="352"/>
    </row>
    <row r="428" ht="32.25" customHeight="1">
      <c r="A428" s="102" t="s">
        <v>4</v>
      </c>
      <c r="B428" s="102" t="s">
        <v>5</v>
      </c>
      <c r="C428" s="102" t="s">
        <v>126</v>
      </c>
      <c r="D428" s="102" t="s">
        <v>6</v>
      </c>
      <c r="E428" s="102" t="s">
        <v>7</v>
      </c>
      <c r="F428" s="102" t="s">
        <v>127</v>
      </c>
      <c r="G428" s="102" t="s">
        <v>128</v>
      </c>
      <c r="H428" s="313"/>
      <c r="I428" s="352"/>
      <c r="J428" s="352"/>
      <c r="K428" s="352"/>
      <c r="L428" s="352"/>
      <c r="M428" s="352"/>
      <c r="N428" s="352"/>
      <c r="O428" s="352"/>
      <c r="P428" s="352"/>
      <c r="Q428" s="352"/>
      <c r="R428" s="352"/>
    </row>
    <row r="429" ht="32.25" customHeight="1">
      <c r="A429" s="102">
        <v>1.0</v>
      </c>
      <c r="B429" s="147">
        <v>46114.0</v>
      </c>
      <c r="C429" s="148" t="s">
        <v>211</v>
      </c>
      <c r="D429" s="107" t="s">
        <v>2036</v>
      </c>
      <c r="E429" s="107" t="s">
        <v>2109</v>
      </c>
      <c r="F429" s="108" t="s">
        <v>2110</v>
      </c>
      <c r="G429" s="108"/>
      <c r="H429" s="391"/>
      <c r="I429" s="352"/>
      <c r="J429" s="352"/>
      <c r="K429" s="352"/>
      <c r="L429" s="352"/>
      <c r="M429" s="352"/>
      <c r="N429" s="352"/>
      <c r="O429" s="352"/>
      <c r="P429" s="352"/>
      <c r="Q429" s="352"/>
      <c r="R429" s="352"/>
    </row>
    <row r="430" ht="32.25" customHeight="1">
      <c r="A430" s="102">
        <v>2.0</v>
      </c>
      <c r="B430" s="123"/>
      <c r="C430" s="123"/>
      <c r="D430" s="107"/>
      <c r="E430" s="107" t="s">
        <v>1730</v>
      </c>
      <c r="F430" s="108"/>
      <c r="G430" s="398" t="s">
        <v>2111</v>
      </c>
      <c r="H430" s="391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</row>
    <row r="431" ht="32.25" customHeight="1">
      <c r="A431" s="150">
        <v>3.0</v>
      </c>
      <c r="B431" s="123"/>
      <c r="C431" s="123"/>
      <c r="D431" s="107"/>
      <c r="E431" s="399" t="s">
        <v>2112</v>
      </c>
      <c r="F431" s="108"/>
      <c r="G431" s="108"/>
      <c r="H431" s="400"/>
      <c r="I431" s="401"/>
      <c r="J431" s="401"/>
      <c r="K431" s="401"/>
      <c r="L431" s="401"/>
      <c r="M431" s="401"/>
      <c r="N431" s="401"/>
      <c r="O431" s="401"/>
      <c r="P431" s="401"/>
      <c r="Q431" s="401"/>
      <c r="R431" s="401"/>
    </row>
    <row r="432" ht="32.25" customHeight="1">
      <c r="A432" s="102">
        <v>4.0</v>
      </c>
      <c r="B432" s="123"/>
      <c r="C432" s="123"/>
      <c r="D432" s="107"/>
      <c r="E432" s="107" t="s">
        <v>2113</v>
      </c>
      <c r="F432" s="108"/>
      <c r="G432" s="108"/>
      <c r="H432" s="391"/>
      <c r="I432" s="352"/>
      <c r="J432" s="352"/>
      <c r="K432" s="352"/>
      <c r="L432" s="352"/>
      <c r="M432" s="352"/>
      <c r="N432" s="352"/>
      <c r="O432" s="352"/>
      <c r="P432" s="352"/>
      <c r="Q432" s="352"/>
      <c r="R432" s="352"/>
    </row>
    <row r="433" ht="32.25" customHeight="1">
      <c r="A433" s="102">
        <v>5.0</v>
      </c>
      <c r="B433" s="123"/>
      <c r="C433" s="123"/>
      <c r="D433" s="107"/>
      <c r="E433" s="107" t="s">
        <v>2114</v>
      </c>
      <c r="F433" s="108"/>
      <c r="G433" s="108"/>
      <c r="H433" s="391"/>
      <c r="I433" s="352"/>
      <c r="J433" s="352"/>
      <c r="K433" s="352"/>
      <c r="L433" s="352"/>
      <c r="M433" s="352"/>
      <c r="N433" s="352"/>
      <c r="O433" s="352"/>
      <c r="P433" s="352"/>
      <c r="Q433" s="352"/>
      <c r="R433" s="352"/>
    </row>
    <row r="434" ht="32.25" customHeight="1">
      <c r="A434" s="102">
        <v>6.0</v>
      </c>
      <c r="B434" s="123"/>
      <c r="C434" s="123"/>
      <c r="D434" s="107"/>
      <c r="E434" s="107"/>
      <c r="F434" s="108"/>
      <c r="G434" s="108"/>
      <c r="H434" s="391"/>
      <c r="I434" s="352"/>
      <c r="J434" s="352"/>
      <c r="K434" s="352"/>
      <c r="L434" s="352"/>
      <c r="M434" s="352"/>
      <c r="N434" s="352"/>
      <c r="O434" s="352"/>
      <c r="P434" s="352"/>
      <c r="Q434" s="352"/>
      <c r="R434" s="352"/>
    </row>
    <row r="435" ht="32.25" customHeight="1">
      <c r="A435" s="102">
        <v>7.0</v>
      </c>
      <c r="B435" s="123"/>
      <c r="C435" s="123"/>
      <c r="D435" s="107"/>
      <c r="E435" s="107"/>
      <c r="F435" s="108"/>
      <c r="G435" s="108"/>
      <c r="H435" s="391"/>
      <c r="I435" s="352"/>
      <c r="J435" s="352"/>
      <c r="K435" s="352"/>
      <c r="L435" s="352"/>
      <c r="M435" s="352"/>
      <c r="N435" s="352"/>
      <c r="O435" s="352"/>
      <c r="P435" s="352"/>
      <c r="Q435" s="352"/>
      <c r="R435" s="352"/>
    </row>
    <row r="436" ht="32.25" customHeight="1">
      <c r="A436" s="102">
        <v>8.0</v>
      </c>
      <c r="B436" s="123"/>
      <c r="C436" s="123"/>
      <c r="D436" s="107"/>
      <c r="E436" s="107"/>
      <c r="F436" s="108"/>
      <c r="G436" s="108"/>
      <c r="H436" s="391"/>
      <c r="I436" s="352"/>
      <c r="J436" s="352"/>
      <c r="K436" s="352"/>
      <c r="L436" s="352"/>
      <c r="M436" s="352"/>
      <c r="N436" s="352"/>
      <c r="O436" s="352"/>
      <c r="P436" s="352"/>
      <c r="Q436" s="352"/>
      <c r="R436" s="352"/>
    </row>
    <row r="437" ht="32.25" customHeight="1">
      <c r="A437" s="102">
        <v>9.0</v>
      </c>
      <c r="B437" s="123"/>
      <c r="C437" s="123"/>
      <c r="D437" s="107"/>
      <c r="E437" s="107"/>
      <c r="F437" s="108"/>
      <c r="G437" s="108"/>
      <c r="H437" s="391"/>
      <c r="I437" s="352"/>
      <c r="J437" s="352"/>
      <c r="K437" s="352"/>
      <c r="L437" s="352"/>
      <c r="M437" s="352"/>
      <c r="N437" s="352"/>
      <c r="O437" s="352"/>
      <c r="P437" s="352"/>
      <c r="Q437" s="352"/>
      <c r="R437" s="352"/>
    </row>
    <row r="438" ht="32.25" customHeight="1">
      <c r="A438" s="102">
        <v>10.0</v>
      </c>
      <c r="B438" s="123"/>
      <c r="C438" s="123"/>
      <c r="D438" s="107"/>
      <c r="E438" s="107"/>
      <c r="F438" s="108"/>
      <c r="G438" s="108"/>
      <c r="H438" s="391"/>
      <c r="I438" s="352"/>
      <c r="J438" s="352"/>
      <c r="K438" s="352"/>
      <c r="L438" s="352"/>
      <c r="M438" s="352"/>
      <c r="N438" s="352"/>
      <c r="O438" s="352"/>
      <c r="P438" s="352"/>
      <c r="Q438" s="352"/>
      <c r="R438" s="352"/>
    </row>
    <row r="439" ht="32.25" customHeight="1">
      <c r="A439" s="102">
        <v>11.0</v>
      </c>
      <c r="B439" s="123"/>
      <c r="C439" s="123"/>
      <c r="D439" s="107"/>
      <c r="E439" s="107"/>
      <c r="F439" s="108"/>
      <c r="G439" s="108"/>
      <c r="H439" s="391"/>
      <c r="I439" s="352"/>
      <c r="J439" s="352"/>
      <c r="K439" s="352"/>
      <c r="L439" s="352"/>
      <c r="M439" s="352"/>
      <c r="N439" s="352"/>
      <c r="O439" s="352"/>
      <c r="P439" s="352"/>
      <c r="Q439" s="352"/>
      <c r="R439" s="352"/>
    </row>
    <row r="440" ht="32.25" customHeight="1">
      <c r="A440" s="102">
        <v>12.0</v>
      </c>
      <c r="B440" s="123"/>
      <c r="C440" s="123"/>
      <c r="D440" s="107"/>
      <c r="E440" s="107"/>
      <c r="F440" s="108"/>
      <c r="G440" s="108"/>
      <c r="H440" s="391"/>
      <c r="I440" s="352"/>
      <c r="J440" s="352"/>
      <c r="K440" s="352"/>
      <c r="L440" s="352"/>
      <c r="M440" s="352"/>
      <c r="N440" s="352"/>
      <c r="O440" s="352"/>
      <c r="P440" s="352"/>
      <c r="Q440" s="352"/>
      <c r="R440" s="352"/>
    </row>
    <row r="441" ht="32.25" customHeight="1">
      <c r="A441" s="102">
        <v>13.0</v>
      </c>
      <c r="B441" s="123"/>
      <c r="C441" s="123"/>
      <c r="D441" s="107"/>
      <c r="E441" s="107"/>
      <c r="F441" s="108"/>
      <c r="G441" s="108"/>
      <c r="H441" s="391"/>
      <c r="I441" s="352"/>
      <c r="J441" s="352"/>
      <c r="K441" s="352"/>
      <c r="L441" s="352"/>
      <c r="M441" s="352"/>
      <c r="N441" s="352"/>
      <c r="O441" s="352"/>
      <c r="P441" s="352"/>
      <c r="Q441" s="352"/>
      <c r="R441" s="352"/>
    </row>
    <row r="442" ht="32.25" customHeight="1">
      <c r="A442" s="102">
        <v>14.0</v>
      </c>
      <c r="B442" s="123"/>
      <c r="C442" s="123"/>
      <c r="D442" s="107"/>
      <c r="E442" s="107"/>
      <c r="F442" s="108"/>
      <c r="G442" s="108"/>
      <c r="H442" s="391"/>
      <c r="I442" s="352"/>
      <c r="J442" s="352"/>
      <c r="K442" s="352"/>
      <c r="L442" s="352"/>
      <c r="M442" s="352"/>
      <c r="N442" s="352"/>
      <c r="O442" s="352"/>
      <c r="P442" s="352"/>
      <c r="Q442" s="352"/>
      <c r="R442" s="352"/>
    </row>
    <row r="443" ht="32.25" customHeight="1">
      <c r="A443" s="102">
        <v>15.0</v>
      </c>
      <c r="B443" s="123"/>
      <c r="C443" s="123"/>
      <c r="D443" s="107"/>
      <c r="E443" s="107"/>
      <c r="F443" s="108"/>
      <c r="G443" s="108"/>
      <c r="H443" s="391"/>
      <c r="I443" s="352"/>
      <c r="J443" s="352"/>
      <c r="K443" s="352"/>
      <c r="L443" s="352"/>
      <c r="M443" s="352"/>
      <c r="N443" s="352"/>
      <c r="O443" s="352"/>
      <c r="P443" s="352"/>
      <c r="Q443" s="352"/>
      <c r="R443" s="352"/>
    </row>
    <row r="444" ht="32.25" customHeight="1">
      <c r="A444" s="58"/>
      <c r="B444" s="149"/>
      <c r="C444" s="58"/>
      <c r="D444" s="58"/>
      <c r="E444" s="102" t="s">
        <v>144</v>
      </c>
      <c r="F444" s="150">
        <v>85.0</v>
      </c>
      <c r="G444" s="58"/>
      <c r="H444" s="373"/>
      <c r="I444" s="352"/>
      <c r="J444" s="352"/>
      <c r="K444" s="352"/>
      <c r="L444" s="352"/>
      <c r="M444" s="352"/>
      <c r="N444" s="352"/>
      <c r="O444" s="352"/>
      <c r="P444" s="352"/>
      <c r="Q444" s="352"/>
      <c r="R444" s="352"/>
    </row>
    <row r="445" ht="32.25" customHeight="1">
      <c r="A445" s="58"/>
      <c r="B445" s="149"/>
      <c r="C445" s="58"/>
      <c r="D445" s="58"/>
      <c r="E445" s="102" t="s">
        <v>145</v>
      </c>
      <c r="F445" s="150">
        <v>275.0</v>
      </c>
      <c r="G445" s="58"/>
      <c r="H445" s="373"/>
      <c r="I445" s="352"/>
      <c r="J445" s="352"/>
      <c r="K445" s="352"/>
      <c r="L445" s="352"/>
      <c r="M445" s="352"/>
      <c r="N445" s="352"/>
      <c r="O445" s="352"/>
      <c r="P445" s="352"/>
      <c r="Q445" s="352"/>
      <c r="R445" s="352"/>
    </row>
    <row r="446" ht="32.25" customHeight="1">
      <c r="A446" s="58"/>
      <c r="B446" s="149"/>
      <c r="C446" s="58"/>
      <c r="D446" s="58"/>
      <c r="E446" s="102" t="s">
        <v>146</v>
      </c>
      <c r="F446" s="150">
        <v>370.0</v>
      </c>
      <c r="G446" s="58"/>
      <c r="H446" s="373"/>
      <c r="I446" s="352"/>
      <c r="J446" s="352"/>
      <c r="K446" s="352"/>
      <c r="L446" s="352"/>
      <c r="M446" s="352"/>
      <c r="N446" s="352"/>
      <c r="O446" s="352"/>
      <c r="P446" s="352"/>
      <c r="Q446" s="352"/>
      <c r="R446" s="352"/>
    </row>
    <row r="447" ht="32.25" customHeight="1">
      <c r="A447" s="58"/>
      <c r="B447" s="149"/>
      <c r="C447" s="58"/>
      <c r="D447" s="58"/>
      <c r="E447" s="102" t="s">
        <v>147</v>
      </c>
      <c r="F447" s="150">
        <v>275.0</v>
      </c>
      <c r="G447" s="58"/>
      <c r="H447" s="373"/>
      <c r="I447" s="352"/>
      <c r="J447" s="352"/>
      <c r="K447" s="352"/>
      <c r="L447" s="352"/>
      <c r="M447" s="352"/>
      <c r="N447" s="352"/>
      <c r="O447" s="352"/>
      <c r="P447" s="352"/>
      <c r="Q447" s="352"/>
      <c r="R447" s="352"/>
    </row>
    <row r="448" ht="32.25" customHeight="1">
      <c r="A448" s="58"/>
      <c r="B448" s="149"/>
      <c r="C448" s="58"/>
      <c r="D448" s="58"/>
      <c r="E448" s="102" t="s">
        <v>148</v>
      </c>
      <c r="F448" s="150">
        <v>0.0</v>
      </c>
      <c r="G448" s="58"/>
      <c r="H448" s="373"/>
      <c r="I448" s="352"/>
      <c r="J448" s="352"/>
      <c r="K448" s="352"/>
      <c r="L448" s="352"/>
      <c r="M448" s="352"/>
      <c r="N448" s="352"/>
      <c r="O448" s="352"/>
      <c r="P448" s="352"/>
      <c r="Q448" s="352"/>
      <c r="R448" s="352"/>
    </row>
    <row r="449" ht="32.25" customHeight="1">
      <c r="A449" s="58"/>
      <c r="B449" s="149"/>
      <c r="C449" s="58"/>
      <c r="D449" s="58"/>
      <c r="E449" s="58"/>
      <c r="F449" s="58"/>
      <c r="G449" s="101" t="s">
        <v>2115</v>
      </c>
      <c r="H449" s="373"/>
      <c r="I449" s="352"/>
      <c r="J449" s="352"/>
      <c r="K449" s="352"/>
      <c r="L449" s="352"/>
      <c r="M449" s="352"/>
      <c r="N449" s="352"/>
      <c r="O449" s="352"/>
      <c r="P449" s="352"/>
      <c r="Q449" s="352"/>
      <c r="R449" s="352"/>
    </row>
    <row r="450" ht="32.25" customHeight="1">
      <c r="A450" s="102" t="s">
        <v>4</v>
      </c>
      <c r="B450" s="102" t="s">
        <v>5</v>
      </c>
      <c r="C450" s="102" t="s">
        <v>126</v>
      </c>
      <c r="D450" s="102" t="s">
        <v>6</v>
      </c>
      <c r="E450" s="102" t="s">
        <v>7</v>
      </c>
      <c r="F450" s="102" t="s">
        <v>127</v>
      </c>
      <c r="G450" s="102" t="s">
        <v>128</v>
      </c>
      <c r="H450" s="313"/>
      <c r="I450" s="352"/>
      <c r="J450" s="352"/>
      <c r="K450" s="352"/>
      <c r="L450" s="352"/>
      <c r="M450" s="352"/>
      <c r="N450" s="352"/>
      <c r="O450" s="352"/>
      <c r="P450" s="352"/>
      <c r="Q450" s="352"/>
      <c r="R450" s="352"/>
    </row>
    <row r="451" ht="32.25" customHeight="1">
      <c r="A451" s="102">
        <v>1.0</v>
      </c>
      <c r="B451" s="147">
        <v>46116.0</v>
      </c>
      <c r="C451" s="148" t="s">
        <v>1041</v>
      </c>
      <c r="D451" s="107" t="s">
        <v>2036</v>
      </c>
      <c r="E451" s="107" t="s">
        <v>2116</v>
      </c>
      <c r="F451" s="108"/>
      <c r="G451" s="108"/>
      <c r="H451" s="391"/>
      <c r="I451" s="352"/>
      <c r="J451" s="352"/>
      <c r="K451" s="352"/>
      <c r="L451" s="352"/>
      <c r="M451" s="352"/>
      <c r="N451" s="352"/>
      <c r="O451" s="352"/>
      <c r="P451" s="352"/>
      <c r="Q451" s="352"/>
      <c r="R451" s="352"/>
    </row>
    <row r="452" ht="32.25" customHeight="1">
      <c r="A452" s="102">
        <v>2.0</v>
      </c>
      <c r="B452" s="123"/>
      <c r="C452" s="123"/>
      <c r="D452" s="107"/>
      <c r="E452" s="107" t="s">
        <v>2117</v>
      </c>
      <c r="F452" s="108"/>
      <c r="G452" s="398" t="s">
        <v>2111</v>
      </c>
      <c r="H452" s="391"/>
      <c r="I452" s="352"/>
      <c r="J452" s="352"/>
      <c r="K452" s="352"/>
      <c r="L452" s="352"/>
      <c r="M452" s="352"/>
      <c r="N452" s="352"/>
      <c r="O452" s="352"/>
      <c r="P452" s="352"/>
      <c r="Q452" s="352"/>
      <c r="R452" s="352"/>
    </row>
    <row r="453" ht="32.25" customHeight="1">
      <c r="A453" s="150">
        <v>3.0</v>
      </c>
      <c r="B453" s="123"/>
      <c r="C453" s="123"/>
      <c r="D453" s="107"/>
      <c r="E453" s="399" t="s">
        <v>352</v>
      </c>
      <c r="F453" s="108"/>
      <c r="G453" s="108"/>
      <c r="H453" s="400"/>
      <c r="I453" s="352"/>
      <c r="J453" s="352"/>
      <c r="K453" s="352"/>
      <c r="L453" s="352"/>
      <c r="M453" s="352"/>
      <c r="N453" s="352"/>
      <c r="O453" s="352"/>
      <c r="P453" s="352"/>
      <c r="Q453" s="352"/>
      <c r="R453" s="352"/>
    </row>
    <row r="454" ht="32.25" customHeight="1">
      <c r="A454" s="102">
        <v>4.0</v>
      </c>
      <c r="B454" s="123"/>
      <c r="C454" s="123"/>
      <c r="D454" s="107"/>
      <c r="E454" s="107"/>
      <c r="F454" s="108"/>
      <c r="G454" s="108"/>
      <c r="H454" s="391"/>
      <c r="I454" s="352"/>
      <c r="J454" s="352"/>
      <c r="K454" s="352"/>
      <c r="L454" s="352"/>
      <c r="M454" s="352"/>
      <c r="N454" s="352"/>
      <c r="O454" s="352"/>
      <c r="P454" s="352"/>
      <c r="Q454" s="352"/>
      <c r="R454" s="352"/>
    </row>
    <row r="455" ht="32.25" customHeight="1">
      <c r="A455" s="102">
        <v>5.0</v>
      </c>
      <c r="B455" s="123"/>
      <c r="C455" s="123"/>
      <c r="D455" s="107"/>
      <c r="E455" s="107"/>
      <c r="F455" s="108"/>
      <c r="G455" s="108"/>
      <c r="H455" s="391"/>
      <c r="I455" s="352"/>
      <c r="J455" s="352"/>
      <c r="K455" s="352"/>
      <c r="L455" s="352"/>
      <c r="M455" s="352"/>
      <c r="N455" s="352"/>
      <c r="O455" s="352"/>
      <c r="P455" s="352"/>
      <c r="Q455" s="352"/>
      <c r="R455" s="352"/>
    </row>
    <row r="456" ht="32.25" customHeight="1">
      <c r="A456" s="102">
        <v>6.0</v>
      </c>
      <c r="B456" s="123"/>
      <c r="C456" s="123"/>
      <c r="D456" s="107"/>
      <c r="E456" s="107"/>
      <c r="F456" s="108"/>
      <c r="G456" s="108"/>
      <c r="H456" s="391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</row>
    <row r="457" ht="32.25" customHeight="1">
      <c r="A457" s="102">
        <v>7.0</v>
      </c>
      <c r="B457" s="123"/>
      <c r="C457" s="123"/>
      <c r="D457" s="107"/>
      <c r="E457" s="107"/>
      <c r="F457" s="108"/>
      <c r="G457" s="108"/>
      <c r="H457" s="391"/>
      <c r="I457" s="352"/>
      <c r="J457" s="352"/>
      <c r="K457" s="352"/>
      <c r="L457" s="352"/>
      <c r="M457" s="352"/>
      <c r="N457" s="352"/>
      <c r="O457" s="352"/>
      <c r="P457" s="352"/>
      <c r="Q457" s="352"/>
      <c r="R457" s="352"/>
    </row>
    <row r="458" ht="32.25" customHeight="1">
      <c r="A458" s="102">
        <v>8.0</v>
      </c>
      <c r="B458" s="123"/>
      <c r="C458" s="123"/>
      <c r="D458" s="107"/>
      <c r="E458" s="107"/>
      <c r="F458" s="108"/>
      <c r="G458" s="108"/>
      <c r="H458" s="391"/>
      <c r="I458" s="352"/>
      <c r="J458" s="352"/>
      <c r="K458" s="352"/>
      <c r="L458" s="352"/>
      <c r="M458" s="352"/>
      <c r="N458" s="352"/>
      <c r="O458" s="352"/>
      <c r="P458" s="352"/>
      <c r="Q458" s="352"/>
      <c r="R458" s="352"/>
    </row>
    <row r="459" ht="32.25" customHeight="1">
      <c r="A459" s="102">
        <v>9.0</v>
      </c>
      <c r="B459" s="123"/>
      <c r="C459" s="123"/>
      <c r="D459" s="107"/>
      <c r="E459" s="107"/>
      <c r="F459" s="108"/>
      <c r="G459" s="108"/>
      <c r="H459" s="391"/>
      <c r="I459" s="352"/>
      <c r="J459" s="352"/>
      <c r="K459" s="352"/>
      <c r="L459" s="352"/>
      <c r="M459" s="352"/>
      <c r="N459" s="352"/>
      <c r="O459" s="352"/>
      <c r="P459" s="352"/>
      <c r="Q459" s="352"/>
      <c r="R459" s="352"/>
    </row>
    <row r="460" ht="32.25" customHeight="1">
      <c r="A460" s="102">
        <v>10.0</v>
      </c>
      <c r="B460" s="123"/>
      <c r="C460" s="123"/>
      <c r="D460" s="107"/>
      <c r="E460" s="107"/>
      <c r="F460" s="108"/>
      <c r="G460" s="108"/>
      <c r="H460" s="391"/>
      <c r="I460" s="352"/>
      <c r="J460" s="352"/>
      <c r="K460" s="352"/>
      <c r="L460" s="352"/>
      <c r="M460" s="352"/>
      <c r="N460" s="352"/>
      <c r="O460" s="352"/>
      <c r="P460" s="352"/>
      <c r="Q460" s="352"/>
      <c r="R460" s="352"/>
    </row>
    <row r="461" ht="32.25" customHeight="1">
      <c r="A461" s="102">
        <v>11.0</v>
      </c>
      <c r="B461" s="123"/>
      <c r="C461" s="123"/>
      <c r="D461" s="107"/>
      <c r="E461" s="107"/>
      <c r="F461" s="108"/>
      <c r="G461" s="108"/>
      <c r="H461" s="391"/>
      <c r="I461" s="352"/>
      <c r="J461" s="352"/>
      <c r="K461" s="352"/>
      <c r="L461" s="352"/>
      <c r="M461" s="352"/>
      <c r="N461" s="352"/>
      <c r="O461" s="352"/>
      <c r="P461" s="352"/>
      <c r="Q461" s="352"/>
      <c r="R461" s="352"/>
    </row>
    <row r="462" ht="32.25" customHeight="1">
      <c r="A462" s="102">
        <v>12.0</v>
      </c>
      <c r="B462" s="123"/>
      <c r="C462" s="123"/>
      <c r="D462" s="107"/>
      <c r="E462" s="107"/>
      <c r="F462" s="108"/>
      <c r="G462" s="108"/>
      <c r="H462" s="391"/>
      <c r="I462" s="352"/>
      <c r="J462" s="352"/>
      <c r="K462" s="352"/>
      <c r="L462" s="352"/>
      <c r="M462" s="352"/>
      <c r="N462" s="352"/>
      <c r="O462" s="352"/>
      <c r="P462" s="352"/>
      <c r="Q462" s="352"/>
      <c r="R462" s="352"/>
    </row>
    <row r="463" ht="32.25" customHeight="1">
      <c r="A463" s="102">
        <v>13.0</v>
      </c>
      <c r="B463" s="123"/>
      <c r="C463" s="123"/>
      <c r="D463" s="107"/>
      <c r="E463" s="107"/>
      <c r="F463" s="108"/>
      <c r="G463" s="108"/>
      <c r="H463" s="391"/>
      <c r="I463" s="352"/>
      <c r="J463" s="352"/>
      <c r="K463" s="352"/>
      <c r="L463" s="352"/>
      <c r="M463" s="352"/>
      <c r="N463" s="352"/>
      <c r="O463" s="352"/>
      <c r="P463" s="352"/>
      <c r="Q463" s="352"/>
      <c r="R463" s="352"/>
    </row>
    <row r="464" ht="32.25" customHeight="1">
      <c r="A464" s="102">
        <v>14.0</v>
      </c>
      <c r="B464" s="123"/>
      <c r="C464" s="123"/>
      <c r="D464" s="107"/>
      <c r="E464" s="107"/>
      <c r="F464" s="108"/>
      <c r="G464" s="108"/>
      <c r="H464" s="391"/>
      <c r="I464" s="352"/>
      <c r="J464" s="352"/>
      <c r="K464" s="352"/>
      <c r="L464" s="352"/>
      <c r="M464" s="352"/>
      <c r="N464" s="352"/>
      <c r="O464" s="352"/>
      <c r="P464" s="352"/>
      <c r="Q464" s="352"/>
      <c r="R464" s="352"/>
    </row>
    <row r="465" ht="32.25" customHeight="1">
      <c r="A465" s="102">
        <v>15.0</v>
      </c>
      <c r="B465" s="123"/>
      <c r="C465" s="123"/>
      <c r="D465" s="107"/>
      <c r="E465" s="107"/>
      <c r="F465" s="108"/>
      <c r="G465" s="108"/>
      <c r="H465" s="391"/>
      <c r="I465" s="352"/>
      <c r="J465" s="352"/>
      <c r="K465" s="352"/>
      <c r="L465" s="352"/>
      <c r="M465" s="352"/>
      <c r="N465" s="352"/>
      <c r="O465" s="352"/>
      <c r="P465" s="352"/>
      <c r="Q465" s="352"/>
      <c r="R465" s="352"/>
    </row>
    <row r="466" ht="32.25" customHeight="1">
      <c r="A466" s="58"/>
      <c r="B466" s="149"/>
      <c r="C466" s="58"/>
      <c r="D466" s="58"/>
      <c r="E466" s="102" t="s">
        <v>144</v>
      </c>
      <c r="F466" s="150">
        <v>300.0</v>
      </c>
      <c r="G466" s="58"/>
      <c r="H466" s="373"/>
      <c r="I466" s="352"/>
      <c r="J466" s="352"/>
      <c r="K466" s="352"/>
      <c r="L466" s="352"/>
      <c r="M466" s="352"/>
      <c r="N466" s="352"/>
      <c r="O466" s="352"/>
      <c r="P466" s="352"/>
      <c r="Q466" s="352"/>
      <c r="R466" s="352"/>
    </row>
    <row r="467" ht="32.25" customHeight="1">
      <c r="A467" s="58"/>
      <c r="B467" s="149"/>
      <c r="C467" s="58"/>
      <c r="D467" s="58"/>
      <c r="E467" s="102" t="s">
        <v>145</v>
      </c>
      <c r="F467" s="150">
        <v>340.0</v>
      </c>
      <c r="G467" s="58"/>
      <c r="H467" s="373"/>
      <c r="I467" s="352"/>
      <c r="J467" s="352"/>
      <c r="K467" s="352"/>
      <c r="L467" s="352"/>
      <c r="M467" s="352"/>
      <c r="N467" s="352"/>
      <c r="O467" s="352"/>
      <c r="P467" s="352"/>
      <c r="Q467" s="352"/>
      <c r="R467" s="352"/>
    </row>
    <row r="468" ht="32.25" customHeight="1">
      <c r="A468" s="58"/>
      <c r="B468" s="149"/>
      <c r="C468" s="58"/>
      <c r="D468" s="58"/>
      <c r="E468" s="102" t="s">
        <v>146</v>
      </c>
      <c r="F468" s="150">
        <v>190.0</v>
      </c>
      <c r="G468" s="58"/>
      <c r="H468" s="373"/>
      <c r="I468" s="352"/>
      <c r="J468" s="352"/>
      <c r="K468" s="352"/>
      <c r="L468" s="352"/>
      <c r="M468" s="352"/>
      <c r="N468" s="352"/>
      <c r="O468" s="352"/>
      <c r="P468" s="352"/>
      <c r="Q468" s="352"/>
      <c r="R468" s="352"/>
    </row>
    <row r="469" ht="32.25" customHeight="1">
      <c r="A469" s="58"/>
      <c r="B469" s="149"/>
      <c r="C469" s="58"/>
      <c r="D469" s="58"/>
      <c r="E469" s="102" t="s">
        <v>147</v>
      </c>
      <c r="F469" s="150">
        <v>160.0</v>
      </c>
      <c r="G469" s="58"/>
      <c r="H469" s="373"/>
      <c r="I469" s="352"/>
      <c r="J469" s="352"/>
      <c r="K469" s="352"/>
      <c r="L469" s="352"/>
      <c r="M469" s="352"/>
      <c r="N469" s="352"/>
      <c r="O469" s="352"/>
      <c r="P469" s="352"/>
      <c r="Q469" s="352"/>
      <c r="R469" s="352"/>
    </row>
    <row r="470" ht="32.25" customHeight="1">
      <c r="A470" s="58"/>
      <c r="B470" s="149"/>
      <c r="C470" s="58"/>
      <c r="D470" s="58"/>
      <c r="E470" s="102" t="s">
        <v>148</v>
      </c>
      <c r="F470" s="150"/>
      <c r="G470" s="212" t="s">
        <v>2118</v>
      </c>
      <c r="H470" s="373"/>
      <c r="I470" s="352"/>
      <c r="J470" s="352"/>
      <c r="K470" s="352"/>
      <c r="L470" s="352"/>
      <c r="M470" s="352"/>
      <c r="N470" s="352"/>
      <c r="O470" s="352"/>
      <c r="P470" s="352"/>
      <c r="Q470" s="352"/>
      <c r="R470" s="352"/>
    </row>
    <row r="471" ht="32.25" customHeight="1">
      <c r="A471" s="102" t="s">
        <v>4</v>
      </c>
      <c r="B471" s="102" t="s">
        <v>5</v>
      </c>
      <c r="C471" s="102" t="s">
        <v>126</v>
      </c>
      <c r="D471" s="102" t="s">
        <v>6</v>
      </c>
      <c r="E471" s="102" t="s">
        <v>7</v>
      </c>
      <c r="F471" s="102" t="s">
        <v>127</v>
      </c>
      <c r="G471" s="102" t="s">
        <v>128</v>
      </c>
      <c r="H471" s="313"/>
      <c r="I471" s="352"/>
      <c r="J471" s="352"/>
      <c r="K471" s="352"/>
      <c r="L471" s="352"/>
      <c r="M471" s="352"/>
      <c r="N471" s="352"/>
      <c r="O471" s="352"/>
      <c r="P471" s="352"/>
      <c r="Q471" s="352"/>
      <c r="R471" s="352"/>
    </row>
    <row r="472" ht="32.25" customHeight="1">
      <c r="A472" s="102">
        <v>1.0</v>
      </c>
      <c r="B472" s="147">
        <v>46117.0</v>
      </c>
      <c r="C472" s="148" t="s">
        <v>476</v>
      </c>
      <c r="D472" s="107" t="s">
        <v>2036</v>
      </c>
      <c r="E472" s="107" t="s">
        <v>2119</v>
      </c>
      <c r="F472" s="108"/>
      <c r="G472" s="108"/>
      <c r="H472" s="391"/>
      <c r="I472" s="352"/>
      <c r="J472" s="352"/>
      <c r="K472" s="352"/>
      <c r="L472" s="352"/>
      <c r="M472" s="352"/>
      <c r="N472" s="352"/>
      <c r="O472" s="352"/>
      <c r="P472" s="352"/>
      <c r="Q472" s="352"/>
      <c r="R472" s="352"/>
    </row>
    <row r="473" ht="32.25" customHeight="1">
      <c r="A473" s="102">
        <v>2.0</v>
      </c>
      <c r="B473" s="123"/>
      <c r="C473" s="123"/>
      <c r="D473" s="107"/>
      <c r="E473" s="107" t="s">
        <v>2120</v>
      </c>
      <c r="F473" s="108"/>
      <c r="G473" s="398"/>
      <c r="H473" s="391"/>
      <c r="I473" s="352"/>
      <c r="J473" s="352"/>
      <c r="K473" s="352"/>
      <c r="L473" s="352"/>
      <c r="M473" s="352"/>
      <c r="N473" s="352"/>
      <c r="O473" s="352"/>
      <c r="P473" s="352"/>
      <c r="Q473" s="352"/>
      <c r="R473" s="352"/>
    </row>
    <row r="474" ht="32.25" customHeight="1">
      <c r="A474" s="150">
        <v>3.0</v>
      </c>
      <c r="B474" s="123"/>
      <c r="C474" s="123"/>
      <c r="D474" s="107"/>
      <c r="E474" s="399" t="s">
        <v>2121</v>
      </c>
      <c r="F474" s="108"/>
      <c r="G474" s="108"/>
      <c r="H474" s="400"/>
      <c r="I474" s="352"/>
      <c r="J474" s="352"/>
      <c r="K474" s="352"/>
      <c r="L474" s="352"/>
      <c r="M474" s="352"/>
      <c r="N474" s="352"/>
      <c r="O474" s="352"/>
      <c r="P474" s="352"/>
      <c r="Q474" s="352"/>
      <c r="R474" s="352"/>
    </row>
    <row r="475" ht="32.25" customHeight="1">
      <c r="A475" s="102">
        <v>4.0</v>
      </c>
      <c r="B475" s="123"/>
      <c r="C475" s="123"/>
      <c r="D475" s="107"/>
      <c r="E475" s="107" t="s">
        <v>2122</v>
      </c>
      <c r="F475" s="108"/>
      <c r="G475" s="108"/>
      <c r="H475" s="391"/>
      <c r="I475" s="352"/>
      <c r="J475" s="352"/>
      <c r="K475" s="352"/>
      <c r="L475" s="352"/>
      <c r="M475" s="352"/>
      <c r="N475" s="352"/>
      <c r="O475" s="352"/>
      <c r="P475" s="352"/>
      <c r="Q475" s="352"/>
      <c r="R475" s="352"/>
    </row>
    <row r="476" ht="32.25" customHeight="1">
      <c r="A476" s="102">
        <v>5.0</v>
      </c>
      <c r="B476" s="123"/>
      <c r="C476" s="123"/>
      <c r="D476" s="107"/>
      <c r="E476" s="107"/>
      <c r="F476" s="108"/>
      <c r="G476" s="108"/>
      <c r="H476" s="391"/>
      <c r="I476" s="352"/>
      <c r="J476" s="352"/>
      <c r="K476" s="352"/>
      <c r="L476" s="352"/>
      <c r="M476" s="352"/>
      <c r="N476" s="352"/>
      <c r="O476" s="352"/>
      <c r="P476" s="352"/>
      <c r="Q476" s="352"/>
      <c r="R476" s="352"/>
    </row>
    <row r="477" ht="32.25" customHeight="1">
      <c r="A477" s="102">
        <v>6.0</v>
      </c>
      <c r="B477" s="123"/>
      <c r="C477" s="123"/>
      <c r="D477" s="107"/>
      <c r="E477" s="107"/>
      <c r="F477" s="108"/>
      <c r="G477" s="108"/>
      <c r="H477" s="391"/>
      <c r="I477" s="352"/>
      <c r="J477" s="352"/>
      <c r="K477" s="352"/>
      <c r="L477" s="352"/>
      <c r="M477" s="352"/>
      <c r="N477" s="352"/>
      <c r="O477" s="352"/>
      <c r="P477" s="352"/>
      <c r="Q477" s="352"/>
      <c r="R477" s="352"/>
    </row>
    <row r="478" ht="32.25" customHeight="1">
      <c r="A478" s="102">
        <v>7.0</v>
      </c>
      <c r="B478" s="123"/>
      <c r="C478" s="123"/>
      <c r="D478" s="107"/>
      <c r="E478" s="107"/>
      <c r="F478" s="108"/>
      <c r="G478" s="108"/>
      <c r="H478" s="391"/>
      <c r="I478" s="352"/>
      <c r="J478" s="352"/>
      <c r="K478" s="352"/>
      <c r="L478" s="352"/>
      <c r="M478" s="352"/>
      <c r="N478" s="352"/>
      <c r="O478" s="352"/>
      <c r="P478" s="352"/>
      <c r="Q478" s="352"/>
      <c r="R478" s="352"/>
    </row>
    <row r="479" ht="32.25" customHeight="1">
      <c r="A479" s="102">
        <v>8.0</v>
      </c>
      <c r="B479" s="123"/>
      <c r="C479" s="123"/>
      <c r="D479" s="107"/>
      <c r="E479" s="107"/>
      <c r="F479" s="108"/>
      <c r="G479" s="108"/>
      <c r="H479" s="391"/>
      <c r="I479" s="352"/>
      <c r="J479" s="352"/>
      <c r="K479" s="352"/>
      <c r="L479" s="352"/>
      <c r="M479" s="352"/>
      <c r="N479" s="352"/>
      <c r="O479" s="352"/>
      <c r="P479" s="352"/>
      <c r="Q479" s="352"/>
      <c r="R479" s="352"/>
    </row>
    <row r="480" ht="32.25" customHeight="1">
      <c r="A480" s="102">
        <v>9.0</v>
      </c>
      <c r="B480" s="123"/>
      <c r="C480" s="123"/>
      <c r="D480" s="107"/>
      <c r="E480" s="107"/>
      <c r="F480" s="108"/>
      <c r="G480" s="108"/>
      <c r="H480" s="391"/>
      <c r="I480" s="352"/>
      <c r="J480" s="352"/>
      <c r="K480" s="352"/>
      <c r="L480" s="352"/>
      <c r="M480" s="352"/>
      <c r="N480" s="352"/>
      <c r="O480" s="352"/>
      <c r="P480" s="352"/>
      <c r="Q480" s="352"/>
      <c r="R480" s="352"/>
    </row>
    <row r="481" ht="32.25" customHeight="1">
      <c r="A481" s="102">
        <v>10.0</v>
      </c>
      <c r="B481" s="123"/>
      <c r="C481" s="123"/>
      <c r="D481" s="107"/>
      <c r="E481" s="107"/>
      <c r="F481" s="108"/>
      <c r="G481" s="108"/>
      <c r="H481" s="391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</row>
    <row r="482" ht="32.25" customHeight="1">
      <c r="A482" s="102">
        <v>11.0</v>
      </c>
      <c r="B482" s="123"/>
      <c r="C482" s="123"/>
      <c r="D482" s="107"/>
      <c r="E482" s="107"/>
      <c r="F482" s="108"/>
      <c r="G482" s="108"/>
      <c r="H482" s="391"/>
      <c r="I482" s="352"/>
      <c r="J482" s="352"/>
      <c r="K482" s="352"/>
      <c r="L482" s="352"/>
      <c r="M482" s="352"/>
      <c r="N482" s="352"/>
      <c r="O482" s="352"/>
      <c r="P482" s="352"/>
      <c r="Q482" s="352"/>
      <c r="R482" s="352"/>
    </row>
    <row r="483" ht="32.25" customHeight="1">
      <c r="A483" s="102">
        <v>12.0</v>
      </c>
      <c r="B483" s="123"/>
      <c r="C483" s="123"/>
      <c r="D483" s="107"/>
      <c r="E483" s="107"/>
      <c r="F483" s="108"/>
      <c r="G483" s="108"/>
      <c r="H483" s="391"/>
      <c r="I483" s="352"/>
      <c r="J483" s="352"/>
      <c r="K483" s="352"/>
      <c r="L483" s="352"/>
      <c r="M483" s="352"/>
      <c r="N483" s="352"/>
      <c r="O483" s="352"/>
      <c r="P483" s="352"/>
      <c r="Q483" s="352"/>
      <c r="R483" s="352"/>
    </row>
    <row r="484" ht="32.25" customHeight="1">
      <c r="A484" s="102">
        <v>13.0</v>
      </c>
      <c r="B484" s="123"/>
      <c r="C484" s="123"/>
      <c r="D484" s="107"/>
      <c r="E484" s="107"/>
      <c r="F484" s="108"/>
      <c r="G484" s="108"/>
      <c r="H484" s="391"/>
      <c r="I484" s="352"/>
      <c r="J484" s="352"/>
      <c r="K484" s="352"/>
      <c r="L484" s="352"/>
      <c r="M484" s="352"/>
      <c r="N484" s="352"/>
      <c r="O484" s="352"/>
      <c r="P484" s="352"/>
      <c r="Q484" s="352"/>
      <c r="R484" s="352"/>
    </row>
    <row r="485" ht="32.25" customHeight="1">
      <c r="A485" s="102">
        <v>14.0</v>
      </c>
      <c r="B485" s="123"/>
      <c r="C485" s="123"/>
      <c r="D485" s="107"/>
      <c r="E485" s="107"/>
      <c r="F485" s="108"/>
      <c r="G485" s="108"/>
      <c r="H485" s="391"/>
      <c r="I485" s="352"/>
      <c r="J485" s="352"/>
      <c r="K485" s="352"/>
      <c r="L485" s="352"/>
      <c r="M485" s="352"/>
      <c r="N485" s="352"/>
      <c r="O485" s="352"/>
      <c r="P485" s="352"/>
      <c r="Q485" s="352"/>
      <c r="R485" s="352"/>
    </row>
    <row r="486" ht="32.25" customHeight="1">
      <c r="A486" s="102">
        <v>15.0</v>
      </c>
      <c r="B486" s="123"/>
      <c r="C486" s="123"/>
      <c r="D486" s="107"/>
      <c r="E486" s="107"/>
      <c r="F486" s="108"/>
      <c r="G486" s="108"/>
      <c r="H486" s="391"/>
      <c r="I486" s="352"/>
      <c r="J486" s="352"/>
      <c r="K486" s="352"/>
      <c r="L486" s="352"/>
      <c r="M486" s="352"/>
      <c r="N486" s="352"/>
      <c r="O486" s="352"/>
      <c r="P486" s="352"/>
      <c r="Q486" s="352"/>
      <c r="R486" s="352"/>
    </row>
    <row r="487" ht="32.25" customHeight="1">
      <c r="A487" s="58"/>
      <c r="B487" s="149"/>
      <c r="C487" s="58"/>
      <c r="D487" s="58"/>
      <c r="E487" s="102" t="s">
        <v>144</v>
      </c>
      <c r="F487" s="150"/>
      <c r="G487" s="58"/>
      <c r="H487" s="373"/>
      <c r="I487" s="352"/>
      <c r="J487" s="352"/>
      <c r="K487" s="352"/>
      <c r="L487" s="352"/>
      <c r="M487" s="352"/>
      <c r="N487" s="352"/>
      <c r="O487" s="352"/>
      <c r="P487" s="352"/>
      <c r="Q487" s="352"/>
      <c r="R487" s="352"/>
    </row>
    <row r="488" ht="32.25" customHeight="1">
      <c r="A488" s="58"/>
      <c r="B488" s="149"/>
      <c r="C488" s="58"/>
      <c r="D488" s="58"/>
      <c r="E488" s="102" t="s">
        <v>145</v>
      </c>
      <c r="F488" s="150">
        <v>1490.0</v>
      </c>
      <c r="G488" s="58"/>
      <c r="H488" s="373"/>
      <c r="I488" s="352"/>
      <c r="J488" s="352"/>
      <c r="K488" s="352"/>
      <c r="L488" s="352"/>
      <c r="M488" s="352"/>
      <c r="N488" s="352"/>
      <c r="O488" s="352"/>
      <c r="P488" s="352"/>
      <c r="Q488" s="352"/>
      <c r="R488" s="352"/>
    </row>
    <row r="489" ht="32.25" customHeight="1">
      <c r="A489" s="58"/>
      <c r="B489" s="149"/>
      <c r="C489" s="58"/>
      <c r="D489" s="58"/>
      <c r="E489" s="102" t="s">
        <v>146</v>
      </c>
      <c r="F489" s="150">
        <v>170.0</v>
      </c>
      <c r="G489" s="58"/>
      <c r="H489" s="373"/>
      <c r="I489" s="352"/>
      <c r="J489" s="352"/>
      <c r="K489" s="352"/>
      <c r="L489" s="352"/>
      <c r="M489" s="352"/>
      <c r="N489" s="352"/>
      <c r="O489" s="352"/>
      <c r="P489" s="352"/>
      <c r="Q489" s="352"/>
      <c r="R489" s="352"/>
    </row>
    <row r="490" ht="32.25" customHeight="1">
      <c r="A490" s="58"/>
      <c r="B490" s="149"/>
      <c r="C490" s="58"/>
      <c r="D490" s="58"/>
      <c r="E490" s="102" t="s">
        <v>147</v>
      </c>
      <c r="F490" s="150">
        <v>125.0</v>
      </c>
      <c r="G490" s="58"/>
      <c r="H490" s="373"/>
      <c r="I490" s="352"/>
      <c r="J490" s="352"/>
      <c r="K490" s="352"/>
      <c r="L490" s="352"/>
      <c r="M490" s="352"/>
      <c r="N490" s="352"/>
      <c r="O490" s="352"/>
      <c r="P490" s="352"/>
      <c r="Q490" s="352"/>
      <c r="R490" s="352"/>
    </row>
    <row r="491" ht="32.25" customHeight="1">
      <c r="A491" s="58"/>
      <c r="B491" s="149"/>
      <c r="C491" s="58"/>
      <c r="D491" s="58"/>
      <c r="E491" s="102" t="s">
        <v>148</v>
      </c>
      <c r="F491" s="150">
        <v>1365.0</v>
      </c>
      <c r="G491" s="212" t="s">
        <v>2118</v>
      </c>
      <c r="H491" s="373"/>
      <c r="I491" s="352"/>
      <c r="J491" s="352"/>
      <c r="K491" s="352"/>
      <c r="L491" s="352"/>
      <c r="M491" s="352"/>
      <c r="N491" s="352"/>
      <c r="O491" s="352"/>
      <c r="P491" s="352"/>
      <c r="Q491" s="352"/>
      <c r="R491" s="352"/>
    </row>
    <row r="492" ht="32.25" customHeight="1">
      <c r="A492" s="58"/>
      <c r="B492" s="149"/>
      <c r="C492" s="58"/>
      <c r="D492" s="58"/>
      <c r="E492" s="58"/>
      <c r="F492" s="58"/>
      <c r="G492" s="58"/>
      <c r="H492" s="373"/>
      <c r="I492" s="352"/>
      <c r="J492" s="352"/>
      <c r="K492" s="352"/>
      <c r="L492" s="352"/>
      <c r="M492" s="352"/>
      <c r="N492" s="352"/>
      <c r="O492" s="352"/>
      <c r="P492" s="352"/>
      <c r="Q492" s="352"/>
      <c r="R492" s="352"/>
    </row>
    <row r="493" ht="32.25" customHeight="1">
      <c r="A493" s="102" t="s">
        <v>4</v>
      </c>
      <c r="B493" s="102" t="s">
        <v>5</v>
      </c>
      <c r="C493" s="102" t="s">
        <v>126</v>
      </c>
      <c r="D493" s="102" t="s">
        <v>6</v>
      </c>
      <c r="E493" s="102" t="s">
        <v>7</v>
      </c>
      <c r="F493" s="102" t="s">
        <v>127</v>
      </c>
      <c r="G493" s="102" t="s">
        <v>128</v>
      </c>
      <c r="H493" s="373"/>
      <c r="I493" s="352"/>
      <c r="J493" s="352"/>
      <c r="K493" s="352"/>
      <c r="L493" s="352"/>
      <c r="M493" s="352"/>
      <c r="N493" s="352"/>
      <c r="O493" s="352"/>
      <c r="P493" s="352"/>
      <c r="Q493" s="352"/>
      <c r="R493" s="352"/>
    </row>
    <row r="494" ht="32.25" customHeight="1">
      <c r="A494" s="102">
        <v>1.0</v>
      </c>
      <c r="B494" s="147">
        <v>46122.0</v>
      </c>
      <c r="C494" s="148" t="s">
        <v>1036</v>
      </c>
      <c r="D494" s="107" t="s">
        <v>2036</v>
      </c>
      <c r="E494" s="107" t="s">
        <v>2123</v>
      </c>
      <c r="F494" s="108" t="s">
        <v>2124</v>
      </c>
      <c r="G494" s="108"/>
      <c r="H494" s="373"/>
      <c r="I494" s="352"/>
      <c r="J494" s="352"/>
      <c r="K494" s="352"/>
      <c r="L494" s="352"/>
      <c r="M494" s="352"/>
      <c r="N494" s="352"/>
      <c r="O494" s="352"/>
      <c r="P494" s="352"/>
      <c r="Q494" s="352"/>
      <c r="R494" s="352"/>
    </row>
    <row r="495" ht="32.25" customHeight="1">
      <c r="A495" s="58"/>
      <c r="B495" s="149"/>
      <c r="C495" s="58"/>
      <c r="D495" s="58"/>
      <c r="E495" s="102" t="s">
        <v>144</v>
      </c>
      <c r="F495" s="150">
        <v>0.0</v>
      </c>
      <c r="G495" s="58"/>
      <c r="H495" s="373"/>
      <c r="I495" s="352"/>
      <c r="J495" s="352"/>
      <c r="K495" s="352"/>
      <c r="L495" s="352"/>
      <c r="M495" s="352"/>
      <c r="N495" s="352"/>
      <c r="O495" s="352"/>
      <c r="P495" s="352"/>
      <c r="Q495" s="352"/>
      <c r="R495" s="352"/>
    </row>
    <row r="496" ht="32.25" customHeight="1">
      <c r="A496" s="58"/>
      <c r="B496" s="149"/>
      <c r="C496" s="58"/>
      <c r="D496" s="58"/>
      <c r="E496" s="102" t="s">
        <v>145</v>
      </c>
      <c r="F496" s="150">
        <f>120+105</f>
        <v>225</v>
      </c>
      <c r="G496" s="58"/>
      <c r="H496" s="373"/>
      <c r="I496" s="352"/>
      <c r="J496" s="352"/>
      <c r="K496" s="352"/>
      <c r="L496" s="352"/>
      <c r="M496" s="352"/>
      <c r="N496" s="352"/>
      <c r="O496" s="352"/>
      <c r="P496" s="352"/>
      <c r="Q496" s="352"/>
      <c r="R496" s="352"/>
    </row>
    <row r="497" ht="32.25" customHeight="1">
      <c r="A497" s="58"/>
      <c r="B497" s="149"/>
      <c r="C497" s="58"/>
      <c r="D497" s="58"/>
      <c r="E497" s="102" t="s">
        <v>146</v>
      </c>
      <c r="F497" s="150">
        <v>225.0</v>
      </c>
      <c r="G497" s="58"/>
      <c r="H497" s="373"/>
      <c r="I497" s="352"/>
      <c r="J497" s="352"/>
      <c r="K497" s="352"/>
      <c r="L497" s="352"/>
      <c r="M497" s="352"/>
      <c r="N497" s="352"/>
      <c r="O497" s="352"/>
      <c r="P497" s="352"/>
      <c r="Q497" s="352"/>
      <c r="R497" s="352"/>
    </row>
    <row r="498" ht="32.25" customHeight="1">
      <c r="A498" s="58"/>
      <c r="B498" s="149"/>
      <c r="C498" s="58"/>
      <c r="D498" s="58"/>
      <c r="E498" s="102" t="s">
        <v>147</v>
      </c>
      <c r="F498" s="150">
        <v>170.0</v>
      </c>
      <c r="G498" s="58"/>
      <c r="H498" s="373"/>
      <c r="I498" s="352"/>
      <c r="J498" s="352"/>
      <c r="K498" s="352"/>
      <c r="L498" s="352"/>
      <c r="M498" s="352"/>
      <c r="N498" s="352"/>
      <c r="O498" s="352"/>
      <c r="P498" s="352"/>
      <c r="Q498" s="352"/>
      <c r="R498" s="352"/>
    </row>
    <row r="499" ht="32.25" customHeight="1">
      <c r="A499" s="58"/>
      <c r="B499" s="149"/>
      <c r="C499" s="58"/>
      <c r="D499" s="58"/>
      <c r="E499" s="102" t="s">
        <v>148</v>
      </c>
      <c r="F499" s="150">
        <f>F496-F498</f>
        <v>55</v>
      </c>
      <c r="G499" s="212" t="s">
        <v>2125</v>
      </c>
      <c r="H499" s="373"/>
      <c r="I499" s="352"/>
      <c r="J499" s="352"/>
      <c r="K499" s="352"/>
      <c r="L499" s="352"/>
      <c r="M499" s="352"/>
      <c r="N499" s="352"/>
      <c r="O499" s="352"/>
      <c r="P499" s="352"/>
      <c r="Q499" s="352"/>
      <c r="R499" s="352"/>
    </row>
    <row r="500" ht="32.25" customHeight="1">
      <c r="A500" s="102" t="s">
        <v>4</v>
      </c>
      <c r="B500" s="102" t="s">
        <v>5</v>
      </c>
      <c r="C500" s="102" t="s">
        <v>126</v>
      </c>
      <c r="D500" s="102" t="s">
        <v>6</v>
      </c>
      <c r="E500" s="102" t="s">
        <v>7</v>
      </c>
      <c r="F500" s="102" t="s">
        <v>127</v>
      </c>
      <c r="G500" s="102" t="s">
        <v>128</v>
      </c>
      <c r="H500" s="373"/>
      <c r="I500" s="352"/>
      <c r="J500" s="352"/>
      <c r="K500" s="352"/>
      <c r="L500" s="352"/>
      <c r="M500" s="352"/>
      <c r="N500" s="352"/>
      <c r="O500" s="352"/>
      <c r="P500" s="352"/>
      <c r="Q500" s="352"/>
      <c r="R500" s="352"/>
    </row>
    <row r="501" ht="32.25" customHeight="1">
      <c r="A501" s="102">
        <v>1.0</v>
      </c>
      <c r="B501" s="147">
        <v>46124.0</v>
      </c>
      <c r="C501" s="148" t="s">
        <v>561</v>
      </c>
      <c r="D501" s="107"/>
      <c r="E501" s="107" t="s">
        <v>2126</v>
      </c>
      <c r="F501" s="108"/>
      <c r="G501" s="108" t="s">
        <v>2127</v>
      </c>
      <c r="H501" s="373"/>
      <c r="I501" s="352"/>
      <c r="J501" s="352"/>
      <c r="K501" s="352"/>
      <c r="L501" s="352"/>
      <c r="M501" s="352"/>
      <c r="N501" s="352"/>
      <c r="O501" s="352"/>
      <c r="P501" s="352"/>
      <c r="Q501" s="352"/>
      <c r="R501" s="352"/>
    </row>
    <row r="502" ht="32.25" customHeight="1">
      <c r="A502" s="58"/>
      <c r="B502" s="149"/>
      <c r="C502" s="58"/>
      <c r="D502" s="58"/>
      <c r="E502" s="102" t="s">
        <v>144</v>
      </c>
      <c r="F502" s="150"/>
      <c r="G502" s="58"/>
      <c r="H502" s="373"/>
      <c r="I502" s="352"/>
      <c r="J502" s="352"/>
      <c r="K502" s="352"/>
      <c r="L502" s="352"/>
      <c r="M502" s="352"/>
      <c r="N502" s="352"/>
      <c r="O502" s="352"/>
      <c r="P502" s="352"/>
      <c r="Q502" s="352"/>
      <c r="R502" s="352"/>
    </row>
    <row r="503" ht="32.25" customHeight="1">
      <c r="A503" s="58"/>
      <c r="B503" s="149"/>
      <c r="C503" s="58"/>
      <c r="D503" s="58"/>
      <c r="E503" s="102" t="s">
        <v>145</v>
      </c>
      <c r="F503" s="150">
        <v>4735.0</v>
      </c>
      <c r="G503" s="58"/>
      <c r="H503" s="373"/>
      <c r="I503" s="352"/>
      <c r="J503" s="352"/>
      <c r="K503" s="352"/>
      <c r="L503" s="352"/>
      <c r="M503" s="352"/>
      <c r="N503" s="352"/>
      <c r="O503" s="352"/>
      <c r="P503" s="352"/>
      <c r="Q503" s="352"/>
      <c r="R503" s="352"/>
    </row>
    <row r="504" ht="32.25" customHeight="1">
      <c r="A504" s="58"/>
      <c r="B504" s="149"/>
      <c r="C504" s="58"/>
      <c r="D504" s="58"/>
      <c r="E504" s="102" t="s">
        <v>146</v>
      </c>
      <c r="F504" s="150">
        <v>620.0</v>
      </c>
      <c r="G504" s="58"/>
      <c r="H504" s="373"/>
      <c r="I504" s="352"/>
      <c r="J504" s="352"/>
      <c r="K504" s="352"/>
      <c r="L504" s="352"/>
      <c r="M504" s="352"/>
      <c r="N504" s="352"/>
      <c r="O504" s="352"/>
      <c r="P504" s="352"/>
      <c r="Q504" s="352"/>
      <c r="R504" s="352"/>
    </row>
    <row r="505" ht="32.25" customHeight="1">
      <c r="A505" s="58"/>
      <c r="B505" s="149"/>
      <c r="C505" s="58"/>
      <c r="D505" s="58"/>
      <c r="E505" s="102" t="s">
        <v>147</v>
      </c>
      <c r="F505" s="150"/>
      <c r="G505" s="58"/>
      <c r="H505" s="373"/>
      <c r="I505" s="352"/>
      <c r="J505" s="352"/>
      <c r="K505" s="352"/>
      <c r="L505" s="352"/>
      <c r="M505" s="352"/>
      <c r="N505" s="352"/>
      <c r="O505" s="352"/>
      <c r="P505" s="352"/>
      <c r="Q505" s="352"/>
      <c r="R505" s="352"/>
    </row>
    <row r="506" ht="32.25" customHeight="1">
      <c r="A506" s="58"/>
      <c r="B506" s="149"/>
      <c r="C506" s="58"/>
      <c r="D506" s="58"/>
      <c r="E506" s="102" t="s">
        <v>148</v>
      </c>
      <c r="F506" s="150"/>
      <c r="G506" s="212" t="s">
        <v>2128</v>
      </c>
      <c r="H506" s="373"/>
      <c r="I506" s="352"/>
      <c r="J506" s="352"/>
      <c r="K506" s="352"/>
      <c r="L506" s="352"/>
      <c r="M506" s="352"/>
      <c r="N506" s="352"/>
      <c r="O506" s="352"/>
      <c r="P506" s="352"/>
      <c r="Q506" s="352"/>
      <c r="R506" s="352"/>
    </row>
    <row r="507" ht="32.25" customHeight="1">
      <c r="A507" s="58"/>
      <c r="B507" s="149"/>
      <c r="C507" s="58"/>
      <c r="D507" s="58"/>
      <c r="E507" s="58"/>
      <c r="F507" s="58"/>
      <c r="G507" s="58"/>
      <c r="H507" s="373"/>
      <c r="I507" s="352"/>
      <c r="J507" s="352"/>
      <c r="K507" s="352"/>
      <c r="L507" s="352"/>
      <c r="M507" s="352"/>
      <c r="N507" s="352"/>
      <c r="O507" s="352"/>
      <c r="P507" s="352"/>
      <c r="Q507" s="352"/>
      <c r="R507" s="352"/>
    </row>
    <row r="508" ht="32.25" customHeight="1">
      <c r="A508" s="102" t="s">
        <v>4</v>
      </c>
      <c r="B508" s="102" t="s">
        <v>5</v>
      </c>
      <c r="C508" s="102" t="s">
        <v>126</v>
      </c>
      <c r="D508" s="102" t="s">
        <v>6</v>
      </c>
      <c r="E508" s="102" t="s">
        <v>7</v>
      </c>
      <c r="F508" s="102" t="s">
        <v>127</v>
      </c>
      <c r="G508" s="102" t="s">
        <v>128</v>
      </c>
      <c r="H508" s="373"/>
      <c r="I508" s="352"/>
      <c r="J508" s="352"/>
      <c r="K508" s="352"/>
      <c r="L508" s="352"/>
      <c r="M508" s="352"/>
      <c r="N508" s="352"/>
      <c r="O508" s="352"/>
      <c r="P508" s="352"/>
      <c r="Q508" s="352"/>
      <c r="R508" s="352"/>
    </row>
    <row r="509" ht="32.25" customHeight="1">
      <c r="A509" s="102">
        <v>1.0</v>
      </c>
      <c r="B509" s="147">
        <v>46125.0</v>
      </c>
      <c r="C509" s="148" t="s">
        <v>149</v>
      </c>
      <c r="D509" s="107"/>
      <c r="E509" s="107" t="s">
        <v>2129</v>
      </c>
      <c r="F509" s="108">
        <v>450.0</v>
      </c>
      <c r="G509" s="108"/>
      <c r="H509" s="373"/>
      <c r="I509" s="352"/>
      <c r="J509" s="352"/>
      <c r="K509" s="352"/>
      <c r="L509" s="352"/>
      <c r="M509" s="352"/>
      <c r="N509" s="352"/>
      <c r="O509" s="352"/>
      <c r="P509" s="352"/>
      <c r="Q509" s="352"/>
      <c r="R509" s="352"/>
    </row>
    <row r="510" ht="32.25" customHeight="1">
      <c r="A510" s="58"/>
      <c r="B510" s="149"/>
      <c r="C510" s="58"/>
      <c r="D510" s="58"/>
      <c r="E510" s="102" t="s">
        <v>144</v>
      </c>
      <c r="F510" s="150"/>
      <c r="G510" s="58"/>
      <c r="H510" s="373"/>
      <c r="I510" s="352"/>
      <c r="J510" s="352"/>
      <c r="K510" s="352"/>
      <c r="L510" s="352"/>
      <c r="M510" s="352"/>
      <c r="N510" s="352"/>
      <c r="O510" s="352"/>
      <c r="P510" s="352"/>
      <c r="Q510" s="352"/>
      <c r="R510" s="352"/>
    </row>
    <row r="511" ht="32.25" customHeight="1">
      <c r="A511" s="58"/>
      <c r="B511" s="149"/>
      <c r="C511" s="58"/>
      <c r="D511" s="58"/>
      <c r="E511" s="102" t="s">
        <v>145</v>
      </c>
      <c r="F511" s="150">
        <v>450.0</v>
      </c>
      <c r="G511" s="58"/>
      <c r="H511" s="373"/>
      <c r="I511" s="352"/>
      <c r="J511" s="352"/>
      <c r="K511" s="352"/>
      <c r="L511" s="352"/>
      <c r="M511" s="352"/>
      <c r="N511" s="352"/>
      <c r="O511" s="352"/>
      <c r="P511" s="352"/>
      <c r="Q511" s="352"/>
      <c r="R511" s="352"/>
    </row>
    <row r="512" ht="32.25" customHeight="1">
      <c r="A512" s="58"/>
      <c r="B512" s="149"/>
      <c r="C512" s="58"/>
      <c r="D512" s="58"/>
      <c r="E512" s="102" t="s">
        <v>146</v>
      </c>
      <c r="F512" s="150">
        <v>450.0</v>
      </c>
      <c r="G512" s="58"/>
      <c r="H512" s="373"/>
      <c r="I512" s="352"/>
      <c r="J512" s="352"/>
      <c r="K512" s="352"/>
      <c r="L512" s="352"/>
      <c r="M512" s="352"/>
      <c r="N512" s="352"/>
      <c r="O512" s="352"/>
      <c r="P512" s="352"/>
      <c r="Q512" s="352"/>
      <c r="R512" s="352"/>
    </row>
    <row r="513" ht="32.25" customHeight="1">
      <c r="A513" s="58"/>
      <c r="B513" s="149"/>
      <c r="C513" s="58"/>
      <c r="D513" s="58"/>
      <c r="E513" s="102" t="s">
        <v>147</v>
      </c>
      <c r="F513" s="150">
        <v>335.0</v>
      </c>
      <c r="G513" s="58"/>
      <c r="H513" s="373"/>
      <c r="I513" s="352"/>
      <c r="J513" s="352"/>
      <c r="K513" s="352"/>
      <c r="L513" s="352"/>
      <c r="M513" s="352"/>
      <c r="N513" s="352"/>
      <c r="O513" s="352"/>
      <c r="P513" s="352"/>
      <c r="Q513" s="352"/>
      <c r="R513" s="352"/>
    </row>
    <row r="514" ht="32.25" customHeight="1">
      <c r="A514" s="58"/>
      <c r="B514" s="149"/>
      <c r="C514" s="58"/>
      <c r="D514" s="58"/>
      <c r="E514" s="102" t="s">
        <v>148</v>
      </c>
      <c r="F514" s="150">
        <v>115.0</v>
      </c>
      <c r="G514" s="212" t="s">
        <v>2128</v>
      </c>
      <c r="H514" s="373"/>
      <c r="I514" s="352"/>
      <c r="J514" s="352"/>
      <c r="K514" s="352"/>
      <c r="L514" s="352"/>
      <c r="M514" s="352"/>
      <c r="N514" s="352"/>
      <c r="O514" s="352"/>
      <c r="P514" s="352"/>
      <c r="Q514" s="352"/>
      <c r="R514" s="352"/>
    </row>
    <row r="515" ht="32.25" customHeight="1">
      <c r="A515" s="102" t="s">
        <v>4</v>
      </c>
      <c r="B515" s="102" t="s">
        <v>5</v>
      </c>
      <c r="C515" s="102" t="s">
        <v>126</v>
      </c>
      <c r="D515" s="102" t="s">
        <v>6</v>
      </c>
      <c r="E515" s="102" t="s">
        <v>7</v>
      </c>
      <c r="F515" s="102" t="s">
        <v>127</v>
      </c>
      <c r="G515" s="102" t="s">
        <v>128</v>
      </c>
      <c r="H515" s="313"/>
      <c r="I515" s="352"/>
      <c r="J515" s="352"/>
      <c r="K515" s="352"/>
      <c r="L515" s="352"/>
      <c r="M515" s="352"/>
      <c r="N515" s="352"/>
      <c r="O515" s="352"/>
      <c r="P515" s="352"/>
      <c r="Q515" s="352"/>
      <c r="R515" s="352"/>
    </row>
    <row r="516" ht="32.25" customHeight="1">
      <c r="A516" s="102">
        <v>1.0</v>
      </c>
      <c r="B516" s="147">
        <v>46126.0</v>
      </c>
      <c r="C516" s="148" t="s">
        <v>2130</v>
      </c>
      <c r="D516" s="107" t="s">
        <v>2036</v>
      </c>
      <c r="E516" s="107" t="s">
        <v>2131</v>
      </c>
      <c r="F516" s="108"/>
      <c r="G516" s="108"/>
      <c r="H516" s="391"/>
      <c r="I516" s="352"/>
      <c r="J516" s="352"/>
      <c r="K516" s="352"/>
      <c r="L516" s="352"/>
      <c r="M516" s="352"/>
      <c r="N516" s="352"/>
      <c r="O516" s="352"/>
      <c r="P516" s="352"/>
      <c r="Q516" s="352"/>
      <c r="R516" s="352"/>
    </row>
    <row r="517" ht="32.25" customHeight="1">
      <c r="A517" s="102">
        <v>2.0</v>
      </c>
      <c r="B517" s="123"/>
      <c r="C517" s="123"/>
      <c r="D517" s="107"/>
      <c r="E517" s="107" t="s">
        <v>2132</v>
      </c>
      <c r="F517" s="108"/>
      <c r="G517" s="398"/>
      <c r="H517" s="391"/>
      <c r="I517" s="352"/>
      <c r="J517" s="352"/>
      <c r="K517" s="352"/>
      <c r="L517" s="352"/>
      <c r="M517" s="352"/>
      <c r="N517" s="352"/>
      <c r="O517" s="352"/>
      <c r="P517" s="352"/>
      <c r="Q517" s="352"/>
      <c r="R517" s="352"/>
    </row>
    <row r="518" ht="32.25" customHeight="1">
      <c r="A518" s="150">
        <v>3.0</v>
      </c>
      <c r="B518" s="123"/>
      <c r="C518" s="123"/>
      <c r="D518" s="107"/>
      <c r="E518" s="107" t="s">
        <v>2133</v>
      </c>
      <c r="F518" s="108"/>
      <c r="G518" s="108"/>
      <c r="H518" s="400"/>
      <c r="I518" s="352"/>
      <c r="J518" s="352"/>
      <c r="K518" s="352"/>
      <c r="L518" s="352"/>
      <c r="M518" s="352"/>
      <c r="N518" s="352"/>
      <c r="O518" s="352"/>
      <c r="P518" s="352"/>
      <c r="Q518" s="352"/>
      <c r="R518" s="352"/>
    </row>
    <row r="519" ht="32.25" customHeight="1">
      <c r="A519" s="102">
        <v>4.0</v>
      </c>
      <c r="B519" s="123"/>
      <c r="C519" s="123"/>
      <c r="D519" s="107"/>
      <c r="E519" s="107" t="s">
        <v>2134</v>
      </c>
      <c r="F519" s="108"/>
      <c r="G519" s="108"/>
      <c r="H519" s="391"/>
      <c r="I519" s="352"/>
      <c r="J519" s="352"/>
      <c r="K519" s="352"/>
      <c r="L519" s="352"/>
      <c r="M519" s="352"/>
      <c r="N519" s="352"/>
      <c r="O519" s="352"/>
      <c r="P519" s="352"/>
      <c r="Q519" s="352"/>
      <c r="R519" s="352"/>
    </row>
    <row r="520" ht="32.25" customHeight="1">
      <c r="A520" s="102">
        <v>5.0</v>
      </c>
      <c r="B520" s="123"/>
      <c r="C520" s="123"/>
      <c r="D520" s="107"/>
      <c r="E520" s="107" t="s">
        <v>2135</v>
      </c>
      <c r="F520" s="108"/>
      <c r="G520" s="108"/>
      <c r="H520" s="391"/>
      <c r="I520" s="352"/>
      <c r="J520" s="352"/>
      <c r="K520" s="352"/>
      <c r="L520" s="352"/>
      <c r="M520" s="352"/>
      <c r="N520" s="352"/>
      <c r="O520" s="352"/>
      <c r="P520" s="352"/>
      <c r="Q520" s="352"/>
      <c r="R520" s="352"/>
    </row>
    <row r="521" ht="32.25" customHeight="1">
      <c r="A521" s="102">
        <v>6.0</v>
      </c>
      <c r="B521" s="123"/>
      <c r="C521" s="123"/>
      <c r="D521" s="107"/>
      <c r="E521" s="107" t="s">
        <v>2136</v>
      </c>
      <c r="F521" s="108"/>
      <c r="G521" s="108"/>
      <c r="H521" s="391"/>
      <c r="I521" s="352"/>
      <c r="J521" s="352"/>
      <c r="K521" s="352"/>
      <c r="L521" s="352"/>
      <c r="M521" s="352"/>
      <c r="N521" s="352"/>
      <c r="O521" s="352"/>
      <c r="P521" s="352"/>
      <c r="Q521" s="352"/>
      <c r="R521" s="352"/>
    </row>
    <row r="522" ht="32.25" customHeight="1">
      <c r="A522" s="102">
        <v>7.0</v>
      </c>
      <c r="B522" s="123"/>
      <c r="C522" s="123"/>
      <c r="D522" s="107"/>
      <c r="E522" s="107" t="s">
        <v>2137</v>
      </c>
      <c r="F522" s="108"/>
      <c r="G522" s="108"/>
      <c r="H522" s="391"/>
      <c r="I522" s="352"/>
      <c r="J522" s="352"/>
      <c r="K522" s="352"/>
      <c r="L522" s="352"/>
      <c r="M522" s="352"/>
      <c r="N522" s="352"/>
      <c r="O522" s="352"/>
      <c r="P522" s="352"/>
      <c r="Q522" s="352"/>
      <c r="R522" s="352"/>
    </row>
    <row r="523" ht="32.25" customHeight="1">
      <c r="A523" s="102">
        <v>8.0</v>
      </c>
      <c r="B523" s="123"/>
      <c r="C523" s="123"/>
      <c r="D523" s="107"/>
      <c r="E523" s="107" t="s">
        <v>2138</v>
      </c>
      <c r="F523" s="108"/>
      <c r="G523" s="108"/>
      <c r="H523" s="391"/>
      <c r="I523" s="352"/>
      <c r="J523" s="352"/>
      <c r="K523" s="352"/>
      <c r="L523" s="352"/>
      <c r="M523" s="352"/>
      <c r="N523" s="352"/>
      <c r="O523" s="352"/>
      <c r="P523" s="352"/>
      <c r="Q523" s="352"/>
      <c r="R523" s="352"/>
    </row>
    <row r="524" ht="32.25" customHeight="1">
      <c r="A524" s="102">
        <v>9.0</v>
      </c>
      <c r="B524" s="123"/>
      <c r="C524" s="123"/>
      <c r="D524" s="107"/>
      <c r="E524" s="107"/>
      <c r="F524" s="108"/>
      <c r="G524" s="108"/>
      <c r="H524" s="391"/>
      <c r="I524" s="352"/>
      <c r="J524" s="352"/>
      <c r="K524" s="352"/>
      <c r="L524" s="352"/>
      <c r="M524" s="352"/>
      <c r="N524" s="352"/>
      <c r="O524" s="352"/>
      <c r="P524" s="352"/>
      <c r="Q524" s="352"/>
      <c r="R524" s="352"/>
    </row>
    <row r="525" ht="32.25" customHeight="1">
      <c r="A525" s="102">
        <v>10.0</v>
      </c>
      <c r="B525" s="123"/>
      <c r="C525" s="123"/>
      <c r="D525" s="107"/>
      <c r="F525" s="108"/>
      <c r="G525" s="108"/>
      <c r="H525" s="391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</row>
    <row r="526" ht="32.25" customHeight="1">
      <c r="A526" s="102">
        <v>11.0</v>
      </c>
      <c r="B526" s="123"/>
      <c r="C526" s="123"/>
      <c r="D526" s="107"/>
      <c r="E526" s="107"/>
      <c r="F526" s="108"/>
      <c r="G526" s="108"/>
      <c r="H526" s="391"/>
      <c r="I526" s="352"/>
      <c r="J526" s="352"/>
      <c r="K526" s="352"/>
      <c r="L526" s="352"/>
      <c r="M526" s="352"/>
      <c r="N526" s="352"/>
      <c r="O526" s="352"/>
      <c r="P526" s="352"/>
      <c r="Q526" s="352"/>
      <c r="R526" s="352"/>
    </row>
    <row r="527" ht="32.25" customHeight="1">
      <c r="A527" s="102">
        <v>12.0</v>
      </c>
      <c r="B527" s="123"/>
      <c r="C527" s="123"/>
      <c r="D527" s="107"/>
      <c r="E527" s="107"/>
      <c r="F527" s="108"/>
      <c r="G527" s="108"/>
      <c r="H527" s="391"/>
      <c r="I527" s="352"/>
      <c r="J527" s="352"/>
      <c r="K527" s="352"/>
      <c r="L527" s="352"/>
      <c r="M527" s="352"/>
      <c r="N527" s="352"/>
      <c r="O527" s="352"/>
      <c r="P527" s="352"/>
      <c r="Q527" s="352"/>
      <c r="R527" s="352"/>
    </row>
    <row r="528" ht="32.25" customHeight="1">
      <c r="A528" s="102">
        <v>13.0</v>
      </c>
      <c r="B528" s="123"/>
      <c r="C528" s="123"/>
      <c r="D528" s="107"/>
      <c r="E528" s="107"/>
      <c r="F528" s="108"/>
      <c r="G528" s="108"/>
      <c r="H528" s="391"/>
      <c r="I528" s="352"/>
      <c r="J528" s="352"/>
      <c r="K528" s="352"/>
      <c r="L528" s="352"/>
      <c r="M528" s="352"/>
      <c r="N528" s="352"/>
      <c r="O528" s="352"/>
      <c r="P528" s="352"/>
      <c r="Q528" s="352"/>
      <c r="R528" s="352"/>
    </row>
    <row r="529" ht="32.25" customHeight="1">
      <c r="A529" s="102">
        <v>14.0</v>
      </c>
      <c r="B529" s="123"/>
      <c r="C529" s="123"/>
      <c r="D529" s="107"/>
      <c r="E529" s="107"/>
      <c r="F529" s="108"/>
      <c r="G529" s="108"/>
      <c r="H529" s="391"/>
      <c r="I529" s="352"/>
      <c r="J529" s="352"/>
      <c r="K529" s="352"/>
      <c r="L529" s="352"/>
      <c r="M529" s="352"/>
      <c r="N529" s="352"/>
      <c r="O529" s="352"/>
      <c r="P529" s="352"/>
      <c r="Q529" s="352"/>
      <c r="R529" s="352"/>
    </row>
    <row r="530" ht="32.25" customHeight="1">
      <c r="A530" s="102">
        <v>15.0</v>
      </c>
      <c r="B530" s="123"/>
      <c r="C530" s="123"/>
      <c r="D530" s="107"/>
      <c r="E530" s="107"/>
      <c r="F530" s="108"/>
      <c r="G530" s="108"/>
      <c r="H530" s="391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</row>
    <row r="531" ht="32.25" customHeight="1">
      <c r="A531" s="58"/>
      <c r="B531" s="149"/>
      <c r="C531" s="58"/>
      <c r="D531" s="58"/>
      <c r="E531" s="102" t="s">
        <v>144</v>
      </c>
      <c r="F531" s="150"/>
      <c r="G531" s="58"/>
      <c r="H531" s="373"/>
      <c r="I531" s="352"/>
      <c r="J531" s="352"/>
      <c r="K531" s="352"/>
      <c r="L531" s="352"/>
      <c r="M531" s="352"/>
      <c r="N531" s="352"/>
      <c r="O531" s="352"/>
      <c r="P531" s="352"/>
      <c r="Q531" s="352"/>
      <c r="R531" s="352"/>
    </row>
    <row r="532" ht="32.25" customHeight="1">
      <c r="A532" s="58"/>
      <c r="B532" s="149"/>
      <c r="C532" s="58"/>
      <c r="D532" s="58"/>
      <c r="E532" s="102" t="s">
        <v>145</v>
      </c>
      <c r="F532" s="150">
        <v>2415.0</v>
      </c>
      <c r="G532" s="58"/>
      <c r="H532" s="373"/>
      <c r="I532" s="352"/>
      <c r="J532" s="352"/>
      <c r="K532" s="352"/>
      <c r="L532" s="352"/>
      <c r="M532" s="352"/>
      <c r="N532" s="352"/>
      <c r="O532" s="352"/>
      <c r="P532" s="352"/>
      <c r="Q532" s="352"/>
      <c r="R532" s="352"/>
    </row>
    <row r="533" ht="32.25" customHeight="1">
      <c r="A533" s="58"/>
      <c r="B533" s="149"/>
      <c r="C533" s="58"/>
      <c r="D533" s="58"/>
      <c r="E533" s="102" t="s">
        <v>146</v>
      </c>
      <c r="F533" s="150">
        <v>365.0</v>
      </c>
      <c r="G533" s="58"/>
      <c r="H533" s="373"/>
      <c r="I533" s="352"/>
      <c r="J533" s="352"/>
      <c r="K533" s="352"/>
      <c r="L533" s="352"/>
      <c r="M533" s="352"/>
      <c r="N533" s="352"/>
      <c r="O533" s="352"/>
      <c r="P533" s="352"/>
      <c r="Q533" s="352"/>
      <c r="R533" s="352"/>
    </row>
    <row r="534" ht="32.25" customHeight="1">
      <c r="A534" s="58"/>
      <c r="B534" s="149"/>
      <c r="C534" s="58"/>
      <c r="D534" s="58"/>
      <c r="E534" s="102" t="s">
        <v>147</v>
      </c>
      <c r="F534" s="150">
        <v>270.0</v>
      </c>
      <c r="G534" s="58"/>
      <c r="H534" s="373"/>
      <c r="I534" s="352"/>
      <c r="J534" s="352"/>
      <c r="K534" s="352"/>
      <c r="L534" s="352"/>
      <c r="M534" s="352"/>
      <c r="N534" s="352"/>
      <c r="O534" s="352"/>
      <c r="P534" s="352"/>
      <c r="Q534" s="352"/>
      <c r="R534" s="352"/>
    </row>
    <row r="535" ht="32.25" customHeight="1">
      <c r="A535" s="58"/>
      <c r="B535" s="149"/>
      <c r="C535" s="58"/>
      <c r="D535" s="58"/>
      <c r="E535" s="102" t="s">
        <v>148</v>
      </c>
      <c r="F535" s="150">
        <v>2145.0</v>
      </c>
      <c r="G535" s="212" t="s">
        <v>2118</v>
      </c>
      <c r="H535" s="373"/>
      <c r="I535" s="352"/>
      <c r="J535" s="352"/>
      <c r="K535" s="352"/>
      <c r="L535" s="352"/>
      <c r="M535" s="352"/>
      <c r="N535" s="352"/>
      <c r="O535" s="352"/>
      <c r="P535" s="352"/>
      <c r="Q535" s="352"/>
      <c r="R535" s="352"/>
    </row>
    <row r="536" ht="32.25" customHeight="1">
      <c r="A536" s="58"/>
      <c r="B536" s="149"/>
      <c r="C536" s="58"/>
      <c r="D536" s="58"/>
      <c r="E536" s="58"/>
      <c r="F536" s="58"/>
      <c r="G536" s="58"/>
      <c r="H536" s="373"/>
      <c r="I536" s="352"/>
      <c r="J536" s="352"/>
      <c r="K536" s="352"/>
      <c r="L536" s="352"/>
      <c r="M536" s="352"/>
      <c r="N536" s="352"/>
      <c r="O536" s="352"/>
      <c r="P536" s="352"/>
      <c r="Q536" s="352"/>
      <c r="R536" s="352"/>
    </row>
    <row r="537" ht="32.25" customHeight="1">
      <c r="A537" s="102" t="s">
        <v>4</v>
      </c>
      <c r="B537" s="102" t="s">
        <v>5</v>
      </c>
      <c r="C537" s="102" t="s">
        <v>126</v>
      </c>
      <c r="D537" s="102" t="s">
        <v>6</v>
      </c>
      <c r="E537" s="102" t="s">
        <v>7</v>
      </c>
      <c r="F537" s="102" t="s">
        <v>127</v>
      </c>
      <c r="G537" s="102" t="s">
        <v>128</v>
      </c>
      <c r="H537" s="373"/>
      <c r="I537" s="352"/>
      <c r="J537" s="352"/>
      <c r="K537" s="352"/>
      <c r="L537" s="352"/>
      <c r="M537" s="352"/>
      <c r="N537" s="352"/>
      <c r="O537" s="352"/>
      <c r="P537" s="352"/>
      <c r="Q537" s="352"/>
      <c r="R537" s="352"/>
    </row>
    <row r="538" ht="32.25" customHeight="1">
      <c r="A538" s="102">
        <v>1.0</v>
      </c>
      <c r="B538" s="147">
        <v>46127.0</v>
      </c>
      <c r="C538" s="148" t="s">
        <v>588</v>
      </c>
      <c r="D538" s="107" t="s">
        <v>2036</v>
      </c>
      <c r="E538" s="107" t="s">
        <v>2139</v>
      </c>
      <c r="F538" s="111" t="s">
        <v>2140</v>
      </c>
      <c r="G538" s="108"/>
      <c r="H538" s="373"/>
      <c r="I538" s="352"/>
      <c r="J538" s="352"/>
      <c r="K538" s="352"/>
      <c r="L538" s="352"/>
      <c r="M538" s="352"/>
      <c r="N538" s="352"/>
      <c r="O538" s="352"/>
      <c r="P538" s="352"/>
      <c r="Q538" s="352"/>
      <c r="R538" s="352"/>
    </row>
    <row r="539" ht="32.25" customHeight="1">
      <c r="A539" s="102">
        <v>2.0</v>
      </c>
      <c r="B539" s="123"/>
      <c r="C539" s="123"/>
      <c r="D539" s="107"/>
      <c r="E539" s="107" t="s">
        <v>2032</v>
      </c>
      <c r="F539" s="108">
        <v>35.0</v>
      </c>
      <c r="G539" s="398"/>
      <c r="H539" s="373"/>
      <c r="I539" s="352"/>
      <c r="J539" s="352"/>
      <c r="K539" s="352"/>
      <c r="L539" s="352"/>
      <c r="M539" s="352"/>
      <c r="N539" s="352"/>
      <c r="O539" s="352"/>
      <c r="P539" s="352"/>
      <c r="Q539" s="352"/>
      <c r="R539" s="352"/>
    </row>
    <row r="540" ht="32.25" customHeight="1">
      <c r="A540" s="150">
        <v>3.0</v>
      </c>
      <c r="B540" s="123"/>
      <c r="C540" s="123"/>
      <c r="D540" s="107"/>
      <c r="E540" s="107" t="s">
        <v>2141</v>
      </c>
      <c r="F540" s="108">
        <v>50.0</v>
      </c>
      <c r="G540" s="108"/>
      <c r="H540" s="373"/>
      <c r="I540" s="352"/>
      <c r="J540" s="352"/>
      <c r="K540" s="352"/>
      <c r="L540" s="352"/>
      <c r="M540" s="352"/>
      <c r="N540" s="352"/>
      <c r="O540" s="352"/>
      <c r="P540" s="352"/>
      <c r="Q540" s="352"/>
      <c r="R540" s="352"/>
    </row>
    <row r="541" ht="32.25" customHeight="1">
      <c r="A541" s="102">
        <v>4.0</v>
      </c>
      <c r="B541" s="123"/>
      <c r="C541" s="123"/>
      <c r="D541" s="107"/>
      <c r="E541" s="107" t="s">
        <v>27</v>
      </c>
      <c r="F541" s="108">
        <v>40.0</v>
      </c>
      <c r="G541" s="108"/>
      <c r="H541" s="373"/>
      <c r="I541" s="352"/>
      <c r="J541" s="352"/>
      <c r="K541" s="352"/>
      <c r="L541" s="352"/>
      <c r="M541" s="352"/>
      <c r="N541" s="352"/>
      <c r="O541" s="352"/>
      <c r="P541" s="352"/>
      <c r="Q541" s="352"/>
      <c r="R541" s="352"/>
    </row>
    <row r="542" ht="32.25" customHeight="1">
      <c r="A542" s="102">
        <v>5.0</v>
      </c>
      <c r="B542" s="123"/>
      <c r="C542" s="123"/>
      <c r="D542" s="107"/>
      <c r="E542" s="107" t="s">
        <v>200</v>
      </c>
      <c r="F542" s="108" t="s">
        <v>2142</v>
      </c>
      <c r="G542" s="108"/>
      <c r="H542" s="373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</row>
    <row r="543" ht="32.25" customHeight="1">
      <c r="A543" s="102">
        <v>6.0</v>
      </c>
      <c r="B543" s="123"/>
      <c r="C543" s="123"/>
      <c r="D543" s="107"/>
      <c r="E543" s="107" t="s">
        <v>2143</v>
      </c>
      <c r="F543" s="108">
        <v>40.0</v>
      </c>
      <c r="G543" s="108"/>
      <c r="H543" s="373"/>
      <c r="I543" s="352"/>
      <c r="J543" s="352"/>
      <c r="K543" s="352"/>
      <c r="L543" s="352"/>
      <c r="M543" s="352"/>
      <c r="N543" s="352"/>
      <c r="O543" s="352"/>
      <c r="P543" s="352"/>
      <c r="Q543" s="352"/>
      <c r="R543" s="352"/>
    </row>
    <row r="544" ht="32.25" customHeight="1">
      <c r="A544" s="102">
        <v>7.0</v>
      </c>
      <c r="B544" s="123"/>
      <c r="C544" s="123"/>
      <c r="D544" s="107"/>
      <c r="E544" s="107" t="s">
        <v>2144</v>
      </c>
      <c r="F544" s="108"/>
      <c r="G544" s="108"/>
      <c r="H544" s="373"/>
      <c r="I544" s="352"/>
      <c r="J544" s="352"/>
      <c r="K544" s="352"/>
      <c r="L544" s="352"/>
      <c r="M544" s="352"/>
      <c r="N544" s="352"/>
      <c r="O544" s="352"/>
      <c r="P544" s="352"/>
      <c r="Q544" s="352"/>
      <c r="R544" s="352"/>
    </row>
    <row r="545" ht="32.25" customHeight="1">
      <c r="A545" s="102">
        <v>8.0</v>
      </c>
      <c r="B545" s="123"/>
      <c r="C545" s="123"/>
      <c r="D545" s="107"/>
      <c r="E545" s="107" t="s">
        <v>300</v>
      </c>
      <c r="F545" s="111" t="s">
        <v>2145</v>
      </c>
      <c r="G545" s="108"/>
      <c r="H545" s="373"/>
      <c r="I545" s="352"/>
      <c r="J545" s="352"/>
      <c r="K545" s="352"/>
      <c r="L545" s="352"/>
      <c r="M545" s="352"/>
      <c r="N545" s="352"/>
      <c r="O545" s="352"/>
      <c r="P545" s="352"/>
      <c r="Q545" s="352"/>
      <c r="R545" s="352"/>
    </row>
    <row r="546" ht="32.25" customHeight="1">
      <c r="A546" s="102">
        <v>9.0</v>
      </c>
      <c r="B546" s="123"/>
      <c r="C546" s="123"/>
      <c r="D546" s="107"/>
      <c r="E546" s="107" t="s">
        <v>42</v>
      </c>
      <c r="F546" s="108">
        <v>50.0</v>
      </c>
      <c r="G546" s="108"/>
      <c r="H546" s="373"/>
      <c r="I546" s="352"/>
      <c r="J546" s="352"/>
      <c r="K546" s="352"/>
      <c r="L546" s="352"/>
      <c r="M546" s="352"/>
      <c r="N546" s="352"/>
      <c r="O546" s="352"/>
      <c r="P546" s="352"/>
      <c r="Q546" s="352"/>
      <c r="R546" s="352"/>
    </row>
    <row r="547" ht="32.25" customHeight="1">
      <c r="A547" s="102">
        <v>10.0</v>
      </c>
      <c r="B547" s="123"/>
      <c r="C547" s="123"/>
      <c r="D547" s="107"/>
      <c r="F547" s="108"/>
      <c r="G547" s="108"/>
      <c r="H547" s="373"/>
      <c r="I547" s="352"/>
      <c r="J547" s="352"/>
      <c r="K547" s="352"/>
      <c r="L547" s="352"/>
      <c r="M547" s="352"/>
      <c r="N547" s="352"/>
      <c r="O547" s="352"/>
      <c r="P547" s="352"/>
      <c r="Q547" s="352"/>
      <c r="R547" s="352"/>
    </row>
    <row r="548" ht="32.25" customHeight="1">
      <c r="A548" s="102">
        <v>11.0</v>
      </c>
      <c r="B548" s="123"/>
      <c r="C548" s="123"/>
      <c r="D548" s="107"/>
      <c r="E548" s="107" t="s">
        <v>2146</v>
      </c>
      <c r="F548" s="108"/>
      <c r="G548" s="108"/>
      <c r="H548" s="373"/>
      <c r="I548" s="352"/>
      <c r="J548" s="352"/>
      <c r="K548" s="352"/>
      <c r="L548" s="352"/>
      <c r="M548" s="352"/>
      <c r="N548" s="352"/>
      <c r="O548" s="352"/>
      <c r="P548" s="352"/>
      <c r="Q548" s="352"/>
      <c r="R548" s="352"/>
    </row>
    <row r="549" ht="32.25" customHeight="1">
      <c r="A549" s="102">
        <v>12.0</v>
      </c>
      <c r="B549" s="123"/>
      <c r="C549" s="123"/>
      <c r="D549" s="107"/>
      <c r="E549" s="107"/>
      <c r="F549" s="108"/>
      <c r="G549" s="108"/>
      <c r="H549" s="373"/>
      <c r="I549" s="352"/>
      <c r="J549" s="352"/>
      <c r="K549" s="352"/>
      <c r="L549" s="352"/>
      <c r="M549" s="352"/>
      <c r="N549" s="352"/>
      <c r="O549" s="352"/>
      <c r="P549" s="352"/>
      <c r="Q549" s="352"/>
      <c r="R549" s="352"/>
    </row>
    <row r="550" ht="32.25" customHeight="1">
      <c r="A550" s="102">
        <v>13.0</v>
      </c>
      <c r="B550" s="123"/>
      <c r="C550" s="123"/>
      <c r="D550" s="107"/>
      <c r="E550" s="107"/>
      <c r="F550" s="108"/>
      <c r="G550" s="108"/>
      <c r="H550" s="373"/>
      <c r="I550" s="352"/>
      <c r="J550" s="352"/>
      <c r="K550" s="352"/>
      <c r="L550" s="352"/>
      <c r="M550" s="352"/>
      <c r="N550" s="352"/>
      <c r="O550" s="352"/>
      <c r="P550" s="352"/>
      <c r="Q550" s="352"/>
      <c r="R550" s="352"/>
    </row>
    <row r="551" ht="32.25" customHeight="1">
      <c r="A551" s="102">
        <v>14.0</v>
      </c>
      <c r="B551" s="123"/>
      <c r="C551" s="123"/>
      <c r="D551" s="107"/>
      <c r="E551" s="107"/>
      <c r="F551" s="108"/>
      <c r="G551" s="108"/>
      <c r="H551" s="373"/>
      <c r="I551" s="352"/>
      <c r="J551" s="352"/>
      <c r="K551" s="352"/>
      <c r="L551" s="352"/>
      <c r="M551" s="352"/>
      <c r="N551" s="352"/>
      <c r="O551" s="352"/>
      <c r="P551" s="352"/>
      <c r="Q551" s="352"/>
      <c r="R551" s="352"/>
    </row>
    <row r="552" ht="32.25" customHeight="1">
      <c r="A552" s="102">
        <v>15.0</v>
      </c>
      <c r="B552" s="123"/>
      <c r="C552" s="123"/>
      <c r="D552" s="107"/>
      <c r="E552" s="107"/>
      <c r="F552" s="108"/>
      <c r="G552" s="108"/>
      <c r="H552" s="373"/>
      <c r="I552" s="352"/>
      <c r="J552" s="352"/>
      <c r="K552" s="352"/>
      <c r="L552" s="352"/>
      <c r="M552" s="352"/>
      <c r="N552" s="352"/>
      <c r="O552" s="352"/>
      <c r="P552" s="352"/>
      <c r="Q552" s="352"/>
      <c r="R552" s="352"/>
    </row>
    <row r="553" ht="32.25" customHeight="1">
      <c r="A553" s="58"/>
      <c r="B553" s="149"/>
      <c r="C553" s="58"/>
      <c r="D553" s="58"/>
      <c r="E553" s="102" t="s">
        <v>144</v>
      </c>
      <c r="F553" s="150"/>
      <c r="G553" s="58"/>
      <c r="H553" s="373"/>
      <c r="I553" s="352"/>
      <c r="J553" s="352"/>
      <c r="K553" s="352"/>
      <c r="L553" s="352"/>
      <c r="M553" s="352"/>
      <c r="N553" s="352"/>
      <c r="O553" s="352"/>
      <c r="P553" s="352"/>
      <c r="Q553" s="352"/>
      <c r="R553" s="352"/>
    </row>
    <row r="554" ht="32.25" customHeight="1">
      <c r="A554" s="58"/>
      <c r="B554" s="149"/>
      <c r="C554" s="58"/>
      <c r="D554" s="58"/>
      <c r="E554" s="102" t="s">
        <v>145</v>
      </c>
      <c r="F554" s="150">
        <v>1915.0</v>
      </c>
      <c r="G554" s="58"/>
      <c r="H554" s="373"/>
      <c r="I554" s="352"/>
      <c r="J554" s="352"/>
      <c r="K554" s="352"/>
      <c r="L554" s="352"/>
      <c r="M554" s="352"/>
      <c r="N554" s="352"/>
      <c r="O554" s="352"/>
      <c r="P554" s="352"/>
      <c r="Q554" s="352"/>
      <c r="R554" s="352"/>
    </row>
    <row r="555" ht="32.25" customHeight="1">
      <c r="A555" s="58"/>
      <c r="B555" s="149"/>
      <c r="C555" s="58"/>
      <c r="D555" s="58"/>
      <c r="E555" s="102" t="s">
        <v>146</v>
      </c>
      <c r="F555" s="150">
        <v>360.0</v>
      </c>
      <c r="G555" s="58"/>
      <c r="H555" s="373"/>
      <c r="I555" s="352"/>
      <c r="J555" s="352"/>
      <c r="K555" s="352"/>
      <c r="L555" s="352"/>
      <c r="M555" s="352"/>
      <c r="N555" s="352"/>
      <c r="O555" s="352"/>
      <c r="P555" s="352"/>
      <c r="Q555" s="352"/>
      <c r="R555" s="352"/>
    </row>
    <row r="556" ht="32.25" customHeight="1">
      <c r="A556" s="58"/>
      <c r="B556" s="149"/>
      <c r="C556" s="58"/>
      <c r="D556" s="58"/>
      <c r="E556" s="102" t="s">
        <v>147</v>
      </c>
      <c r="F556" s="150">
        <v>270.0</v>
      </c>
      <c r="G556" s="58"/>
      <c r="H556" s="373"/>
      <c r="I556" s="352"/>
      <c r="J556" s="352"/>
      <c r="K556" s="352"/>
      <c r="L556" s="352"/>
      <c r="M556" s="352"/>
      <c r="N556" s="352"/>
      <c r="O556" s="352"/>
      <c r="P556" s="352"/>
      <c r="Q556" s="352"/>
      <c r="R556" s="352"/>
    </row>
    <row r="557" ht="32.25" customHeight="1">
      <c r="A557" s="58"/>
      <c r="B557" s="149"/>
      <c r="C557" s="58"/>
      <c r="D557" s="58"/>
      <c r="E557" s="102" t="s">
        <v>148</v>
      </c>
      <c r="F557" s="150">
        <v>1945.0</v>
      </c>
      <c r="G557" s="212"/>
      <c r="H557" s="373"/>
      <c r="I557" s="352"/>
      <c r="J557" s="352"/>
      <c r="K557" s="352"/>
      <c r="L557" s="352"/>
      <c r="M557" s="352"/>
      <c r="N557" s="352"/>
      <c r="O557" s="352"/>
      <c r="P557" s="352"/>
      <c r="Q557" s="352"/>
      <c r="R557" s="352"/>
    </row>
    <row r="558" ht="32.25" customHeight="1">
      <c r="A558" s="58"/>
      <c r="B558" s="149"/>
      <c r="C558" s="58"/>
      <c r="D558" s="58"/>
      <c r="E558" s="58"/>
      <c r="F558" s="58"/>
      <c r="G558" s="58"/>
      <c r="H558" s="373"/>
      <c r="I558" s="352"/>
      <c r="J558" s="352"/>
      <c r="K558" s="352"/>
      <c r="L558" s="352"/>
      <c r="M558" s="352"/>
      <c r="N558" s="352"/>
      <c r="O558" s="352"/>
      <c r="P558" s="352"/>
      <c r="Q558" s="352"/>
      <c r="R558" s="352"/>
    </row>
    <row r="559" ht="32.25" customHeight="1">
      <c r="A559" s="102" t="s">
        <v>4</v>
      </c>
      <c r="B559" s="102" t="s">
        <v>5</v>
      </c>
      <c r="C559" s="102" t="s">
        <v>126</v>
      </c>
      <c r="D559" s="102" t="s">
        <v>6</v>
      </c>
      <c r="E559" s="102" t="s">
        <v>7</v>
      </c>
      <c r="F559" s="102" t="s">
        <v>127</v>
      </c>
      <c r="G559" s="102" t="s">
        <v>128</v>
      </c>
      <c r="H559" s="373"/>
      <c r="I559" s="352"/>
      <c r="J559" s="352"/>
      <c r="K559" s="352"/>
      <c r="L559" s="352"/>
      <c r="M559" s="352"/>
      <c r="N559" s="352"/>
      <c r="O559" s="352"/>
      <c r="P559" s="352"/>
      <c r="Q559" s="352"/>
      <c r="R559" s="352"/>
    </row>
    <row r="560" ht="32.25" customHeight="1">
      <c r="A560" s="102">
        <v>1.0</v>
      </c>
      <c r="B560" s="147">
        <v>46128.0</v>
      </c>
      <c r="C560" s="148" t="s">
        <v>211</v>
      </c>
      <c r="D560" s="107" t="s">
        <v>2036</v>
      </c>
      <c r="E560" s="107" t="s">
        <v>242</v>
      </c>
      <c r="F560" s="108">
        <v>40.0</v>
      </c>
      <c r="G560" s="108"/>
      <c r="H560" s="373"/>
      <c r="I560" s="352"/>
      <c r="J560" s="352"/>
      <c r="K560" s="352"/>
      <c r="L560" s="352"/>
      <c r="M560" s="352"/>
      <c r="N560" s="352"/>
      <c r="O560" s="352"/>
      <c r="P560" s="352"/>
      <c r="Q560" s="352"/>
      <c r="R560" s="352"/>
    </row>
    <row r="561" ht="32.25" customHeight="1">
      <c r="A561" s="102">
        <v>2.0</v>
      </c>
      <c r="B561" s="123"/>
      <c r="C561" s="123"/>
      <c r="D561" s="107"/>
      <c r="E561" s="107" t="s">
        <v>2147</v>
      </c>
      <c r="F561" s="108" t="s">
        <v>2148</v>
      </c>
      <c r="G561" s="108"/>
      <c r="H561" s="373"/>
      <c r="I561" s="352"/>
      <c r="J561" s="352"/>
      <c r="K561" s="352"/>
      <c r="L561" s="352"/>
      <c r="M561" s="352"/>
      <c r="N561" s="352"/>
      <c r="O561" s="352"/>
      <c r="P561" s="352"/>
      <c r="Q561" s="352"/>
      <c r="R561" s="352"/>
    </row>
    <row r="562" ht="32.25" customHeight="1">
      <c r="A562" s="150">
        <v>3.0</v>
      </c>
      <c r="B562" s="123"/>
      <c r="C562" s="123"/>
      <c r="D562" s="107"/>
      <c r="E562" s="107" t="s">
        <v>1358</v>
      </c>
      <c r="F562" s="108">
        <v>50.0</v>
      </c>
      <c r="G562" s="108"/>
      <c r="H562" s="373"/>
      <c r="I562" s="352"/>
      <c r="J562" s="352"/>
      <c r="K562" s="352"/>
      <c r="L562" s="352"/>
      <c r="M562" s="352"/>
      <c r="N562" s="352"/>
      <c r="O562" s="352"/>
      <c r="P562" s="352"/>
      <c r="Q562" s="352"/>
      <c r="R562" s="352"/>
    </row>
    <row r="563" ht="32.25" customHeight="1">
      <c r="A563" s="102">
        <v>4.0</v>
      </c>
      <c r="B563" s="123"/>
      <c r="C563" s="123"/>
      <c r="D563" s="107"/>
      <c r="E563" s="107" t="s">
        <v>2149</v>
      </c>
      <c r="F563" s="108"/>
      <c r="G563" s="108"/>
      <c r="H563" s="373"/>
      <c r="I563" s="352"/>
      <c r="J563" s="352"/>
      <c r="K563" s="352"/>
      <c r="L563" s="352"/>
      <c r="M563" s="352"/>
      <c r="N563" s="352"/>
      <c r="O563" s="352"/>
      <c r="P563" s="352"/>
      <c r="Q563" s="352"/>
      <c r="R563" s="352"/>
    </row>
    <row r="564" ht="32.25" customHeight="1">
      <c r="A564" s="102">
        <v>5.0</v>
      </c>
      <c r="B564" s="123"/>
      <c r="C564" s="123"/>
      <c r="D564" s="107"/>
      <c r="E564" s="107" t="s">
        <v>2150</v>
      </c>
      <c r="F564" s="108">
        <v>60.0</v>
      </c>
      <c r="G564" s="108"/>
      <c r="H564" s="373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</row>
    <row r="565" ht="32.25" customHeight="1">
      <c r="A565" s="102">
        <v>6.0</v>
      </c>
      <c r="B565" s="123"/>
      <c r="C565" s="123"/>
      <c r="D565" s="107"/>
      <c r="E565" s="107"/>
      <c r="F565" s="108"/>
      <c r="G565" s="108"/>
      <c r="H565" s="373"/>
      <c r="I565" s="352"/>
      <c r="J565" s="352"/>
      <c r="K565" s="352"/>
      <c r="L565" s="352"/>
      <c r="M565" s="352"/>
      <c r="N565" s="352"/>
      <c r="O565" s="352"/>
      <c r="P565" s="352"/>
      <c r="Q565" s="352"/>
      <c r="R565" s="352"/>
    </row>
    <row r="566" ht="32.25" customHeight="1">
      <c r="A566" s="102">
        <v>7.0</v>
      </c>
      <c r="B566" s="123"/>
      <c r="C566" s="123"/>
      <c r="D566" s="107"/>
      <c r="E566" s="107" t="s">
        <v>36</v>
      </c>
      <c r="F566" s="111" t="s">
        <v>2151</v>
      </c>
      <c r="G566" s="108"/>
      <c r="H566" s="373"/>
      <c r="I566" s="352"/>
      <c r="J566" s="352"/>
      <c r="K566" s="352"/>
      <c r="L566" s="352"/>
      <c r="M566" s="352"/>
      <c r="N566" s="352"/>
      <c r="O566" s="352"/>
      <c r="P566" s="352"/>
      <c r="Q566" s="352"/>
      <c r="R566" s="352"/>
    </row>
    <row r="567" ht="32.25" customHeight="1">
      <c r="A567" s="58"/>
      <c r="B567" s="149"/>
      <c r="C567" s="58"/>
      <c r="D567" s="58"/>
      <c r="E567" s="102" t="s">
        <v>144</v>
      </c>
      <c r="F567" s="150">
        <v>0.0</v>
      </c>
      <c r="G567" s="58"/>
      <c r="H567" s="373"/>
      <c r="I567" s="352"/>
      <c r="J567" s="352"/>
      <c r="K567" s="352"/>
      <c r="L567" s="352"/>
      <c r="M567" s="352"/>
      <c r="N567" s="352"/>
      <c r="O567" s="352"/>
      <c r="P567" s="352"/>
      <c r="Q567" s="352"/>
      <c r="R567" s="352"/>
    </row>
    <row r="568" ht="32.25" customHeight="1">
      <c r="A568" s="58"/>
      <c r="B568" s="149"/>
      <c r="C568" s="58"/>
      <c r="D568" s="58"/>
      <c r="E568" s="102" t="s">
        <v>145</v>
      </c>
      <c r="F568" s="150">
        <v>790.0</v>
      </c>
      <c r="G568" s="58"/>
      <c r="H568" s="373"/>
      <c r="I568" s="352"/>
      <c r="J568" s="352"/>
      <c r="K568" s="352"/>
      <c r="L568" s="352"/>
      <c r="M568" s="352"/>
      <c r="N568" s="352"/>
      <c r="O568" s="352"/>
      <c r="P568" s="352"/>
      <c r="Q568" s="352"/>
      <c r="R568" s="352"/>
    </row>
    <row r="569" ht="32.25" customHeight="1">
      <c r="A569" s="58"/>
      <c r="B569" s="149"/>
      <c r="C569" s="58"/>
      <c r="D569" s="58"/>
      <c r="E569" s="102" t="s">
        <v>146</v>
      </c>
      <c r="F569" s="150">
        <v>365.0</v>
      </c>
      <c r="G569" s="58"/>
      <c r="H569" s="373"/>
      <c r="I569" s="352"/>
      <c r="J569" s="352"/>
      <c r="K569" s="352"/>
      <c r="L569" s="352"/>
      <c r="M569" s="352"/>
      <c r="N569" s="352"/>
      <c r="O569" s="352"/>
      <c r="P569" s="352"/>
      <c r="Q569" s="352"/>
      <c r="R569" s="352"/>
    </row>
    <row r="570" ht="32.25" customHeight="1">
      <c r="A570" s="58"/>
      <c r="B570" s="149"/>
      <c r="C570" s="58"/>
      <c r="D570" s="58"/>
      <c r="E570" s="102" t="s">
        <v>147</v>
      </c>
      <c r="F570" s="150">
        <v>275.0</v>
      </c>
      <c r="G570" s="58"/>
      <c r="H570" s="373"/>
      <c r="I570" s="352"/>
      <c r="J570" s="352"/>
      <c r="K570" s="352"/>
      <c r="L570" s="352"/>
      <c r="M570" s="352"/>
      <c r="N570" s="352"/>
      <c r="O570" s="352"/>
      <c r="P570" s="352"/>
      <c r="Q570" s="352"/>
      <c r="R570" s="352"/>
    </row>
    <row r="571" ht="32.25" customHeight="1">
      <c r="A571" s="58"/>
      <c r="B571" s="149"/>
      <c r="C571" s="58"/>
      <c r="D571" s="58"/>
      <c r="E571" s="102" t="s">
        <v>148</v>
      </c>
      <c r="F571" s="150">
        <v>515.0</v>
      </c>
      <c r="G571" s="212"/>
      <c r="H571" s="373"/>
      <c r="I571" s="352"/>
      <c r="J571" s="352"/>
      <c r="K571" s="352"/>
      <c r="L571" s="352"/>
      <c r="M571" s="352"/>
      <c r="N571" s="352"/>
      <c r="O571" s="352"/>
      <c r="P571" s="352"/>
      <c r="Q571" s="352"/>
      <c r="R571" s="352"/>
    </row>
    <row r="572" ht="32.25" customHeight="1">
      <c r="A572" s="58"/>
      <c r="B572" s="149"/>
      <c r="C572" s="58"/>
      <c r="D572" s="58"/>
      <c r="E572" s="58"/>
      <c r="F572" s="58"/>
      <c r="G572" s="58"/>
      <c r="H572" s="373"/>
      <c r="I572" s="352"/>
      <c r="J572" s="352"/>
      <c r="K572" s="352"/>
      <c r="L572" s="352"/>
      <c r="M572" s="352"/>
      <c r="N572" s="352"/>
      <c r="O572" s="352"/>
      <c r="P572" s="352"/>
      <c r="Q572" s="352"/>
      <c r="R572" s="352"/>
    </row>
    <row r="573" ht="32.25" customHeight="1">
      <c r="A573" s="102" t="s">
        <v>4</v>
      </c>
      <c r="B573" s="102" t="s">
        <v>5</v>
      </c>
      <c r="C573" s="102" t="s">
        <v>126</v>
      </c>
      <c r="D573" s="102" t="s">
        <v>6</v>
      </c>
      <c r="E573" s="102" t="s">
        <v>7</v>
      </c>
      <c r="F573" s="102" t="s">
        <v>127</v>
      </c>
      <c r="G573" s="102" t="s">
        <v>128</v>
      </c>
      <c r="H573" s="373"/>
      <c r="I573" s="352"/>
      <c r="J573" s="352"/>
      <c r="K573" s="352"/>
      <c r="L573" s="352"/>
      <c r="M573" s="352"/>
      <c r="N573" s="352"/>
      <c r="O573" s="352"/>
      <c r="P573" s="352"/>
      <c r="Q573" s="352"/>
      <c r="R573" s="352"/>
    </row>
    <row r="574" ht="32.25" customHeight="1">
      <c r="A574" s="102">
        <v>1.0</v>
      </c>
      <c r="B574" s="147">
        <v>46129.0</v>
      </c>
      <c r="C574" s="148" t="s">
        <v>618</v>
      </c>
      <c r="D574" s="107" t="s">
        <v>2036</v>
      </c>
      <c r="E574" s="107" t="s">
        <v>2152</v>
      </c>
      <c r="F574" s="108">
        <v>35.0</v>
      </c>
      <c r="G574" s="108"/>
      <c r="H574" s="373"/>
      <c r="I574" s="352"/>
      <c r="J574" s="352"/>
      <c r="K574" s="352"/>
      <c r="L574" s="352"/>
      <c r="M574" s="352"/>
      <c r="N574" s="352"/>
      <c r="O574" s="352"/>
      <c r="P574" s="352"/>
      <c r="Q574" s="352"/>
      <c r="R574" s="352"/>
    </row>
    <row r="575" ht="32.25" customHeight="1">
      <c r="A575" s="102">
        <v>2.0</v>
      </c>
      <c r="B575" s="123"/>
      <c r="C575" s="123"/>
      <c r="D575" s="107"/>
      <c r="E575" s="107" t="s">
        <v>2153</v>
      </c>
      <c r="F575" s="108">
        <v>30.0</v>
      </c>
      <c r="G575" s="108"/>
      <c r="H575" s="373"/>
      <c r="I575" s="352"/>
      <c r="J575" s="352"/>
      <c r="K575" s="352"/>
      <c r="L575" s="352"/>
      <c r="M575" s="352"/>
      <c r="N575" s="352"/>
      <c r="O575" s="352"/>
      <c r="P575" s="352"/>
      <c r="Q575" s="352"/>
      <c r="R575" s="352"/>
    </row>
    <row r="576" ht="32.25" customHeight="1">
      <c r="A576" s="150">
        <v>3.0</v>
      </c>
      <c r="B576" s="123"/>
      <c r="C576" s="123"/>
      <c r="D576" s="107"/>
      <c r="E576" s="107" t="s">
        <v>2154</v>
      </c>
      <c r="F576" s="108"/>
      <c r="G576" s="111" t="s">
        <v>2155</v>
      </c>
      <c r="H576" s="373"/>
      <c r="I576" s="352"/>
      <c r="J576" s="352"/>
      <c r="K576" s="352"/>
      <c r="L576" s="352"/>
      <c r="M576" s="352"/>
      <c r="N576" s="352"/>
      <c r="O576" s="352"/>
      <c r="P576" s="352"/>
      <c r="Q576" s="352"/>
      <c r="R576" s="352"/>
    </row>
    <row r="577" ht="32.25" customHeight="1">
      <c r="A577" s="102">
        <v>4.0</v>
      </c>
      <c r="B577" s="123"/>
      <c r="C577" s="123"/>
      <c r="D577" s="107"/>
      <c r="E577" s="107" t="s">
        <v>2156</v>
      </c>
      <c r="F577" s="108">
        <v>35.0</v>
      </c>
      <c r="G577" s="108"/>
      <c r="H577" s="373"/>
      <c r="I577" s="352"/>
      <c r="J577" s="352"/>
      <c r="K577" s="352"/>
      <c r="L577" s="352"/>
      <c r="M577" s="352"/>
      <c r="N577" s="352"/>
      <c r="O577" s="352"/>
      <c r="P577" s="352"/>
      <c r="Q577" s="352"/>
      <c r="R577" s="352"/>
    </row>
    <row r="578" ht="32.25" customHeight="1">
      <c r="A578" s="102">
        <v>5.0</v>
      </c>
      <c r="B578" s="123"/>
      <c r="C578" s="123"/>
      <c r="D578" s="107"/>
      <c r="E578" s="107" t="s">
        <v>566</v>
      </c>
      <c r="F578" s="108">
        <v>-400.0</v>
      </c>
      <c r="G578" s="111" t="s">
        <v>2157</v>
      </c>
      <c r="H578" s="373"/>
      <c r="I578" s="352"/>
      <c r="J578" s="352"/>
      <c r="K578" s="352"/>
      <c r="L578" s="352"/>
      <c r="M578" s="352"/>
      <c r="N578" s="352"/>
      <c r="O578" s="352"/>
      <c r="P578" s="352"/>
      <c r="Q578" s="352"/>
      <c r="R578" s="352"/>
    </row>
    <row r="579" ht="32.25" customHeight="1">
      <c r="A579" s="102">
        <v>6.0</v>
      </c>
      <c r="B579" s="123"/>
      <c r="C579" s="123"/>
      <c r="D579" s="107"/>
      <c r="E579" s="107" t="s">
        <v>2158</v>
      </c>
      <c r="F579" s="108">
        <v>35.0</v>
      </c>
      <c r="G579" s="108"/>
      <c r="H579" s="373"/>
      <c r="I579" s="352"/>
      <c r="J579" s="352"/>
      <c r="K579" s="352"/>
      <c r="L579" s="352"/>
      <c r="M579" s="352"/>
      <c r="N579" s="352"/>
      <c r="O579" s="352"/>
      <c r="P579" s="352"/>
      <c r="Q579" s="352"/>
      <c r="R579" s="352"/>
    </row>
    <row r="580" ht="32.25" customHeight="1">
      <c r="A580" s="102">
        <v>7.0</v>
      </c>
      <c r="B580" s="123"/>
      <c r="C580" s="123"/>
      <c r="D580" s="107"/>
      <c r="E580" s="107" t="s">
        <v>566</v>
      </c>
      <c r="F580" s="108" t="s">
        <v>2159</v>
      </c>
      <c r="G580" s="108"/>
      <c r="H580" s="373"/>
      <c r="I580" s="352"/>
      <c r="J580" s="352"/>
      <c r="K580" s="352"/>
      <c r="L580" s="352"/>
      <c r="M580" s="352"/>
      <c r="N580" s="352"/>
      <c r="O580" s="352"/>
      <c r="P580" s="352"/>
      <c r="Q580" s="352"/>
      <c r="R580" s="352"/>
    </row>
    <row r="581" ht="32.25" customHeight="1">
      <c r="A581" s="102">
        <v>8.0</v>
      </c>
      <c r="B581" s="123"/>
      <c r="C581" s="123"/>
      <c r="D581" s="107"/>
      <c r="E581" s="107" t="s">
        <v>429</v>
      </c>
      <c r="F581" s="111"/>
      <c r="G581" s="111" t="s">
        <v>2155</v>
      </c>
      <c r="H581" s="373"/>
      <c r="I581" s="352"/>
      <c r="J581" s="352"/>
      <c r="K581" s="352"/>
      <c r="L581" s="352"/>
      <c r="M581" s="352"/>
      <c r="N581" s="352"/>
      <c r="O581" s="352"/>
      <c r="P581" s="352"/>
      <c r="Q581" s="352"/>
      <c r="R581" s="352"/>
    </row>
    <row r="582" ht="32.25" customHeight="1">
      <c r="A582" s="102">
        <v>9.0</v>
      </c>
      <c r="B582" s="123"/>
      <c r="C582" s="123"/>
      <c r="D582" s="107"/>
      <c r="E582" s="107"/>
      <c r="F582" s="108"/>
      <c r="G582" s="108"/>
      <c r="H582" s="373"/>
      <c r="I582" s="352"/>
      <c r="J582" s="352"/>
      <c r="K582" s="352"/>
      <c r="L582" s="352"/>
      <c r="M582" s="352"/>
      <c r="N582" s="352"/>
      <c r="O582" s="352"/>
      <c r="P582" s="352"/>
      <c r="Q582" s="352"/>
      <c r="R582" s="352"/>
    </row>
    <row r="583" ht="32.25" customHeight="1">
      <c r="A583" s="102">
        <v>10.0</v>
      </c>
      <c r="B583" s="123"/>
      <c r="C583" s="123"/>
      <c r="D583" s="107"/>
      <c r="E583" s="107"/>
      <c r="F583" s="108"/>
      <c r="G583" s="108"/>
      <c r="H583" s="373"/>
      <c r="I583" s="352"/>
      <c r="J583" s="352"/>
      <c r="K583" s="352"/>
      <c r="L583" s="352"/>
      <c r="M583" s="352"/>
      <c r="N583" s="352"/>
      <c r="O583" s="352"/>
      <c r="P583" s="352"/>
      <c r="Q583" s="352"/>
      <c r="R583" s="352"/>
    </row>
    <row r="584" ht="32.25" customHeight="1">
      <c r="A584" s="102">
        <v>11.0</v>
      </c>
      <c r="B584" s="123"/>
      <c r="C584" s="123"/>
      <c r="D584" s="107"/>
      <c r="E584" s="107"/>
      <c r="F584" s="108"/>
      <c r="G584" s="108"/>
      <c r="H584" s="373"/>
      <c r="I584" s="352"/>
      <c r="J584" s="352"/>
      <c r="K584" s="352"/>
      <c r="L584" s="352"/>
      <c r="M584" s="352"/>
      <c r="N584" s="352"/>
      <c r="O584" s="352"/>
      <c r="P584" s="352"/>
      <c r="Q584" s="352"/>
      <c r="R584" s="352"/>
    </row>
    <row r="585" ht="32.25" customHeight="1">
      <c r="A585" s="102">
        <v>12.0</v>
      </c>
      <c r="B585" s="123"/>
      <c r="C585" s="123"/>
      <c r="D585" s="107"/>
      <c r="E585" s="107"/>
      <c r="F585" s="108"/>
      <c r="G585" s="108"/>
      <c r="H585" s="373"/>
      <c r="I585" s="352"/>
      <c r="J585" s="352"/>
      <c r="K585" s="352"/>
      <c r="L585" s="352"/>
      <c r="M585" s="352"/>
      <c r="N585" s="352"/>
      <c r="O585" s="352"/>
      <c r="P585" s="352"/>
      <c r="Q585" s="352"/>
      <c r="R585" s="352"/>
    </row>
    <row r="586" ht="32.25" customHeight="1">
      <c r="A586" s="102">
        <v>13.0</v>
      </c>
      <c r="B586" s="123"/>
      <c r="C586" s="123"/>
      <c r="D586" s="107"/>
      <c r="E586" s="107"/>
      <c r="F586" s="108"/>
      <c r="G586" s="108"/>
      <c r="H586" s="373"/>
      <c r="I586" s="352"/>
      <c r="J586" s="352"/>
      <c r="K586" s="352"/>
      <c r="L586" s="352"/>
      <c r="M586" s="352"/>
      <c r="N586" s="352"/>
      <c r="O586" s="352"/>
      <c r="P586" s="352"/>
      <c r="Q586" s="352"/>
      <c r="R586" s="352"/>
    </row>
    <row r="587" ht="32.25" customHeight="1">
      <c r="A587" s="102">
        <v>14.0</v>
      </c>
      <c r="B587" s="123"/>
      <c r="C587" s="123"/>
      <c r="D587" s="107"/>
      <c r="E587" s="107"/>
      <c r="F587" s="108"/>
      <c r="G587" s="108"/>
      <c r="H587" s="373"/>
      <c r="I587" s="352"/>
      <c r="J587" s="352"/>
      <c r="K587" s="352"/>
      <c r="L587" s="352"/>
      <c r="M587" s="352"/>
      <c r="N587" s="352"/>
      <c r="O587" s="352"/>
      <c r="P587" s="352"/>
      <c r="Q587" s="352"/>
      <c r="R587" s="352"/>
    </row>
    <row r="588" ht="32.25" customHeight="1">
      <c r="A588" s="102">
        <v>15.0</v>
      </c>
      <c r="B588" s="123"/>
      <c r="C588" s="123"/>
      <c r="D588" s="107"/>
      <c r="E588" s="107"/>
      <c r="F588" s="108"/>
      <c r="G588" s="108"/>
      <c r="H588" s="373"/>
      <c r="I588" s="352"/>
      <c r="J588" s="352"/>
      <c r="K588" s="352"/>
      <c r="L588" s="352"/>
      <c r="M588" s="352"/>
      <c r="N588" s="352"/>
      <c r="O588" s="352"/>
      <c r="P588" s="352"/>
      <c r="Q588" s="352"/>
      <c r="R588" s="352"/>
    </row>
    <row r="589" ht="32.25" customHeight="1">
      <c r="A589" s="58"/>
      <c r="B589" s="149"/>
      <c r="C589" s="58"/>
      <c r="D589" s="58"/>
      <c r="E589" s="102" t="s">
        <v>144</v>
      </c>
      <c r="F589" s="150">
        <v>600.0</v>
      </c>
      <c r="G589" s="58"/>
      <c r="H589" s="373"/>
      <c r="I589" s="352"/>
      <c r="J589" s="352"/>
      <c r="K589" s="352"/>
      <c r="L589" s="352"/>
      <c r="M589" s="352"/>
      <c r="N589" s="352"/>
      <c r="O589" s="352"/>
      <c r="P589" s="352"/>
      <c r="Q589" s="352"/>
      <c r="R589" s="352"/>
    </row>
    <row r="590" ht="32.25" customHeight="1">
      <c r="A590" s="58"/>
      <c r="B590" s="149"/>
      <c r="C590" s="58"/>
      <c r="D590" s="58"/>
      <c r="E590" s="102" t="s">
        <v>145</v>
      </c>
      <c r="F590" s="150">
        <v>500.0</v>
      </c>
      <c r="G590" s="58"/>
      <c r="H590" s="373"/>
      <c r="I590" s="352"/>
      <c r="J590" s="352"/>
      <c r="K590" s="352"/>
      <c r="L590" s="352"/>
      <c r="M590" s="352"/>
      <c r="N590" s="352"/>
      <c r="O590" s="352"/>
      <c r="P590" s="352"/>
      <c r="Q590" s="352"/>
      <c r="R590" s="352"/>
    </row>
    <row r="591" ht="32.25" customHeight="1">
      <c r="A591" s="58"/>
      <c r="B591" s="149"/>
      <c r="C591" s="58"/>
      <c r="D591" s="58"/>
      <c r="E591" s="102" t="s">
        <v>146</v>
      </c>
      <c r="F591" s="150">
        <v>375.0</v>
      </c>
      <c r="G591" s="58"/>
      <c r="H591" s="373"/>
      <c r="I591" s="352"/>
      <c r="J591" s="352"/>
      <c r="K591" s="352"/>
      <c r="L591" s="352"/>
      <c r="M591" s="352"/>
      <c r="N591" s="352"/>
      <c r="O591" s="352"/>
      <c r="P591" s="352"/>
      <c r="Q591" s="352"/>
      <c r="R591" s="352"/>
    </row>
    <row r="592" ht="32.25" customHeight="1">
      <c r="A592" s="58"/>
      <c r="B592" s="149"/>
      <c r="C592" s="58"/>
      <c r="D592" s="58"/>
      <c r="E592" s="102" t="s">
        <v>147</v>
      </c>
      <c r="F592" s="150">
        <v>280.0</v>
      </c>
      <c r="G592" s="58"/>
      <c r="H592" s="373"/>
      <c r="I592" s="352"/>
      <c r="J592" s="352"/>
      <c r="K592" s="352"/>
      <c r="L592" s="352"/>
      <c r="M592" s="352"/>
      <c r="N592" s="352"/>
      <c r="O592" s="352"/>
      <c r="P592" s="352"/>
      <c r="Q592" s="352"/>
      <c r="R592" s="352"/>
    </row>
    <row r="593" ht="32.25" customHeight="1">
      <c r="A593" s="58"/>
      <c r="B593" s="149"/>
      <c r="C593" s="58"/>
      <c r="D593" s="58"/>
      <c r="E593" s="102" t="s">
        <v>148</v>
      </c>
      <c r="F593" s="150">
        <v>220.0</v>
      </c>
      <c r="G593" s="153" t="s">
        <v>2160</v>
      </c>
      <c r="H593" s="373"/>
      <c r="I593" s="352"/>
      <c r="J593" s="352"/>
      <c r="K593" s="352"/>
      <c r="L593" s="352"/>
      <c r="M593" s="352"/>
      <c r="N593" s="352"/>
      <c r="O593" s="352"/>
      <c r="P593" s="352"/>
      <c r="Q593" s="352"/>
      <c r="R593" s="352"/>
    </row>
    <row r="594" ht="32.25" customHeight="1">
      <c r="A594" s="102" t="s">
        <v>4</v>
      </c>
      <c r="B594" s="102" t="s">
        <v>5</v>
      </c>
      <c r="C594" s="102" t="s">
        <v>126</v>
      </c>
      <c r="D594" s="102" t="s">
        <v>6</v>
      </c>
      <c r="E594" s="102" t="s">
        <v>7</v>
      </c>
      <c r="F594" s="102" t="s">
        <v>127</v>
      </c>
      <c r="G594" s="102" t="s">
        <v>128</v>
      </c>
      <c r="H594" s="373"/>
      <c r="I594" s="352"/>
      <c r="J594" s="352"/>
      <c r="K594" s="352"/>
      <c r="L594" s="352"/>
      <c r="M594" s="352"/>
      <c r="N594" s="352"/>
      <c r="O594" s="352"/>
      <c r="P594" s="352"/>
      <c r="Q594" s="352"/>
      <c r="R594" s="352"/>
    </row>
    <row r="595" ht="32.25" customHeight="1">
      <c r="A595" s="102">
        <v>1.0</v>
      </c>
      <c r="B595" s="147">
        <v>46130.0</v>
      </c>
      <c r="C595" s="148" t="s">
        <v>1041</v>
      </c>
      <c r="D595" s="107" t="s">
        <v>2036</v>
      </c>
      <c r="E595" s="107" t="s">
        <v>2161</v>
      </c>
      <c r="F595" s="108"/>
      <c r="G595" s="108"/>
      <c r="H595" s="373"/>
      <c r="I595" s="352"/>
      <c r="J595" s="352"/>
      <c r="K595" s="352"/>
      <c r="L595" s="352"/>
      <c r="M595" s="352"/>
      <c r="N595" s="352"/>
      <c r="O595" s="352"/>
      <c r="P595" s="352"/>
      <c r="Q595" s="352"/>
      <c r="R595" s="352"/>
    </row>
    <row r="596" ht="32.25" customHeight="1">
      <c r="A596" s="102">
        <v>2.0</v>
      </c>
      <c r="B596" s="123"/>
      <c r="C596" s="123"/>
      <c r="D596" s="107"/>
      <c r="E596" s="107" t="s">
        <v>2162</v>
      </c>
      <c r="F596" s="108"/>
      <c r="G596" s="108"/>
      <c r="H596" s="373"/>
      <c r="I596" s="352"/>
      <c r="J596" s="352"/>
      <c r="K596" s="352"/>
      <c r="L596" s="352"/>
      <c r="M596" s="352"/>
      <c r="N596" s="352"/>
      <c r="O596" s="352"/>
      <c r="P596" s="352"/>
      <c r="Q596" s="352"/>
      <c r="R596" s="352"/>
    </row>
    <row r="597" ht="32.25" customHeight="1">
      <c r="A597" s="150">
        <v>3.0</v>
      </c>
      <c r="B597" s="123"/>
      <c r="C597" s="123"/>
      <c r="D597" s="107"/>
      <c r="E597" s="107" t="s">
        <v>2163</v>
      </c>
      <c r="F597" s="108"/>
      <c r="G597" s="111"/>
      <c r="H597" s="373"/>
      <c r="I597" s="352"/>
      <c r="J597" s="352"/>
      <c r="K597" s="352"/>
      <c r="L597" s="352"/>
      <c r="M597" s="352"/>
      <c r="N597" s="352"/>
      <c r="O597" s="352"/>
      <c r="P597" s="352"/>
      <c r="Q597" s="352"/>
      <c r="R597" s="352"/>
    </row>
    <row r="598" ht="32.25" customHeight="1">
      <c r="A598" s="102">
        <v>4.0</v>
      </c>
      <c r="B598" s="123"/>
      <c r="C598" s="123"/>
      <c r="D598" s="107"/>
      <c r="E598" s="107" t="s">
        <v>2164</v>
      </c>
      <c r="F598" s="108"/>
      <c r="G598" s="108"/>
      <c r="H598" s="373"/>
      <c r="I598" s="352"/>
      <c r="J598" s="352"/>
      <c r="K598" s="352"/>
      <c r="L598" s="352"/>
      <c r="M598" s="352"/>
      <c r="N598" s="352"/>
      <c r="O598" s="352"/>
      <c r="P598" s="352"/>
      <c r="Q598" s="352"/>
      <c r="R598" s="352"/>
    </row>
    <row r="599" ht="32.25" customHeight="1">
      <c r="A599" s="102">
        <v>5.0</v>
      </c>
      <c r="B599" s="123"/>
      <c r="C599" s="123"/>
      <c r="D599" s="107"/>
      <c r="E599" s="107"/>
      <c r="F599" s="108"/>
      <c r="G599" s="111"/>
      <c r="H599" s="373"/>
      <c r="I599" s="352"/>
      <c r="J599" s="352"/>
      <c r="K599" s="352"/>
      <c r="L599" s="352"/>
      <c r="M599" s="352"/>
      <c r="N599" s="352"/>
      <c r="O599" s="352"/>
      <c r="P599" s="352"/>
      <c r="Q599" s="352"/>
      <c r="R599" s="352"/>
    </row>
    <row r="600" ht="32.25" customHeight="1">
      <c r="A600" s="102">
        <v>6.0</v>
      </c>
      <c r="B600" s="123"/>
      <c r="C600" s="123"/>
      <c r="D600" s="107"/>
      <c r="E600" s="107"/>
      <c r="F600" s="108"/>
      <c r="G600" s="108"/>
      <c r="H600" s="373"/>
      <c r="I600" s="352"/>
      <c r="J600" s="352"/>
      <c r="K600" s="352"/>
      <c r="L600" s="352"/>
      <c r="M600" s="352"/>
      <c r="N600" s="352"/>
      <c r="O600" s="352"/>
      <c r="P600" s="352"/>
      <c r="Q600" s="352"/>
      <c r="R600" s="352"/>
    </row>
    <row r="601" ht="32.25" customHeight="1">
      <c r="A601" s="102">
        <v>7.0</v>
      </c>
      <c r="B601" s="123"/>
      <c r="C601" s="123"/>
      <c r="D601" s="107"/>
      <c r="E601" s="107"/>
      <c r="F601" s="108"/>
      <c r="G601" s="108"/>
      <c r="H601" s="373"/>
      <c r="I601" s="352"/>
      <c r="J601" s="352"/>
      <c r="K601" s="352"/>
      <c r="L601" s="352"/>
      <c r="M601" s="352"/>
      <c r="N601" s="352"/>
      <c r="O601" s="352"/>
      <c r="P601" s="352"/>
      <c r="Q601" s="352"/>
      <c r="R601" s="352"/>
    </row>
    <row r="602" ht="32.25" customHeight="1">
      <c r="A602" s="102">
        <v>8.0</v>
      </c>
      <c r="B602" s="123"/>
      <c r="C602" s="123"/>
      <c r="D602" s="107"/>
      <c r="E602" s="107"/>
      <c r="F602" s="111"/>
      <c r="G602" s="111"/>
      <c r="H602" s="373"/>
      <c r="I602" s="352"/>
      <c r="J602" s="352"/>
      <c r="K602" s="352"/>
      <c r="L602" s="352"/>
      <c r="M602" s="352"/>
      <c r="N602" s="352"/>
      <c r="O602" s="352"/>
      <c r="P602" s="352"/>
      <c r="Q602" s="352"/>
      <c r="R602" s="352"/>
    </row>
    <row r="603" ht="32.25" customHeight="1">
      <c r="A603" s="102">
        <v>9.0</v>
      </c>
      <c r="B603" s="123"/>
      <c r="C603" s="123"/>
      <c r="D603" s="107"/>
      <c r="E603" s="107"/>
      <c r="F603" s="108"/>
      <c r="G603" s="108"/>
      <c r="H603" s="373"/>
      <c r="I603" s="352"/>
      <c r="J603" s="352"/>
      <c r="K603" s="352"/>
      <c r="L603" s="352"/>
      <c r="M603" s="352"/>
      <c r="N603" s="352"/>
      <c r="O603" s="352"/>
      <c r="P603" s="352"/>
      <c r="Q603" s="352"/>
      <c r="R603" s="352"/>
    </row>
    <row r="604" ht="32.25" customHeight="1">
      <c r="A604" s="102">
        <v>10.0</v>
      </c>
      <c r="B604" s="123"/>
      <c r="C604" s="123"/>
      <c r="D604" s="107"/>
      <c r="E604" s="107"/>
      <c r="F604" s="108"/>
      <c r="G604" s="108"/>
      <c r="H604" s="373"/>
      <c r="I604" s="352"/>
      <c r="J604" s="352"/>
      <c r="K604" s="352"/>
      <c r="L604" s="352"/>
      <c r="M604" s="352"/>
      <c r="N604" s="352"/>
      <c r="O604" s="352"/>
      <c r="P604" s="352"/>
      <c r="Q604" s="352"/>
      <c r="R604" s="352"/>
    </row>
    <row r="605" ht="32.25" customHeight="1">
      <c r="A605" s="102">
        <v>11.0</v>
      </c>
      <c r="B605" s="123"/>
      <c r="C605" s="123"/>
      <c r="D605" s="107"/>
      <c r="E605" s="107"/>
      <c r="F605" s="108"/>
      <c r="G605" s="108"/>
      <c r="H605" s="373"/>
      <c r="I605" s="352"/>
      <c r="J605" s="352"/>
      <c r="K605" s="352"/>
      <c r="L605" s="352"/>
      <c r="M605" s="352"/>
      <c r="N605" s="352"/>
      <c r="O605" s="352"/>
      <c r="P605" s="352"/>
      <c r="Q605" s="352"/>
      <c r="R605" s="352"/>
    </row>
    <row r="606" ht="32.25" customHeight="1">
      <c r="A606" s="102">
        <v>12.0</v>
      </c>
      <c r="B606" s="123"/>
      <c r="C606" s="123"/>
      <c r="D606" s="107"/>
      <c r="E606" s="107"/>
      <c r="F606" s="108"/>
      <c r="G606" s="108"/>
      <c r="H606" s="373"/>
      <c r="I606" s="352"/>
      <c r="J606" s="352"/>
      <c r="K606" s="352"/>
      <c r="L606" s="352"/>
      <c r="M606" s="352"/>
      <c r="N606" s="352"/>
      <c r="O606" s="352"/>
      <c r="P606" s="352"/>
      <c r="Q606" s="352"/>
      <c r="R606" s="352"/>
    </row>
    <row r="607" ht="32.25" customHeight="1">
      <c r="A607" s="102">
        <v>13.0</v>
      </c>
      <c r="B607" s="123"/>
      <c r="C607" s="123"/>
      <c r="D607" s="107"/>
      <c r="E607" s="107"/>
      <c r="F607" s="108"/>
      <c r="G607" s="108"/>
      <c r="H607" s="373"/>
      <c r="I607" s="352"/>
      <c r="J607" s="352"/>
      <c r="K607" s="352"/>
      <c r="L607" s="352"/>
      <c r="M607" s="352"/>
      <c r="N607" s="352"/>
      <c r="O607" s="352"/>
      <c r="P607" s="352"/>
      <c r="Q607" s="352"/>
      <c r="R607" s="352"/>
    </row>
    <row r="608" ht="32.25" customHeight="1">
      <c r="A608" s="102">
        <v>14.0</v>
      </c>
      <c r="B608" s="123"/>
      <c r="C608" s="123"/>
      <c r="D608" s="107"/>
      <c r="E608" s="107"/>
      <c r="F608" s="108"/>
      <c r="G608" s="108"/>
      <c r="H608" s="373"/>
      <c r="I608" s="352"/>
      <c r="J608" s="352"/>
      <c r="K608" s="352"/>
      <c r="L608" s="352"/>
      <c r="M608" s="352"/>
      <c r="N608" s="352"/>
      <c r="O608" s="352"/>
      <c r="P608" s="352"/>
      <c r="Q608" s="352"/>
      <c r="R608" s="352"/>
    </row>
    <row r="609" ht="32.25" customHeight="1">
      <c r="A609" s="102">
        <v>15.0</v>
      </c>
      <c r="B609" s="123"/>
      <c r="C609" s="123"/>
      <c r="D609" s="107"/>
      <c r="E609" s="107"/>
      <c r="F609" s="108"/>
      <c r="G609" s="108"/>
      <c r="H609" s="373"/>
      <c r="I609" s="352"/>
      <c r="J609" s="352"/>
      <c r="K609" s="352"/>
      <c r="L609" s="352"/>
      <c r="M609" s="352"/>
      <c r="N609" s="352"/>
      <c r="O609" s="352"/>
      <c r="P609" s="352"/>
      <c r="Q609" s="352"/>
      <c r="R609" s="352"/>
    </row>
    <row r="610" ht="32.25" customHeight="1">
      <c r="A610" s="58"/>
      <c r="B610" s="149"/>
      <c r="C610" s="58"/>
      <c r="D610" s="58"/>
      <c r="E610" s="102" t="s">
        <v>144</v>
      </c>
      <c r="F610" s="150"/>
      <c r="G610" s="58"/>
      <c r="H610" s="373"/>
      <c r="I610" s="352"/>
      <c r="J610" s="352"/>
      <c r="K610" s="352"/>
      <c r="L610" s="352"/>
      <c r="M610" s="352"/>
      <c r="N610" s="352"/>
      <c r="O610" s="352"/>
      <c r="P610" s="352"/>
      <c r="Q610" s="352"/>
      <c r="R610" s="352"/>
    </row>
    <row r="611" ht="32.25" customHeight="1">
      <c r="A611" s="58"/>
      <c r="B611" s="149"/>
      <c r="C611" s="58"/>
      <c r="D611" s="58"/>
      <c r="E611" s="102" t="s">
        <v>145</v>
      </c>
      <c r="F611" s="150">
        <v>1510.0</v>
      </c>
      <c r="G611" s="58"/>
      <c r="H611" s="373"/>
      <c r="I611" s="352"/>
      <c r="J611" s="352"/>
      <c r="K611" s="352"/>
      <c r="L611" s="352"/>
      <c r="M611" s="352"/>
      <c r="N611" s="352"/>
      <c r="O611" s="352"/>
      <c r="P611" s="352"/>
      <c r="Q611" s="352"/>
      <c r="R611" s="352"/>
    </row>
    <row r="612" ht="32.25" customHeight="1">
      <c r="A612" s="58"/>
      <c r="B612" s="149"/>
      <c r="C612" s="58"/>
      <c r="D612" s="58"/>
      <c r="E612" s="102" t="s">
        <v>146</v>
      </c>
      <c r="F612" s="150">
        <v>140.0</v>
      </c>
      <c r="G612" s="58"/>
      <c r="H612" s="373"/>
      <c r="I612" s="352"/>
      <c r="J612" s="352"/>
      <c r="K612" s="352"/>
      <c r="L612" s="352"/>
      <c r="M612" s="352"/>
      <c r="N612" s="352"/>
      <c r="O612" s="352"/>
      <c r="P612" s="352"/>
      <c r="Q612" s="352"/>
      <c r="R612" s="352"/>
    </row>
    <row r="613" ht="32.25" customHeight="1">
      <c r="A613" s="58"/>
      <c r="B613" s="149"/>
      <c r="C613" s="58"/>
      <c r="D613" s="58"/>
      <c r="E613" s="102" t="s">
        <v>147</v>
      </c>
      <c r="F613" s="150">
        <v>105.0</v>
      </c>
      <c r="G613" s="58"/>
      <c r="H613" s="373"/>
      <c r="I613" s="352"/>
      <c r="J613" s="352"/>
      <c r="K613" s="352"/>
      <c r="L613" s="352"/>
      <c r="M613" s="352"/>
      <c r="N613" s="352"/>
      <c r="O613" s="352"/>
      <c r="P613" s="352"/>
      <c r="Q613" s="352"/>
      <c r="R613" s="352"/>
    </row>
    <row r="614" ht="32.25" customHeight="1">
      <c r="A614" s="58"/>
      <c r="B614" s="149"/>
      <c r="C614" s="58"/>
      <c r="D614" s="58"/>
      <c r="E614" s="102" t="s">
        <v>148</v>
      </c>
      <c r="F614" s="150"/>
      <c r="G614" s="153" t="s">
        <v>2160</v>
      </c>
      <c r="H614" s="373"/>
      <c r="I614" s="352"/>
      <c r="J614" s="352"/>
      <c r="K614" s="352"/>
      <c r="L614" s="352"/>
      <c r="M614" s="352"/>
      <c r="N614" s="352"/>
      <c r="O614" s="352"/>
      <c r="P614" s="352"/>
      <c r="Q614" s="352"/>
      <c r="R614" s="352"/>
    </row>
    <row r="615" ht="32.25" customHeight="1">
      <c r="A615" s="58"/>
      <c r="B615" s="149"/>
      <c r="C615" s="58"/>
      <c r="D615" s="58"/>
      <c r="E615" s="58"/>
      <c r="F615" s="58"/>
      <c r="G615" s="58"/>
      <c r="H615" s="373"/>
      <c r="I615" s="352"/>
      <c r="J615" s="352"/>
      <c r="K615" s="352"/>
      <c r="L615" s="352"/>
      <c r="M615" s="352"/>
      <c r="N615" s="352"/>
      <c r="O615" s="352"/>
      <c r="P615" s="352"/>
      <c r="Q615" s="352"/>
      <c r="R615" s="352"/>
    </row>
    <row r="616" ht="32.25" customHeight="1">
      <c r="A616" s="102" t="s">
        <v>4</v>
      </c>
      <c r="B616" s="102" t="s">
        <v>5</v>
      </c>
      <c r="C616" s="102" t="s">
        <v>126</v>
      </c>
      <c r="D616" s="102" t="s">
        <v>6</v>
      </c>
      <c r="E616" s="102" t="s">
        <v>7</v>
      </c>
      <c r="F616" s="102" t="s">
        <v>127</v>
      </c>
      <c r="G616" s="102" t="s">
        <v>128</v>
      </c>
      <c r="H616" s="373"/>
      <c r="I616" s="352"/>
      <c r="J616" s="352"/>
      <c r="K616" s="352"/>
      <c r="L616" s="352"/>
      <c r="M616" s="352"/>
      <c r="N616" s="352"/>
      <c r="O616" s="352"/>
      <c r="P616" s="352"/>
      <c r="Q616" s="352"/>
      <c r="R616" s="352"/>
    </row>
    <row r="617" ht="32.25" customHeight="1">
      <c r="A617" s="102">
        <v>1.0</v>
      </c>
      <c r="B617" s="147">
        <v>46131.0</v>
      </c>
      <c r="C617" s="148" t="s">
        <v>561</v>
      </c>
      <c r="D617" s="107" t="s">
        <v>2036</v>
      </c>
      <c r="E617" s="107" t="s">
        <v>2165</v>
      </c>
      <c r="F617" s="108">
        <v>40.0</v>
      </c>
      <c r="G617" s="108"/>
      <c r="H617" s="373"/>
      <c r="I617" s="352"/>
      <c r="J617" s="352"/>
      <c r="K617" s="352"/>
      <c r="L617" s="352"/>
      <c r="M617" s="352"/>
      <c r="N617" s="352"/>
      <c r="O617" s="352"/>
      <c r="P617" s="352"/>
      <c r="Q617" s="352"/>
      <c r="R617" s="352"/>
    </row>
    <row r="618" ht="32.25" customHeight="1">
      <c r="A618" s="102">
        <v>2.0</v>
      </c>
      <c r="B618" s="123"/>
      <c r="C618" s="123"/>
      <c r="D618" s="107"/>
      <c r="E618" s="107" t="s">
        <v>2166</v>
      </c>
      <c r="F618" s="108"/>
      <c r="G618" s="111" t="s">
        <v>2167</v>
      </c>
      <c r="H618" s="373"/>
      <c r="I618" s="352"/>
      <c r="J618" s="352"/>
      <c r="K618" s="352"/>
      <c r="L618" s="352"/>
      <c r="M618" s="352"/>
      <c r="N618" s="352"/>
      <c r="O618" s="352"/>
      <c r="P618" s="352"/>
      <c r="Q618" s="352"/>
      <c r="R618" s="352"/>
    </row>
    <row r="619" ht="32.25" customHeight="1">
      <c r="A619" s="150">
        <v>3.0</v>
      </c>
      <c r="B619" s="123"/>
      <c r="C619" s="123"/>
      <c r="D619" s="107"/>
      <c r="E619" s="107" t="s">
        <v>1358</v>
      </c>
      <c r="F619" s="108">
        <v>40.0</v>
      </c>
      <c r="G619" s="111"/>
      <c r="H619" s="373"/>
      <c r="I619" s="352"/>
      <c r="J619" s="352"/>
      <c r="K619" s="352"/>
      <c r="L619" s="352"/>
      <c r="M619" s="352"/>
      <c r="N619" s="352"/>
      <c r="O619" s="352"/>
      <c r="P619" s="352"/>
      <c r="Q619" s="352"/>
      <c r="R619" s="352"/>
    </row>
    <row r="620" ht="32.25" customHeight="1">
      <c r="A620" s="102">
        <v>4.0</v>
      </c>
      <c r="B620" s="123"/>
      <c r="C620" s="123"/>
      <c r="D620" s="107"/>
      <c r="E620" s="107" t="s">
        <v>1358</v>
      </c>
      <c r="F620" s="108">
        <v>50.0</v>
      </c>
      <c r="G620" s="108"/>
      <c r="H620" s="373"/>
      <c r="I620" s="352"/>
      <c r="J620" s="352"/>
      <c r="K620" s="352"/>
      <c r="L620" s="352"/>
      <c r="M620" s="352"/>
      <c r="N620" s="352"/>
      <c r="O620" s="352"/>
      <c r="P620" s="352"/>
      <c r="Q620" s="352"/>
      <c r="R620" s="352"/>
    </row>
    <row r="621" ht="32.25" customHeight="1">
      <c r="A621" s="102">
        <v>5.0</v>
      </c>
      <c r="B621" s="123"/>
      <c r="C621" s="123"/>
      <c r="D621" s="107"/>
      <c r="E621" s="107" t="s">
        <v>2168</v>
      </c>
      <c r="F621" s="108">
        <v>35.0</v>
      </c>
      <c r="G621" s="111"/>
      <c r="H621" s="373"/>
      <c r="I621" s="352"/>
      <c r="J621" s="352"/>
      <c r="K621" s="352"/>
      <c r="L621" s="352"/>
      <c r="M621" s="352"/>
      <c r="N621" s="352"/>
      <c r="O621" s="352"/>
      <c r="P621" s="352"/>
      <c r="Q621" s="352"/>
      <c r="R621" s="352"/>
    </row>
    <row r="622" ht="32.25" customHeight="1">
      <c r="A622" s="102">
        <v>6.0</v>
      </c>
      <c r="B622" s="123"/>
      <c r="C622" s="123"/>
      <c r="D622" s="107"/>
      <c r="E622" s="107" t="s">
        <v>2169</v>
      </c>
      <c r="F622" s="108">
        <v>100.0</v>
      </c>
      <c r="G622" s="108"/>
      <c r="H622" s="373"/>
      <c r="I622" s="352"/>
      <c r="J622" s="352"/>
      <c r="K622" s="352"/>
      <c r="L622" s="352"/>
      <c r="M622" s="352"/>
      <c r="N622" s="352"/>
      <c r="O622" s="352"/>
      <c r="P622" s="352"/>
      <c r="Q622" s="352"/>
      <c r="R622" s="352"/>
    </row>
    <row r="623" ht="32.25" customHeight="1">
      <c r="A623" s="102">
        <v>7.0</v>
      </c>
      <c r="B623" s="123"/>
      <c r="C623" s="123"/>
      <c r="D623" s="107"/>
      <c r="E623" s="107" t="s">
        <v>1407</v>
      </c>
      <c r="F623" s="108">
        <v>50.0</v>
      </c>
      <c r="G623" s="108"/>
      <c r="H623" s="373"/>
      <c r="I623" s="352"/>
      <c r="J623" s="352"/>
      <c r="K623" s="352"/>
      <c r="L623" s="352"/>
      <c r="M623" s="352"/>
      <c r="N623" s="352"/>
      <c r="O623" s="352"/>
      <c r="P623" s="352"/>
      <c r="Q623" s="352"/>
      <c r="R623" s="352"/>
    </row>
    <row r="624" ht="32.25" customHeight="1">
      <c r="A624" s="102">
        <v>8.0</v>
      </c>
      <c r="B624" s="123"/>
      <c r="C624" s="123"/>
      <c r="D624" s="107"/>
      <c r="E624" s="107" t="s">
        <v>187</v>
      </c>
      <c r="F624" s="108">
        <v>70.0</v>
      </c>
      <c r="G624" s="111"/>
      <c r="H624" s="373"/>
      <c r="I624" s="352"/>
      <c r="J624" s="352"/>
      <c r="K624" s="352"/>
      <c r="L624" s="352"/>
      <c r="M624" s="352"/>
      <c r="N624" s="352"/>
      <c r="O624" s="352"/>
      <c r="P624" s="352"/>
      <c r="Q624" s="352"/>
      <c r="R624" s="352"/>
    </row>
    <row r="625" ht="32.25" customHeight="1">
      <c r="A625" s="102">
        <v>9.0</v>
      </c>
      <c r="B625" s="123"/>
      <c r="C625" s="123"/>
      <c r="D625" s="107"/>
      <c r="E625" s="107" t="s">
        <v>1215</v>
      </c>
      <c r="F625" s="108" t="s">
        <v>2170</v>
      </c>
      <c r="G625" s="108"/>
      <c r="H625" s="373"/>
      <c r="I625" s="352"/>
      <c r="J625" s="352"/>
      <c r="K625" s="352"/>
      <c r="L625" s="352"/>
      <c r="M625" s="352"/>
      <c r="N625" s="352"/>
      <c r="O625" s="352"/>
      <c r="P625" s="352"/>
      <c r="Q625" s="352"/>
      <c r="R625" s="352"/>
    </row>
    <row r="626" ht="32.25" customHeight="1">
      <c r="A626" s="102">
        <v>10.0</v>
      </c>
      <c r="B626" s="123"/>
      <c r="C626" s="123"/>
      <c r="D626" s="107"/>
      <c r="E626" s="107" t="s">
        <v>2171</v>
      </c>
      <c r="F626" s="111" t="s">
        <v>2172</v>
      </c>
      <c r="G626" s="111" t="s">
        <v>1389</v>
      </c>
      <c r="H626" s="373"/>
      <c r="I626" s="352"/>
      <c r="J626" s="352"/>
      <c r="K626" s="352"/>
      <c r="L626" s="352"/>
      <c r="M626" s="352"/>
      <c r="N626" s="352"/>
      <c r="O626" s="352"/>
      <c r="P626" s="352"/>
      <c r="Q626" s="352"/>
      <c r="R626" s="352"/>
    </row>
    <row r="627" ht="32.25" customHeight="1">
      <c r="A627" s="58"/>
      <c r="B627" s="149"/>
      <c r="C627" s="58"/>
      <c r="D627" s="58"/>
      <c r="E627" s="102" t="s">
        <v>144</v>
      </c>
      <c r="F627" s="150">
        <v>600.0</v>
      </c>
      <c r="G627" s="58"/>
      <c r="H627" s="373"/>
      <c r="I627" s="352"/>
      <c r="J627" s="352"/>
      <c r="K627" s="352"/>
      <c r="L627" s="352"/>
      <c r="M627" s="352"/>
      <c r="N627" s="352"/>
      <c r="O627" s="352"/>
      <c r="P627" s="352"/>
      <c r="Q627" s="352"/>
      <c r="R627" s="352"/>
    </row>
    <row r="628" ht="32.25" customHeight="1">
      <c r="A628" s="58"/>
      <c r="B628" s="149"/>
      <c r="C628" s="58"/>
      <c r="D628" s="58"/>
      <c r="E628" s="102" t="s">
        <v>145</v>
      </c>
      <c r="F628" s="150">
        <v>2445.0</v>
      </c>
      <c r="G628" s="58"/>
      <c r="H628" s="373"/>
      <c r="I628" s="352"/>
      <c r="J628" s="352"/>
      <c r="K628" s="352"/>
      <c r="L628" s="352"/>
      <c r="M628" s="352"/>
      <c r="N628" s="352"/>
      <c r="O628" s="352"/>
      <c r="P628" s="352"/>
      <c r="Q628" s="352"/>
      <c r="R628" s="352"/>
    </row>
    <row r="629" ht="32.25" customHeight="1">
      <c r="A629" s="58"/>
      <c r="B629" s="149"/>
      <c r="C629" s="58"/>
      <c r="D629" s="58"/>
      <c r="E629" s="102" t="s">
        <v>146</v>
      </c>
      <c r="F629" s="150">
        <v>510.0</v>
      </c>
      <c r="G629" s="58"/>
      <c r="H629" s="373"/>
      <c r="I629" s="352"/>
      <c r="J629" s="352"/>
      <c r="K629" s="352"/>
      <c r="L629" s="352"/>
      <c r="M629" s="352"/>
      <c r="N629" s="352"/>
      <c r="O629" s="352"/>
      <c r="P629" s="352"/>
      <c r="Q629" s="352"/>
      <c r="R629" s="352"/>
    </row>
    <row r="630" ht="32.25" customHeight="1">
      <c r="A630" s="58"/>
      <c r="B630" s="149"/>
      <c r="C630" s="58"/>
      <c r="D630" s="58"/>
      <c r="E630" s="102" t="s">
        <v>147</v>
      </c>
      <c r="F630" s="150">
        <v>385.0</v>
      </c>
      <c r="G630" s="58"/>
      <c r="H630" s="373"/>
      <c r="I630" s="352"/>
      <c r="J630" s="352"/>
      <c r="K630" s="352"/>
      <c r="L630" s="352"/>
      <c r="M630" s="352"/>
      <c r="N630" s="352"/>
      <c r="O630" s="352"/>
      <c r="P630" s="352"/>
      <c r="Q630" s="352"/>
      <c r="R630" s="352"/>
    </row>
    <row r="631" ht="32.25" customHeight="1">
      <c r="A631" s="58"/>
      <c r="B631" s="149"/>
      <c r="C631" s="58"/>
      <c r="D631" s="58"/>
      <c r="E631" s="102" t="s">
        <v>148</v>
      </c>
      <c r="F631" s="150">
        <v>2060.0</v>
      </c>
      <c r="G631" s="153"/>
      <c r="H631" s="373"/>
      <c r="I631" s="352"/>
      <c r="J631" s="352"/>
      <c r="K631" s="352"/>
      <c r="L631" s="352"/>
      <c r="M631" s="352"/>
      <c r="N631" s="352"/>
      <c r="O631" s="352"/>
      <c r="P631" s="352"/>
      <c r="Q631" s="352"/>
      <c r="R631" s="352"/>
    </row>
    <row r="632" ht="32.25" customHeight="1">
      <c r="A632" s="102" t="s">
        <v>4</v>
      </c>
      <c r="B632" s="102" t="s">
        <v>5</v>
      </c>
      <c r="C632" s="102" t="s">
        <v>126</v>
      </c>
      <c r="D632" s="102" t="s">
        <v>6</v>
      </c>
      <c r="E632" s="102" t="s">
        <v>7</v>
      </c>
      <c r="F632" s="102" t="s">
        <v>127</v>
      </c>
      <c r="G632" s="102" t="s">
        <v>128</v>
      </c>
      <c r="H632" s="373"/>
      <c r="I632" s="352"/>
      <c r="J632" s="352"/>
      <c r="K632" s="352"/>
      <c r="L632" s="352"/>
      <c r="M632" s="352"/>
      <c r="N632" s="352"/>
      <c r="O632" s="352"/>
      <c r="P632" s="352"/>
      <c r="Q632" s="352"/>
      <c r="R632" s="352"/>
    </row>
    <row r="633" ht="32.25" customHeight="1">
      <c r="A633" s="102">
        <v>1.0</v>
      </c>
      <c r="B633" s="147">
        <v>46132.0</v>
      </c>
      <c r="C633" s="148" t="s">
        <v>1018</v>
      </c>
      <c r="D633" s="107" t="s">
        <v>2036</v>
      </c>
      <c r="E633" s="107" t="s">
        <v>2173</v>
      </c>
      <c r="F633" s="108"/>
      <c r="G633" s="108"/>
      <c r="H633" s="373"/>
      <c r="I633" s="352"/>
      <c r="J633" s="352"/>
      <c r="K633" s="352"/>
      <c r="L633" s="352"/>
      <c r="M633" s="352"/>
      <c r="N633" s="352"/>
      <c r="O633" s="352"/>
      <c r="P633" s="352"/>
      <c r="Q633" s="352"/>
      <c r="R633" s="352"/>
    </row>
    <row r="634" ht="32.25" customHeight="1">
      <c r="A634" s="102">
        <v>2.0</v>
      </c>
      <c r="B634" s="123"/>
      <c r="C634" s="123"/>
      <c r="D634" s="107"/>
      <c r="E634" s="107" t="s">
        <v>2174</v>
      </c>
      <c r="F634" s="108"/>
      <c r="G634" s="111"/>
      <c r="H634" s="373"/>
      <c r="I634" s="352"/>
      <c r="J634" s="352"/>
      <c r="K634" s="352"/>
      <c r="L634" s="352"/>
      <c r="M634" s="352"/>
      <c r="N634" s="352"/>
      <c r="O634" s="352"/>
      <c r="P634" s="352"/>
      <c r="Q634" s="352"/>
      <c r="R634" s="352"/>
    </row>
    <row r="635" ht="32.25" customHeight="1">
      <c r="A635" s="150">
        <v>3.0</v>
      </c>
      <c r="B635" s="123"/>
      <c r="C635" s="123"/>
      <c r="D635" s="107"/>
      <c r="E635" s="107" t="s">
        <v>2175</v>
      </c>
      <c r="F635" s="108"/>
      <c r="G635" s="111"/>
      <c r="H635" s="373"/>
      <c r="I635" s="352"/>
      <c r="J635" s="352"/>
      <c r="K635" s="352"/>
      <c r="L635" s="352"/>
      <c r="M635" s="352"/>
      <c r="N635" s="352"/>
      <c r="O635" s="352"/>
      <c r="P635" s="352"/>
      <c r="Q635" s="352"/>
      <c r="R635" s="352"/>
    </row>
    <row r="636" ht="32.25" customHeight="1">
      <c r="A636" s="102">
        <v>4.0</v>
      </c>
      <c r="B636" s="123"/>
      <c r="C636" s="123"/>
      <c r="D636" s="107"/>
      <c r="E636" s="107" t="s">
        <v>2176</v>
      </c>
      <c r="F636" s="108"/>
      <c r="G636" s="108"/>
      <c r="H636" s="373"/>
      <c r="I636" s="352"/>
      <c r="J636" s="352"/>
      <c r="K636" s="352"/>
      <c r="L636" s="352"/>
      <c r="M636" s="352"/>
      <c r="N636" s="352"/>
      <c r="O636" s="352"/>
      <c r="P636" s="352"/>
      <c r="Q636" s="352"/>
      <c r="R636" s="352"/>
    </row>
    <row r="637" ht="32.25" customHeight="1">
      <c r="A637" s="102">
        <v>5.0</v>
      </c>
      <c r="B637" s="123"/>
      <c r="C637" s="123"/>
      <c r="D637" s="107"/>
      <c r="E637" s="107" t="s">
        <v>2177</v>
      </c>
      <c r="F637" s="108"/>
      <c r="G637" s="111"/>
      <c r="H637" s="373"/>
      <c r="I637" s="352"/>
      <c r="J637" s="352"/>
      <c r="K637" s="352"/>
      <c r="L637" s="352"/>
      <c r="M637" s="352"/>
      <c r="N637" s="352"/>
      <c r="O637" s="352"/>
      <c r="P637" s="352"/>
      <c r="Q637" s="352"/>
      <c r="R637" s="352"/>
    </row>
    <row r="638" ht="32.25" customHeight="1">
      <c r="A638" s="102">
        <v>6.0</v>
      </c>
      <c r="B638" s="123"/>
      <c r="C638" s="123"/>
      <c r="D638" s="107"/>
      <c r="E638" s="107" t="s">
        <v>2178</v>
      </c>
      <c r="F638" s="108"/>
      <c r="G638" s="108"/>
      <c r="H638" s="373"/>
      <c r="I638" s="352"/>
      <c r="J638" s="352"/>
      <c r="K638" s="352"/>
      <c r="L638" s="352"/>
      <c r="M638" s="352"/>
      <c r="N638" s="352"/>
      <c r="O638" s="352"/>
      <c r="P638" s="352"/>
      <c r="Q638" s="352"/>
      <c r="R638" s="352"/>
    </row>
    <row r="639" ht="32.25" customHeight="1">
      <c r="A639" s="102">
        <v>7.0</v>
      </c>
      <c r="B639" s="123"/>
      <c r="C639" s="123"/>
      <c r="D639" s="107"/>
      <c r="E639" s="107" t="s">
        <v>2179</v>
      </c>
      <c r="F639" s="108"/>
      <c r="G639" s="108"/>
      <c r="H639" s="373"/>
      <c r="I639" s="352"/>
      <c r="J639" s="352"/>
      <c r="K639" s="352"/>
      <c r="L639" s="352"/>
      <c r="M639" s="352"/>
      <c r="N639" s="352"/>
      <c r="O639" s="352"/>
      <c r="P639" s="352"/>
      <c r="Q639" s="352"/>
      <c r="R639" s="352"/>
    </row>
    <row r="640" ht="32.25" customHeight="1">
      <c r="A640" s="102">
        <v>8.0</v>
      </c>
      <c r="B640" s="123"/>
      <c r="C640" s="123"/>
      <c r="D640" s="107"/>
      <c r="E640" s="107" t="s">
        <v>2180</v>
      </c>
      <c r="F640" s="108"/>
      <c r="G640" s="111"/>
      <c r="H640" s="373"/>
      <c r="I640" s="352"/>
      <c r="J640" s="352"/>
      <c r="K640" s="352"/>
      <c r="L640" s="352"/>
      <c r="M640" s="352"/>
      <c r="N640" s="352"/>
      <c r="O640" s="352"/>
      <c r="P640" s="352"/>
      <c r="Q640" s="352"/>
      <c r="R640" s="352"/>
    </row>
    <row r="641" ht="32.25" customHeight="1">
      <c r="A641" s="102">
        <v>9.0</v>
      </c>
      <c r="B641" s="123"/>
      <c r="C641" s="123"/>
      <c r="D641" s="107"/>
      <c r="E641" s="107" t="s">
        <v>2181</v>
      </c>
      <c r="F641" s="108"/>
      <c r="G641" s="108"/>
      <c r="H641" s="373"/>
      <c r="I641" s="352"/>
      <c r="J641" s="352"/>
      <c r="K641" s="352"/>
      <c r="L641" s="352"/>
      <c r="M641" s="352"/>
      <c r="N641" s="352"/>
      <c r="O641" s="352"/>
      <c r="P641" s="352"/>
      <c r="Q641" s="352"/>
      <c r="R641" s="352"/>
    </row>
    <row r="642" ht="32.25" customHeight="1">
      <c r="A642" s="102">
        <v>10.0</v>
      </c>
      <c r="B642" s="123"/>
      <c r="C642" s="123"/>
      <c r="D642" s="107"/>
      <c r="E642" s="107" t="s">
        <v>2182</v>
      </c>
      <c r="F642" s="111"/>
      <c r="G642" s="111" t="s">
        <v>2183</v>
      </c>
      <c r="H642" s="373"/>
      <c r="I642" s="352"/>
      <c r="J642" s="352"/>
      <c r="K642" s="352"/>
      <c r="L642" s="352"/>
      <c r="M642" s="352"/>
      <c r="N642" s="352"/>
      <c r="O642" s="352"/>
      <c r="P642" s="352"/>
      <c r="Q642" s="352"/>
      <c r="R642" s="352"/>
    </row>
    <row r="643" ht="32.25" customHeight="1">
      <c r="A643" s="58"/>
      <c r="B643" s="149"/>
      <c r="C643" s="58"/>
      <c r="D643" s="58"/>
      <c r="E643" s="102" t="s">
        <v>144</v>
      </c>
      <c r="F643" s="150">
        <v>100.0</v>
      </c>
      <c r="G643" s="58"/>
      <c r="H643" s="373"/>
      <c r="I643" s="352"/>
      <c r="J643" s="352"/>
      <c r="K643" s="352"/>
      <c r="L643" s="352"/>
      <c r="M643" s="352"/>
      <c r="N643" s="352"/>
      <c r="O643" s="352"/>
      <c r="P643" s="352"/>
      <c r="Q643" s="352"/>
      <c r="R643" s="352"/>
    </row>
    <row r="644" ht="32.25" customHeight="1">
      <c r="A644" s="58"/>
      <c r="B644" s="149"/>
      <c r="C644" s="58"/>
      <c r="D644" s="58"/>
      <c r="E644" s="102" t="s">
        <v>145</v>
      </c>
      <c r="F644" s="150">
        <v>5720.0</v>
      </c>
      <c r="G644" s="58"/>
      <c r="H644" s="373"/>
      <c r="I644" s="352"/>
      <c r="J644" s="352"/>
      <c r="K644" s="352"/>
      <c r="L644" s="352"/>
      <c r="M644" s="352"/>
      <c r="N644" s="352"/>
      <c r="O644" s="352"/>
      <c r="P644" s="352"/>
      <c r="Q644" s="352"/>
      <c r="R644" s="352"/>
    </row>
    <row r="645" ht="32.25" customHeight="1">
      <c r="A645" s="58"/>
      <c r="B645" s="149"/>
      <c r="C645" s="58"/>
      <c r="D645" s="58"/>
      <c r="E645" s="102" t="s">
        <v>146</v>
      </c>
      <c r="F645" s="150">
        <v>500.0</v>
      </c>
      <c r="G645" s="58"/>
      <c r="H645" s="373"/>
      <c r="I645" s="352"/>
      <c r="J645" s="352"/>
      <c r="K645" s="352"/>
      <c r="L645" s="352"/>
      <c r="M645" s="352"/>
      <c r="N645" s="352"/>
      <c r="O645" s="352"/>
      <c r="P645" s="352"/>
      <c r="Q645" s="352"/>
      <c r="R645" s="352"/>
    </row>
    <row r="646" ht="32.25" customHeight="1">
      <c r="A646" s="58"/>
      <c r="B646" s="149"/>
      <c r="C646" s="58"/>
      <c r="D646" s="58"/>
      <c r="E646" s="102" t="s">
        <v>147</v>
      </c>
      <c r="F646" s="150">
        <v>375.0</v>
      </c>
      <c r="G646" s="58"/>
      <c r="H646" s="373"/>
      <c r="I646" s="352"/>
      <c r="J646" s="352"/>
      <c r="K646" s="352"/>
      <c r="L646" s="352"/>
      <c r="M646" s="352"/>
      <c r="N646" s="352"/>
      <c r="O646" s="352"/>
      <c r="P646" s="352"/>
      <c r="Q646" s="352"/>
      <c r="R646" s="352"/>
    </row>
    <row r="647" ht="32.25" customHeight="1">
      <c r="A647" s="58"/>
      <c r="B647" s="149"/>
      <c r="C647" s="58"/>
      <c r="D647" s="58"/>
      <c r="E647" s="102" t="s">
        <v>148</v>
      </c>
      <c r="F647" s="150"/>
      <c r="G647" s="153"/>
      <c r="H647" s="373"/>
      <c r="I647" s="352"/>
      <c r="J647" s="352"/>
      <c r="K647" s="352"/>
      <c r="L647" s="352"/>
      <c r="M647" s="352"/>
      <c r="N647" s="352"/>
      <c r="O647" s="352"/>
      <c r="P647" s="352"/>
      <c r="Q647" s="352"/>
      <c r="R647" s="352"/>
    </row>
    <row r="648" ht="32.25" customHeight="1">
      <c r="A648" s="102" t="s">
        <v>4</v>
      </c>
      <c r="B648" s="102" t="s">
        <v>5</v>
      </c>
      <c r="C648" s="102" t="s">
        <v>126</v>
      </c>
      <c r="D648" s="102" t="s">
        <v>6</v>
      </c>
      <c r="E648" s="102" t="s">
        <v>7</v>
      </c>
      <c r="F648" s="102" t="s">
        <v>127</v>
      </c>
      <c r="G648" s="102" t="s">
        <v>128</v>
      </c>
      <c r="H648" s="373"/>
      <c r="I648" s="352"/>
      <c r="J648" s="352"/>
      <c r="K648" s="352"/>
      <c r="L648" s="352"/>
      <c r="M648" s="352"/>
      <c r="N648" s="352"/>
      <c r="O648" s="352"/>
      <c r="P648" s="352"/>
      <c r="Q648" s="352"/>
      <c r="R648" s="352"/>
    </row>
    <row r="649" ht="32.25" customHeight="1">
      <c r="A649" s="102">
        <v>1.0</v>
      </c>
      <c r="B649" s="147">
        <v>46133.0</v>
      </c>
      <c r="C649" s="148" t="s">
        <v>1018</v>
      </c>
      <c r="D649" s="107"/>
      <c r="E649" s="107" t="s">
        <v>2184</v>
      </c>
      <c r="F649" s="108"/>
      <c r="G649" s="108"/>
      <c r="H649" s="373"/>
      <c r="I649" s="352"/>
      <c r="J649" s="352"/>
      <c r="K649" s="352"/>
      <c r="L649" s="352"/>
      <c r="M649" s="352"/>
      <c r="N649" s="352"/>
      <c r="O649" s="352"/>
      <c r="P649" s="352"/>
      <c r="Q649" s="352"/>
      <c r="R649" s="352"/>
    </row>
    <row r="650" ht="32.25" customHeight="1">
      <c r="A650" s="102">
        <v>2.0</v>
      </c>
      <c r="B650" s="123"/>
      <c r="C650" s="123"/>
      <c r="D650" s="107"/>
      <c r="E650" s="107" t="s">
        <v>2185</v>
      </c>
      <c r="F650" s="108"/>
      <c r="G650" s="111"/>
      <c r="H650" s="373"/>
      <c r="I650" s="352"/>
      <c r="J650" s="352"/>
      <c r="K650" s="352"/>
      <c r="L650" s="352"/>
      <c r="M650" s="352"/>
      <c r="N650" s="352"/>
      <c r="O650" s="352"/>
      <c r="P650" s="352"/>
      <c r="Q650" s="352"/>
      <c r="R650" s="352"/>
    </row>
    <row r="651" ht="32.25" customHeight="1">
      <c r="A651" s="150">
        <v>3.0</v>
      </c>
      <c r="B651" s="123"/>
      <c r="C651" s="123"/>
      <c r="D651" s="107"/>
      <c r="E651" s="107" t="s">
        <v>2186</v>
      </c>
      <c r="F651" s="108"/>
      <c r="G651" s="111"/>
      <c r="H651" s="373"/>
      <c r="I651" s="352"/>
      <c r="J651" s="352"/>
      <c r="K651" s="352"/>
      <c r="L651" s="352"/>
      <c r="M651" s="352"/>
      <c r="N651" s="352"/>
      <c r="O651" s="352"/>
      <c r="P651" s="352"/>
      <c r="Q651" s="352"/>
      <c r="R651" s="352"/>
    </row>
    <row r="652" ht="32.25" customHeight="1">
      <c r="A652" s="102">
        <v>4.0</v>
      </c>
      <c r="B652" s="123"/>
      <c r="C652" s="123"/>
      <c r="D652" s="107"/>
      <c r="E652" s="107" t="s">
        <v>2187</v>
      </c>
      <c r="F652" s="108"/>
      <c r="G652" s="108"/>
      <c r="H652" s="373"/>
      <c r="I652" s="352"/>
      <c r="J652" s="352"/>
      <c r="K652" s="352"/>
      <c r="L652" s="352"/>
      <c r="M652" s="352"/>
      <c r="N652" s="352"/>
      <c r="O652" s="352"/>
      <c r="P652" s="352"/>
      <c r="Q652" s="352"/>
      <c r="R652" s="352"/>
    </row>
    <row r="653" ht="32.25" customHeight="1">
      <c r="A653" s="102">
        <v>5.0</v>
      </c>
      <c r="B653" s="123"/>
      <c r="C653" s="123"/>
      <c r="D653" s="107"/>
      <c r="E653" s="107" t="s">
        <v>2188</v>
      </c>
      <c r="F653" s="108"/>
      <c r="G653" s="111"/>
      <c r="H653" s="373"/>
      <c r="I653" s="352"/>
      <c r="J653" s="352"/>
      <c r="K653" s="352"/>
      <c r="L653" s="352"/>
      <c r="M653" s="352"/>
      <c r="N653" s="352"/>
      <c r="O653" s="352"/>
      <c r="P653" s="352"/>
      <c r="Q653" s="352"/>
      <c r="R653" s="352"/>
    </row>
    <row r="654" ht="32.25" customHeight="1">
      <c r="A654" s="102">
        <v>6.0</v>
      </c>
      <c r="B654" s="123"/>
      <c r="C654" s="123"/>
      <c r="D654" s="107"/>
      <c r="E654" s="107"/>
      <c r="F654" s="108"/>
      <c r="G654" s="108"/>
      <c r="H654" s="373"/>
      <c r="I654" s="352"/>
      <c r="J654" s="352"/>
      <c r="K654" s="352"/>
      <c r="L654" s="352"/>
      <c r="M654" s="352"/>
      <c r="N654" s="352"/>
      <c r="O654" s="352"/>
      <c r="P654" s="352"/>
      <c r="Q654" s="352"/>
      <c r="R654" s="352"/>
    </row>
    <row r="655" ht="32.25" customHeight="1">
      <c r="A655" s="102">
        <v>7.0</v>
      </c>
      <c r="B655" s="123"/>
      <c r="C655" s="123"/>
      <c r="D655" s="107"/>
      <c r="E655" s="107"/>
      <c r="F655" s="108"/>
      <c r="G655" s="108"/>
      <c r="H655" s="373"/>
      <c r="I655" s="352"/>
      <c r="J655" s="352"/>
      <c r="K655" s="352"/>
      <c r="L655" s="352"/>
      <c r="M655" s="352"/>
      <c r="N655" s="352"/>
      <c r="O655" s="352"/>
      <c r="P655" s="352"/>
      <c r="Q655" s="352"/>
      <c r="R655" s="352"/>
    </row>
    <row r="656" ht="32.25" customHeight="1">
      <c r="A656" s="102">
        <v>8.0</v>
      </c>
      <c r="B656" s="123"/>
      <c r="C656" s="123"/>
      <c r="D656" s="107"/>
      <c r="E656" s="107"/>
      <c r="F656" s="108"/>
      <c r="G656" s="111"/>
      <c r="H656" s="373"/>
      <c r="I656" s="352"/>
      <c r="J656" s="352"/>
      <c r="K656" s="352"/>
      <c r="L656" s="352"/>
      <c r="M656" s="352"/>
      <c r="N656" s="352"/>
      <c r="O656" s="352"/>
      <c r="P656" s="352"/>
      <c r="Q656" s="352"/>
      <c r="R656" s="352"/>
    </row>
    <row r="657" ht="32.25" customHeight="1">
      <c r="A657" s="102">
        <v>9.0</v>
      </c>
      <c r="B657" s="123"/>
      <c r="C657" s="123"/>
      <c r="D657" s="107"/>
      <c r="E657" s="107"/>
      <c r="F657" s="108"/>
      <c r="G657" s="108"/>
      <c r="H657" s="373"/>
      <c r="I657" s="352"/>
      <c r="J657" s="352"/>
      <c r="K657" s="352"/>
      <c r="L657" s="352"/>
      <c r="M657" s="352"/>
      <c r="N657" s="352"/>
      <c r="O657" s="352"/>
      <c r="P657" s="352"/>
      <c r="Q657" s="352"/>
      <c r="R657" s="352"/>
    </row>
    <row r="658" ht="32.25" customHeight="1">
      <c r="A658" s="102">
        <v>10.0</v>
      </c>
      <c r="B658" s="123"/>
      <c r="C658" s="123"/>
      <c r="D658" s="107"/>
      <c r="E658" s="107"/>
      <c r="F658" s="111"/>
      <c r="G658" s="111"/>
      <c r="H658" s="373"/>
      <c r="I658" s="352"/>
      <c r="J658" s="352"/>
      <c r="K658" s="352"/>
      <c r="L658" s="352"/>
      <c r="M658" s="352"/>
      <c r="N658" s="352"/>
      <c r="O658" s="352"/>
      <c r="P658" s="352"/>
      <c r="Q658" s="352"/>
      <c r="R658" s="352"/>
    </row>
    <row r="659" ht="32.25" customHeight="1">
      <c r="A659" s="58"/>
      <c r="B659" s="149"/>
      <c r="C659" s="58"/>
      <c r="D659" s="58"/>
      <c r="E659" s="102" t="s">
        <v>144</v>
      </c>
      <c r="F659" s="150">
        <v>150.0</v>
      </c>
      <c r="G659" s="58"/>
      <c r="H659" s="373"/>
      <c r="I659" s="352"/>
      <c r="J659" s="352"/>
      <c r="K659" s="352"/>
      <c r="L659" s="352"/>
      <c r="M659" s="352"/>
      <c r="N659" s="352"/>
      <c r="O659" s="352"/>
      <c r="P659" s="352"/>
      <c r="Q659" s="352"/>
      <c r="R659" s="352"/>
    </row>
    <row r="660" ht="32.25" customHeight="1">
      <c r="A660" s="58"/>
      <c r="B660" s="149"/>
      <c r="C660" s="58"/>
      <c r="D660" s="58"/>
      <c r="E660" s="102" t="s">
        <v>145</v>
      </c>
      <c r="F660" s="150">
        <v>605.0</v>
      </c>
      <c r="G660" s="58"/>
      <c r="H660" s="373"/>
      <c r="I660" s="352"/>
      <c r="J660" s="352"/>
      <c r="K660" s="352"/>
      <c r="L660" s="352"/>
      <c r="M660" s="352"/>
      <c r="N660" s="352"/>
      <c r="O660" s="352"/>
      <c r="P660" s="352"/>
      <c r="Q660" s="352"/>
      <c r="R660" s="352"/>
    </row>
    <row r="661" ht="32.25" customHeight="1">
      <c r="A661" s="58"/>
      <c r="B661" s="149"/>
      <c r="C661" s="58"/>
      <c r="D661" s="58"/>
      <c r="E661" s="102" t="s">
        <v>146</v>
      </c>
      <c r="F661" s="150">
        <v>300.0</v>
      </c>
      <c r="G661" s="58"/>
      <c r="H661" s="373"/>
      <c r="I661" s="352"/>
      <c r="J661" s="352"/>
      <c r="K661" s="352"/>
      <c r="L661" s="352"/>
      <c r="M661" s="352"/>
      <c r="N661" s="352"/>
      <c r="O661" s="352"/>
      <c r="P661" s="352"/>
      <c r="Q661" s="352"/>
      <c r="R661" s="352"/>
    </row>
    <row r="662" ht="32.25" customHeight="1">
      <c r="A662" s="58"/>
      <c r="B662" s="149"/>
      <c r="C662" s="58"/>
      <c r="D662" s="58"/>
      <c r="E662" s="102" t="s">
        <v>147</v>
      </c>
      <c r="F662" s="150">
        <v>225.0</v>
      </c>
      <c r="G662" s="58"/>
      <c r="H662" s="373"/>
      <c r="I662" s="352"/>
      <c r="J662" s="352"/>
      <c r="K662" s="352"/>
      <c r="L662" s="352"/>
      <c r="M662" s="352"/>
      <c r="N662" s="352"/>
      <c r="O662" s="352"/>
      <c r="P662" s="352"/>
      <c r="Q662" s="352"/>
      <c r="R662" s="352"/>
    </row>
    <row r="663" ht="32.25" customHeight="1">
      <c r="A663" s="58"/>
      <c r="B663" s="149"/>
      <c r="C663" s="58"/>
      <c r="D663" s="58"/>
      <c r="E663" s="102" t="s">
        <v>148</v>
      </c>
      <c r="F663" s="150"/>
      <c r="G663" s="153"/>
      <c r="H663" s="373"/>
      <c r="I663" s="352"/>
      <c r="J663" s="352"/>
      <c r="K663" s="352"/>
      <c r="L663" s="352"/>
      <c r="M663" s="352"/>
      <c r="N663" s="352"/>
      <c r="O663" s="352"/>
      <c r="P663" s="352"/>
      <c r="Q663" s="352"/>
      <c r="R663" s="352"/>
    </row>
    <row r="664" ht="32.25" customHeight="1">
      <c r="A664" s="102" t="s">
        <v>4</v>
      </c>
      <c r="B664" s="102" t="s">
        <v>5</v>
      </c>
      <c r="C664" s="102" t="s">
        <v>126</v>
      </c>
      <c r="D664" s="102" t="s">
        <v>6</v>
      </c>
      <c r="E664" s="102" t="s">
        <v>7</v>
      </c>
      <c r="F664" s="102" t="s">
        <v>127</v>
      </c>
      <c r="G664" s="102" t="s">
        <v>128</v>
      </c>
      <c r="H664" s="373"/>
      <c r="I664" s="352"/>
      <c r="J664" s="352"/>
      <c r="K664" s="352"/>
      <c r="L664" s="352"/>
      <c r="M664" s="352"/>
      <c r="N664" s="352"/>
      <c r="O664" s="352"/>
      <c r="P664" s="352"/>
      <c r="Q664" s="352"/>
      <c r="R664" s="352"/>
    </row>
    <row r="665" ht="32.25" customHeight="1">
      <c r="A665" s="102">
        <v>1.0</v>
      </c>
      <c r="B665" s="147">
        <v>46132.0</v>
      </c>
      <c r="C665" s="148" t="s">
        <v>1018</v>
      </c>
      <c r="D665" s="107"/>
      <c r="E665" s="107"/>
      <c r="F665" s="108"/>
      <c r="G665" s="108"/>
      <c r="H665" s="373"/>
      <c r="I665" s="352"/>
      <c r="J665" s="352"/>
      <c r="K665" s="352"/>
      <c r="L665" s="352"/>
      <c r="M665" s="352"/>
      <c r="N665" s="352"/>
      <c r="O665" s="352"/>
      <c r="P665" s="352"/>
      <c r="Q665" s="352"/>
      <c r="R665" s="352"/>
    </row>
    <row r="666" ht="32.25" customHeight="1">
      <c r="A666" s="102">
        <v>2.0</v>
      </c>
      <c r="B666" s="123"/>
      <c r="C666" s="123"/>
      <c r="D666" s="107"/>
      <c r="E666" s="107"/>
      <c r="F666" s="108"/>
      <c r="G666" s="111"/>
      <c r="H666" s="373"/>
      <c r="I666" s="352"/>
      <c r="J666" s="352"/>
      <c r="K666" s="352"/>
      <c r="L666" s="352"/>
      <c r="M666" s="352"/>
      <c r="N666" s="352"/>
      <c r="O666" s="352"/>
      <c r="P666" s="352"/>
      <c r="Q666" s="352"/>
      <c r="R666" s="352"/>
    </row>
    <row r="667" ht="32.25" customHeight="1">
      <c r="A667" s="150">
        <v>3.0</v>
      </c>
      <c r="B667" s="123"/>
      <c r="C667" s="123"/>
      <c r="D667" s="107"/>
      <c r="E667" s="107"/>
      <c r="F667" s="108"/>
      <c r="G667" s="111"/>
      <c r="H667" s="373"/>
      <c r="I667" s="352"/>
      <c r="J667" s="352"/>
      <c r="K667" s="352"/>
      <c r="L667" s="352"/>
      <c r="M667" s="352"/>
      <c r="N667" s="352"/>
      <c r="O667" s="352"/>
      <c r="P667" s="352"/>
      <c r="Q667" s="352"/>
      <c r="R667" s="352"/>
    </row>
    <row r="668" ht="32.25" customHeight="1">
      <c r="A668" s="102">
        <v>4.0</v>
      </c>
      <c r="B668" s="123"/>
      <c r="C668" s="123"/>
      <c r="D668" s="107"/>
      <c r="E668" s="107"/>
      <c r="F668" s="108"/>
      <c r="G668" s="108"/>
      <c r="H668" s="373"/>
      <c r="I668" s="352"/>
      <c r="J668" s="352"/>
      <c r="K668" s="352"/>
      <c r="L668" s="352"/>
      <c r="M668" s="352"/>
      <c r="N668" s="352"/>
      <c r="O668" s="352"/>
      <c r="P668" s="352"/>
      <c r="Q668" s="352"/>
      <c r="R668" s="352"/>
    </row>
    <row r="669" ht="32.25" customHeight="1">
      <c r="A669" s="102">
        <v>5.0</v>
      </c>
      <c r="B669" s="123"/>
      <c r="C669" s="123"/>
      <c r="D669" s="107"/>
      <c r="E669" s="107"/>
      <c r="F669" s="108"/>
      <c r="G669" s="111"/>
      <c r="H669" s="373"/>
      <c r="I669" s="352"/>
      <c r="J669" s="352"/>
      <c r="K669" s="352"/>
      <c r="L669" s="352"/>
      <c r="M669" s="352"/>
      <c r="N669" s="352"/>
      <c r="O669" s="352"/>
      <c r="P669" s="352"/>
      <c r="Q669" s="352"/>
      <c r="R669" s="352"/>
    </row>
    <row r="670" ht="32.25" customHeight="1">
      <c r="A670" s="102">
        <v>6.0</v>
      </c>
      <c r="B670" s="123"/>
      <c r="C670" s="123"/>
      <c r="D670" s="107"/>
      <c r="E670" s="107"/>
      <c r="F670" s="108"/>
      <c r="G670" s="108"/>
      <c r="H670" s="373"/>
      <c r="I670" s="352"/>
      <c r="J670" s="352"/>
      <c r="K670" s="352"/>
      <c r="L670" s="352"/>
      <c r="M670" s="352"/>
      <c r="N670" s="352"/>
      <c r="O670" s="352"/>
      <c r="P670" s="352"/>
      <c r="Q670" s="352"/>
      <c r="R670" s="352"/>
    </row>
    <row r="671" ht="32.25" customHeight="1">
      <c r="A671" s="102">
        <v>7.0</v>
      </c>
      <c r="B671" s="123"/>
      <c r="C671" s="123"/>
      <c r="D671" s="107"/>
      <c r="E671" s="107"/>
      <c r="F671" s="108"/>
      <c r="G671" s="108"/>
      <c r="H671" s="373"/>
      <c r="I671" s="352"/>
      <c r="J671" s="352"/>
      <c r="K671" s="352"/>
      <c r="L671" s="352"/>
      <c r="M671" s="352"/>
      <c r="N671" s="352"/>
      <c r="O671" s="352"/>
      <c r="P671" s="352"/>
      <c r="Q671" s="352"/>
      <c r="R671" s="352"/>
    </row>
    <row r="672" ht="32.25" customHeight="1">
      <c r="A672" s="102">
        <v>8.0</v>
      </c>
      <c r="B672" s="123"/>
      <c r="C672" s="123"/>
      <c r="D672" s="107"/>
      <c r="E672" s="107"/>
      <c r="F672" s="108"/>
      <c r="G672" s="111"/>
      <c r="H672" s="373"/>
      <c r="I672" s="352"/>
      <c r="J672" s="352"/>
      <c r="K672" s="352"/>
      <c r="L672" s="352"/>
      <c r="M672" s="352"/>
      <c r="N672" s="352"/>
      <c r="O672" s="352"/>
      <c r="P672" s="352"/>
      <c r="Q672" s="352"/>
      <c r="R672" s="352"/>
    </row>
    <row r="673" ht="32.25" customHeight="1">
      <c r="A673" s="102">
        <v>9.0</v>
      </c>
      <c r="B673" s="123"/>
      <c r="C673" s="123"/>
      <c r="D673" s="107"/>
      <c r="E673" s="107"/>
      <c r="F673" s="108"/>
      <c r="G673" s="108"/>
      <c r="H673" s="373"/>
      <c r="I673" s="352"/>
      <c r="J673" s="352"/>
      <c r="K673" s="352"/>
      <c r="L673" s="352"/>
      <c r="M673" s="352"/>
      <c r="N673" s="352"/>
      <c r="O673" s="352"/>
      <c r="P673" s="352"/>
      <c r="Q673" s="352"/>
      <c r="R673" s="352"/>
    </row>
    <row r="674" ht="32.25" customHeight="1">
      <c r="A674" s="102">
        <v>10.0</v>
      </c>
      <c r="B674" s="123"/>
      <c r="C674" s="123"/>
      <c r="D674" s="107"/>
      <c r="E674" s="107"/>
      <c r="F674" s="111"/>
      <c r="G674" s="111"/>
      <c r="H674" s="373"/>
      <c r="I674" s="352"/>
      <c r="J674" s="352"/>
      <c r="K674" s="352"/>
      <c r="L674" s="352"/>
      <c r="M674" s="352"/>
      <c r="N674" s="352"/>
      <c r="O674" s="352"/>
      <c r="P674" s="352"/>
      <c r="Q674" s="352"/>
      <c r="R674" s="352"/>
    </row>
    <row r="675" ht="32.25" customHeight="1">
      <c r="A675" s="58"/>
      <c r="B675" s="149"/>
      <c r="C675" s="58"/>
      <c r="D675" s="58"/>
      <c r="E675" s="102" t="s">
        <v>144</v>
      </c>
      <c r="F675" s="150"/>
      <c r="G675" s="58"/>
      <c r="H675" s="373"/>
      <c r="I675" s="352"/>
      <c r="J675" s="352"/>
      <c r="K675" s="352"/>
      <c r="L675" s="352"/>
      <c r="M675" s="352"/>
      <c r="N675" s="352"/>
      <c r="O675" s="352"/>
      <c r="P675" s="352"/>
      <c r="Q675" s="352"/>
      <c r="R675" s="352"/>
    </row>
    <row r="676" ht="32.25" customHeight="1">
      <c r="A676" s="58"/>
      <c r="B676" s="149"/>
      <c r="C676" s="58"/>
      <c r="D676" s="58"/>
      <c r="E676" s="102" t="s">
        <v>145</v>
      </c>
      <c r="F676" s="150"/>
      <c r="G676" s="58"/>
      <c r="H676" s="373"/>
      <c r="I676" s="352"/>
      <c r="J676" s="352"/>
      <c r="K676" s="352"/>
      <c r="L676" s="352"/>
      <c r="M676" s="352"/>
      <c r="N676" s="352"/>
      <c r="O676" s="352"/>
      <c r="P676" s="352"/>
      <c r="Q676" s="352"/>
      <c r="R676" s="352"/>
    </row>
    <row r="677" ht="32.25" customHeight="1">
      <c r="A677" s="58"/>
      <c r="B677" s="149"/>
      <c r="C677" s="58"/>
      <c r="D677" s="58"/>
      <c r="E677" s="102" t="s">
        <v>146</v>
      </c>
      <c r="F677" s="150"/>
      <c r="G677" s="58"/>
      <c r="H677" s="373"/>
      <c r="I677" s="352"/>
      <c r="J677" s="352"/>
      <c r="K677" s="352"/>
      <c r="L677" s="352"/>
      <c r="M677" s="352"/>
      <c r="N677" s="352"/>
      <c r="O677" s="352"/>
      <c r="P677" s="352"/>
      <c r="Q677" s="352"/>
      <c r="R677" s="352"/>
    </row>
    <row r="678" ht="32.25" customHeight="1">
      <c r="A678" s="58"/>
      <c r="B678" s="149"/>
      <c r="C678" s="58"/>
      <c r="D678" s="58"/>
      <c r="E678" s="102" t="s">
        <v>147</v>
      </c>
      <c r="F678" s="150"/>
      <c r="G678" s="58"/>
      <c r="H678" s="373"/>
      <c r="I678" s="352"/>
      <c r="J678" s="352"/>
      <c r="K678" s="352"/>
      <c r="L678" s="352"/>
      <c r="M678" s="352"/>
      <c r="N678" s="352"/>
      <c r="O678" s="352"/>
      <c r="P678" s="352"/>
      <c r="Q678" s="352"/>
      <c r="R678" s="352"/>
    </row>
    <row r="679" ht="32.25" customHeight="1">
      <c r="A679" s="58"/>
      <c r="B679" s="149"/>
      <c r="C679" s="58"/>
      <c r="D679" s="58"/>
      <c r="E679" s="102" t="s">
        <v>148</v>
      </c>
      <c r="F679" s="150"/>
      <c r="G679" s="153"/>
      <c r="H679" s="373"/>
      <c r="I679" s="352"/>
      <c r="J679" s="352"/>
      <c r="K679" s="352"/>
      <c r="L679" s="352"/>
      <c r="M679" s="352"/>
      <c r="N679" s="352"/>
      <c r="O679" s="352"/>
      <c r="P679" s="352"/>
      <c r="Q679" s="352"/>
      <c r="R679" s="352"/>
    </row>
    <row r="680" ht="32.25" customHeight="1">
      <c r="A680" s="58"/>
      <c r="B680" s="149"/>
      <c r="C680" s="58"/>
      <c r="D680" s="58"/>
      <c r="E680" s="58"/>
      <c r="F680" s="58"/>
      <c r="G680" s="58"/>
      <c r="H680" s="373"/>
      <c r="I680" s="352"/>
      <c r="J680" s="352"/>
      <c r="K680" s="352"/>
      <c r="L680" s="352"/>
      <c r="M680" s="352"/>
      <c r="N680" s="352"/>
      <c r="O680" s="352"/>
      <c r="P680" s="352"/>
      <c r="Q680" s="352"/>
      <c r="R680" s="352"/>
    </row>
    <row r="681" ht="32.25" customHeight="1">
      <c r="A681" s="58"/>
      <c r="B681" s="149"/>
      <c r="C681" s="58"/>
      <c r="D681" s="58"/>
      <c r="E681" s="58"/>
      <c r="F681" s="58"/>
      <c r="G681" s="58"/>
      <c r="H681" s="373"/>
      <c r="I681" s="352"/>
      <c r="J681" s="352"/>
      <c r="K681" s="352"/>
      <c r="L681" s="352"/>
      <c r="M681" s="352"/>
      <c r="N681" s="352"/>
      <c r="O681" s="352"/>
      <c r="P681" s="352"/>
      <c r="Q681" s="352"/>
      <c r="R681" s="352"/>
    </row>
    <row r="682" ht="32.25" customHeight="1">
      <c r="A682" s="58"/>
      <c r="B682" s="149"/>
      <c r="C682" s="58"/>
      <c r="D682" s="58"/>
      <c r="E682" s="58"/>
      <c r="F682" s="58"/>
      <c r="G682" s="58"/>
      <c r="H682" s="373"/>
      <c r="I682" s="352"/>
      <c r="J682" s="352"/>
      <c r="K682" s="352"/>
      <c r="L682" s="352"/>
      <c r="M682" s="352"/>
      <c r="N682" s="352"/>
      <c r="O682" s="352"/>
      <c r="P682" s="352"/>
      <c r="Q682" s="352"/>
      <c r="R682" s="352"/>
    </row>
    <row r="683" ht="32.25" customHeight="1">
      <c r="A683" s="58"/>
      <c r="B683" s="149"/>
      <c r="C683" s="58"/>
      <c r="D683" s="58"/>
      <c r="E683" s="58"/>
      <c r="F683" s="58"/>
      <c r="G683" s="58"/>
      <c r="H683" s="373"/>
      <c r="I683" s="352"/>
      <c r="J683" s="352"/>
      <c r="K683" s="352"/>
      <c r="L683" s="352"/>
      <c r="M683" s="352"/>
      <c r="N683" s="352"/>
      <c r="O683" s="352"/>
      <c r="P683" s="352"/>
      <c r="Q683" s="352"/>
      <c r="R683" s="352"/>
    </row>
    <row r="684" ht="32.25" customHeight="1">
      <c r="A684" s="58"/>
      <c r="B684" s="149"/>
      <c r="C684" s="58"/>
      <c r="D684" s="58"/>
      <c r="E684" s="58"/>
      <c r="F684" s="58"/>
      <c r="G684" s="58"/>
      <c r="H684" s="373"/>
      <c r="I684" s="352"/>
      <c r="J684" s="352"/>
      <c r="K684" s="352"/>
      <c r="L684" s="352"/>
      <c r="M684" s="352"/>
      <c r="N684" s="352"/>
      <c r="O684" s="352"/>
      <c r="P684" s="352"/>
      <c r="Q684" s="352"/>
      <c r="R684" s="352"/>
    </row>
    <row r="685" ht="32.25" customHeight="1">
      <c r="A685" s="58"/>
      <c r="B685" s="149"/>
      <c r="C685" s="58"/>
      <c r="D685" s="58"/>
      <c r="E685" s="58"/>
      <c r="F685" s="58"/>
      <c r="G685" s="58"/>
      <c r="H685" s="373"/>
      <c r="I685" s="352"/>
      <c r="J685" s="352"/>
      <c r="K685" s="352"/>
      <c r="L685" s="352"/>
      <c r="M685" s="352"/>
      <c r="N685" s="352"/>
      <c r="O685" s="352"/>
      <c r="P685" s="352"/>
      <c r="Q685" s="352"/>
      <c r="R685" s="352"/>
    </row>
    <row r="686" ht="32.25" customHeight="1">
      <c r="A686" s="58"/>
      <c r="B686" s="149"/>
      <c r="C686" s="58"/>
      <c r="D686" s="58"/>
      <c r="E686" s="58"/>
      <c r="F686" s="58"/>
      <c r="G686" s="58"/>
      <c r="H686" s="373"/>
      <c r="I686" s="352"/>
      <c r="J686" s="352"/>
      <c r="K686" s="352"/>
      <c r="L686" s="352"/>
      <c r="M686" s="352"/>
      <c r="N686" s="352"/>
      <c r="O686" s="352"/>
      <c r="P686" s="352"/>
      <c r="Q686" s="352"/>
      <c r="R686" s="352"/>
    </row>
    <row r="687" ht="32.25" customHeight="1">
      <c r="A687" s="58"/>
      <c r="B687" s="149"/>
      <c r="C687" s="58"/>
      <c r="D687" s="58"/>
      <c r="E687" s="58"/>
      <c r="F687" s="58"/>
      <c r="G687" s="58"/>
      <c r="H687" s="373"/>
      <c r="I687" s="352"/>
      <c r="J687" s="352"/>
      <c r="K687" s="352"/>
      <c r="L687" s="352"/>
      <c r="M687" s="352"/>
      <c r="N687" s="352"/>
      <c r="O687" s="352"/>
      <c r="P687" s="352"/>
      <c r="Q687" s="352"/>
      <c r="R687" s="352"/>
    </row>
    <row r="688" ht="32.25" customHeight="1">
      <c r="A688" s="58"/>
      <c r="B688" s="149"/>
      <c r="C688" s="58"/>
      <c r="D688" s="58"/>
      <c r="E688" s="58"/>
      <c r="F688" s="58"/>
      <c r="G688" s="58"/>
      <c r="H688" s="373"/>
      <c r="I688" s="352"/>
      <c r="J688" s="352"/>
      <c r="K688" s="352"/>
      <c r="L688" s="352"/>
      <c r="M688" s="352"/>
      <c r="N688" s="352"/>
      <c r="O688" s="352"/>
      <c r="P688" s="352"/>
      <c r="Q688" s="352"/>
      <c r="R688" s="352"/>
    </row>
    <row r="689" ht="32.25" customHeight="1">
      <c r="A689" s="58"/>
      <c r="B689" s="149"/>
      <c r="C689" s="58"/>
      <c r="D689" s="58"/>
      <c r="E689" s="58"/>
      <c r="F689" s="58"/>
      <c r="G689" s="58"/>
      <c r="H689" s="373"/>
      <c r="I689" s="352"/>
      <c r="J689" s="352"/>
      <c r="K689" s="352"/>
      <c r="L689" s="352"/>
      <c r="M689" s="352"/>
      <c r="N689" s="352"/>
      <c r="O689" s="352"/>
      <c r="P689" s="352"/>
      <c r="Q689" s="352"/>
      <c r="R689" s="352"/>
    </row>
    <row r="690" ht="32.25" customHeight="1">
      <c r="A690" s="58"/>
      <c r="B690" s="149"/>
      <c r="C690" s="58"/>
      <c r="D690" s="58"/>
      <c r="E690" s="58"/>
      <c r="F690" s="58"/>
      <c r="G690" s="58"/>
      <c r="H690" s="373"/>
      <c r="I690" s="352"/>
      <c r="J690" s="352"/>
      <c r="K690" s="352"/>
      <c r="L690" s="352"/>
      <c r="M690" s="352"/>
      <c r="N690" s="352"/>
      <c r="O690" s="352"/>
      <c r="P690" s="352"/>
      <c r="Q690" s="352"/>
      <c r="R690" s="352"/>
    </row>
    <row r="691" ht="32.25" customHeight="1">
      <c r="A691" s="58"/>
      <c r="B691" s="149"/>
      <c r="C691" s="58"/>
      <c r="D691" s="58"/>
      <c r="E691" s="58"/>
      <c r="F691" s="58"/>
      <c r="G691" s="58"/>
      <c r="H691" s="373"/>
      <c r="I691" s="352"/>
      <c r="J691" s="352"/>
      <c r="K691" s="352"/>
      <c r="L691" s="352"/>
      <c r="M691" s="352"/>
      <c r="N691" s="352"/>
      <c r="O691" s="352"/>
      <c r="P691" s="352"/>
      <c r="Q691" s="352"/>
      <c r="R691" s="352"/>
    </row>
    <row r="692" ht="32.25" customHeight="1">
      <c r="A692" s="58"/>
      <c r="B692" s="149"/>
      <c r="C692" s="58"/>
      <c r="D692" s="58"/>
      <c r="E692" s="58"/>
      <c r="F692" s="58"/>
      <c r="G692" s="58"/>
      <c r="H692" s="373"/>
      <c r="I692" s="352"/>
      <c r="J692" s="352"/>
      <c r="K692" s="352"/>
      <c r="L692" s="352"/>
      <c r="M692" s="352"/>
      <c r="N692" s="352"/>
      <c r="O692" s="352"/>
      <c r="P692" s="352"/>
      <c r="Q692" s="352"/>
      <c r="R692" s="352"/>
    </row>
    <row r="693" ht="32.25" customHeight="1">
      <c r="A693" s="58"/>
      <c r="B693" s="149"/>
      <c r="C693" s="58"/>
      <c r="D693" s="58"/>
      <c r="E693" s="58"/>
      <c r="F693" s="58"/>
      <c r="G693" s="58"/>
      <c r="H693" s="373"/>
      <c r="I693" s="352"/>
      <c r="J693" s="352"/>
      <c r="K693" s="352"/>
      <c r="L693" s="352"/>
      <c r="M693" s="352"/>
      <c r="N693" s="352"/>
      <c r="O693" s="352"/>
      <c r="P693" s="352"/>
      <c r="Q693" s="352"/>
      <c r="R693" s="352"/>
    </row>
    <row r="694" ht="32.25" customHeight="1">
      <c r="A694" s="58"/>
      <c r="B694" s="149"/>
      <c r="C694" s="58"/>
      <c r="D694" s="58"/>
      <c r="E694" s="58"/>
      <c r="F694" s="58"/>
      <c r="G694" s="58"/>
      <c r="H694" s="373"/>
      <c r="I694" s="352"/>
      <c r="J694" s="352"/>
      <c r="K694" s="352"/>
      <c r="L694" s="352"/>
      <c r="M694" s="352"/>
      <c r="N694" s="352"/>
      <c r="O694" s="352"/>
      <c r="P694" s="352"/>
      <c r="Q694" s="352"/>
      <c r="R694" s="352"/>
    </row>
    <row r="695" ht="32.25" customHeight="1">
      <c r="A695" s="58"/>
      <c r="B695" s="149"/>
      <c r="C695" s="58"/>
      <c r="D695" s="58"/>
      <c r="E695" s="58"/>
      <c r="F695" s="58"/>
      <c r="G695" s="58"/>
      <c r="H695" s="373"/>
      <c r="I695" s="352"/>
      <c r="J695" s="352"/>
      <c r="K695" s="352"/>
      <c r="L695" s="352"/>
      <c r="M695" s="352"/>
      <c r="N695" s="352"/>
      <c r="O695" s="352"/>
      <c r="P695" s="352"/>
      <c r="Q695" s="352"/>
      <c r="R695" s="352"/>
    </row>
    <row r="696" ht="32.25" customHeight="1">
      <c r="A696" s="58"/>
      <c r="B696" s="149"/>
      <c r="C696" s="58"/>
      <c r="D696" s="58"/>
      <c r="E696" s="58"/>
      <c r="F696" s="58"/>
      <c r="G696" s="58"/>
      <c r="H696" s="373"/>
      <c r="I696" s="352"/>
      <c r="J696" s="352"/>
      <c r="K696" s="352"/>
      <c r="L696" s="352"/>
      <c r="M696" s="352"/>
      <c r="N696" s="352"/>
      <c r="O696" s="352"/>
      <c r="P696" s="352"/>
      <c r="Q696" s="352"/>
      <c r="R696" s="352"/>
    </row>
    <row r="697" ht="32.25" customHeight="1">
      <c r="A697" s="58"/>
      <c r="B697" s="149"/>
      <c r="C697" s="58"/>
      <c r="D697" s="58"/>
      <c r="E697" s="58"/>
      <c r="F697" s="58"/>
      <c r="G697" s="58"/>
      <c r="H697" s="373"/>
      <c r="I697" s="352"/>
      <c r="J697" s="352"/>
      <c r="K697" s="352"/>
      <c r="L697" s="352"/>
      <c r="M697" s="352"/>
      <c r="N697" s="352"/>
      <c r="O697" s="352"/>
      <c r="P697" s="352"/>
      <c r="Q697" s="352"/>
      <c r="R697" s="352"/>
    </row>
    <row r="698" ht="32.25" customHeight="1">
      <c r="A698" s="58"/>
      <c r="B698" s="149"/>
      <c r="C698" s="58"/>
      <c r="D698" s="58"/>
      <c r="E698" s="58"/>
      <c r="F698" s="58"/>
      <c r="G698" s="58"/>
      <c r="H698" s="373"/>
      <c r="I698" s="352"/>
      <c r="J698" s="352"/>
      <c r="K698" s="352"/>
      <c r="L698" s="352"/>
      <c r="M698" s="352"/>
      <c r="N698" s="352"/>
      <c r="O698" s="352"/>
      <c r="P698" s="352"/>
      <c r="Q698" s="352"/>
      <c r="R698" s="352"/>
    </row>
    <row r="699" ht="32.25" customHeight="1">
      <c r="A699" s="58"/>
      <c r="B699" s="149"/>
      <c r="C699" s="58"/>
      <c r="D699" s="58"/>
      <c r="E699" s="58"/>
      <c r="F699" s="58"/>
      <c r="G699" s="58"/>
      <c r="H699" s="373"/>
      <c r="I699" s="352"/>
      <c r="J699" s="352"/>
      <c r="K699" s="352"/>
      <c r="L699" s="352"/>
      <c r="M699" s="352"/>
      <c r="N699" s="352"/>
      <c r="O699" s="352"/>
      <c r="P699" s="352"/>
      <c r="Q699" s="352"/>
      <c r="R699" s="352"/>
    </row>
    <row r="700" ht="32.25" customHeight="1">
      <c r="A700" s="58"/>
      <c r="B700" s="149"/>
      <c r="C700" s="58"/>
      <c r="D700" s="58"/>
      <c r="E700" s="58"/>
      <c r="F700" s="58"/>
      <c r="G700" s="58"/>
      <c r="H700" s="373"/>
      <c r="I700" s="352"/>
      <c r="J700" s="352"/>
      <c r="K700" s="352"/>
      <c r="L700" s="352"/>
      <c r="M700" s="352"/>
      <c r="N700" s="352"/>
      <c r="O700" s="352"/>
      <c r="P700" s="352"/>
      <c r="Q700" s="352"/>
      <c r="R700" s="352"/>
    </row>
    <row r="701" ht="32.25" customHeight="1">
      <c r="A701" s="58"/>
      <c r="B701" s="149"/>
      <c r="C701" s="58"/>
      <c r="D701" s="58"/>
      <c r="E701" s="58"/>
      <c r="F701" s="58"/>
      <c r="G701" s="58"/>
      <c r="H701" s="373"/>
      <c r="I701" s="352"/>
      <c r="J701" s="352"/>
      <c r="K701" s="352"/>
      <c r="L701" s="352"/>
      <c r="M701" s="352"/>
      <c r="N701" s="352"/>
      <c r="O701" s="352"/>
      <c r="P701" s="352"/>
      <c r="Q701" s="352"/>
      <c r="R701" s="352"/>
    </row>
    <row r="702" ht="32.25" customHeight="1">
      <c r="A702" s="58"/>
      <c r="B702" s="149"/>
      <c r="C702" s="58"/>
      <c r="D702" s="58"/>
      <c r="E702" s="58"/>
      <c r="F702" s="58"/>
      <c r="G702" s="58"/>
      <c r="H702" s="373"/>
      <c r="I702" s="352"/>
      <c r="J702" s="352"/>
      <c r="K702" s="352"/>
      <c r="L702" s="352"/>
      <c r="M702" s="352"/>
      <c r="N702" s="352"/>
      <c r="O702" s="352"/>
      <c r="P702" s="352"/>
      <c r="Q702" s="352"/>
      <c r="R702" s="352"/>
    </row>
    <row r="703" ht="32.25" customHeight="1">
      <c r="A703" s="58"/>
      <c r="B703" s="149"/>
      <c r="C703" s="58"/>
      <c r="D703" s="58"/>
      <c r="E703" s="58"/>
      <c r="F703" s="58"/>
      <c r="G703" s="58"/>
      <c r="H703" s="373"/>
      <c r="I703" s="352"/>
      <c r="J703" s="352"/>
      <c r="K703" s="352"/>
      <c r="L703" s="352"/>
      <c r="M703" s="352"/>
      <c r="N703" s="352"/>
      <c r="O703" s="352"/>
      <c r="P703" s="352"/>
      <c r="Q703" s="352"/>
      <c r="R703" s="352"/>
    </row>
    <row r="704" ht="32.25" customHeight="1">
      <c r="A704" s="58"/>
      <c r="B704" s="149"/>
      <c r="C704" s="58"/>
      <c r="D704" s="58"/>
      <c r="E704" s="58"/>
      <c r="F704" s="58"/>
      <c r="G704" s="58"/>
      <c r="H704" s="373"/>
      <c r="I704" s="352"/>
      <c r="J704" s="352"/>
      <c r="K704" s="352"/>
      <c r="L704" s="352"/>
      <c r="M704" s="352"/>
      <c r="N704" s="352"/>
      <c r="O704" s="352"/>
      <c r="P704" s="352"/>
      <c r="Q704" s="352"/>
      <c r="R704" s="352"/>
    </row>
    <row r="705" ht="32.25" customHeight="1">
      <c r="A705" s="58"/>
      <c r="B705" s="149"/>
      <c r="C705" s="58"/>
      <c r="D705" s="58"/>
      <c r="E705" s="58"/>
      <c r="F705" s="58"/>
      <c r="G705" s="58"/>
      <c r="H705" s="373"/>
      <c r="I705" s="352"/>
      <c r="J705" s="352"/>
      <c r="K705" s="352"/>
      <c r="L705" s="352"/>
      <c r="M705" s="352"/>
      <c r="N705" s="352"/>
      <c r="O705" s="352"/>
      <c r="P705" s="352"/>
      <c r="Q705" s="352"/>
      <c r="R705" s="352"/>
    </row>
    <row r="706" ht="32.25" customHeight="1">
      <c r="A706" s="58"/>
      <c r="B706" s="149"/>
      <c r="C706" s="58"/>
      <c r="D706" s="58"/>
      <c r="E706" s="58"/>
      <c r="F706" s="58"/>
      <c r="G706" s="58"/>
      <c r="H706" s="373"/>
      <c r="I706" s="352"/>
      <c r="J706" s="352"/>
      <c r="K706" s="352"/>
      <c r="L706" s="352"/>
      <c r="M706" s="352"/>
      <c r="N706" s="352"/>
      <c r="O706" s="352"/>
      <c r="P706" s="352"/>
      <c r="Q706" s="352"/>
      <c r="R706" s="352"/>
    </row>
    <row r="707" ht="32.25" customHeight="1">
      <c r="A707" s="58"/>
      <c r="B707" s="149"/>
      <c r="C707" s="58"/>
      <c r="D707" s="58"/>
      <c r="E707" s="58"/>
      <c r="F707" s="58"/>
      <c r="G707" s="58"/>
      <c r="H707" s="373"/>
      <c r="I707" s="352"/>
      <c r="J707" s="352"/>
      <c r="K707" s="352"/>
      <c r="L707" s="352"/>
      <c r="M707" s="352"/>
      <c r="N707" s="352"/>
      <c r="O707" s="352"/>
      <c r="P707" s="352"/>
      <c r="Q707" s="352"/>
      <c r="R707" s="352"/>
    </row>
    <row r="708" ht="32.25" customHeight="1">
      <c r="A708" s="58"/>
      <c r="B708" s="149"/>
      <c r="C708" s="58"/>
      <c r="D708" s="58"/>
      <c r="E708" s="58"/>
      <c r="F708" s="58"/>
      <c r="G708" s="58"/>
      <c r="H708" s="373"/>
      <c r="I708" s="352"/>
      <c r="J708" s="352"/>
      <c r="K708" s="352"/>
      <c r="L708" s="352"/>
      <c r="M708" s="352"/>
      <c r="N708" s="352"/>
      <c r="O708" s="352"/>
      <c r="P708" s="352"/>
      <c r="Q708" s="352"/>
      <c r="R708" s="352"/>
    </row>
    <row r="709" ht="32.25" customHeight="1">
      <c r="A709" s="58"/>
      <c r="B709" s="149"/>
      <c r="C709" s="58"/>
      <c r="D709" s="58"/>
      <c r="E709" s="58"/>
      <c r="F709" s="58"/>
      <c r="G709" s="58"/>
      <c r="H709" s="373"/>
      <c r="I709" s="352"/>
      <c r="J709" s="352"/>
      <c r="K709" s="352"/>
      <c r="L709" s="352"/>
      <c r="M709" s="352"/>
      <c r="N709" s="352"/>
      <c r="O709" s="352"/>
      <c r="P709" s="352"/>
      <c r="Q709" s="352"/>
      <c r="R709" s="352"/>
    </row>
    <row r="710" ht="32.25" customHeight="1">
      <c r="A710" s="58"/>
      <c r="B710" s="149"/>
      <c r="C710" s="58"/>
      <c r="D710" s="58"/>
      <c r="E710" s="58"/>
      <c r="F710" s="58"/>
      <c r="G710" s="58"/>
      <c r="H710" s="373"/>
      <c r="I710" s="352"/>
      <c r="J710" s="352"/>
      <c r="K710" s="352"/>
      <c r="L710" s="352"/>
      <c r="M710" s="352"/>
      <c r="N710" s="352"/>
      <c r="O710" s="352"/>
      <c r="P710" s="352"/>
      <c r="Q710" s="352"/>
      <c r="R710" s="352"/>
    </row>
    <row r="711" ht="32.25" customHeight="1">
      <c r="A711" s="58"/>
      <c r="B711" s="149"/>
      <c r="C711" s="58"/>
      <c r="D711" s="58"/>
      <c r="E711" s="58"/>
      <c r="F711" s="58"/>
      <c r="G711" s="58"/>
      <c r="H711" s="373"/>
      <c r="I711" s="352"/>
      <c r="J711" s="352"/>
      <c r="K711" s="352"/>
      <c r="L711" s="352"/>
      <c r="M711" s="352"/>
      <c r="N711" s="352"/>
      <c r="O711" s="352"/>
      <c r="P711" s="352"/>
      <c r="Q711" s="352"/>
      <c r="R711" s="352"/>
    </row>
    <row r="712" ht="32.25" customHeight="1">
      <c r="A712" s="58"/>
      <c r="B712" s="149"/>
      <c r="C712" s="58"/>
      <c r="D712" s="58"/>
      <c r="E712" s="58"/>
      <c r="F712" s="58"/>
      <c r="G712" s="58"/>
      <c r="H712" s="373"/>
      <c r="I712" s="352"/>
      <c r="J712" s="352"/>
      <c r="K712" s="352"/>
      <c r="L712" s="352"/>
      <c r="M712" s="352"/>
      <c r="N712" s="352"/>
      <c r="O712" s="352"/>
      <c r="P712" s="352"/>
      <c r="Q712" s="352"/>
      <c r="R712" s="352"/>
    </row>
    <row r="713" ht="32.25" customHeight="1">
      <c r="A713" s="58"/>
      <c r="B713" s="149"/>
      <c r="C713" s="58"/>
      <c r="D713" s="58"/>
      <c r="E713" s="58"/>
      <c r="F713" s="58"/>
      <c r="G713" s="58"/>
      <c r="H713" s="373"/>
      <c r="I713" s="352"/>
      <c r="J713" s="352"/>
      <c r="K713" s="352"/>
      <c r="L713" s="352"/>
      <c r="M713" s="352"/>
      <c r="N713" s="352"/>
      <c r="O713" s="352"/>
      <c r="P713" s="352"/>
      <c r="Q713" s="352"/>
      <c r="R713" s="352"/>
    </row>
    <row r="714" ht="32.25" customHeight="1">
      <c r="A714" s="58"/>
      <c r="B714" s="149"/>
      <c r="C714" s="58"/>
      <c r="D714" s="58"/>
      <c r="E714" s="58"/>
      <c r="F714" s="58"/>
      <c r="G714" s="58"/>
      <c r="H714" s="373"/>
      <c r="I714" s="352"/>
      <c r="J714" s="352"/>
      <c r="K714" s="352"/>
      <c r="L714" s="352"/>
      <c r="M714" s="352"/>
      <c r="N714" s="352"/>
      <c r="O714" s="352"/>
      <c r="P714" s="352"/>
      <c r="Q714" s="352"/>
      <c r="R714" s="352"/>
    </row>
    <row r="715" ht="32.25" customHeight="1">
      <c r="A715" s="58"/>
      <c r="B715" s="149"/>
      <c r="C715" s="58"/>
      <c r="D715" s="58"/>
      <c r="E715" s="58"/>
      <c r="F715" s="58"/>
      <c r="G715" s="58"/>
      <c r="H715" s="373"/>
      <c r="I715" s="352"/>
      <c r="J715" s="352"/>
      <c r="K715" s="352"/>
      <c r="L715" s="352"/>
      <c r="M715" s="352"/>
      <c r="N715" s="352"/>
      <c r="O715" s="352"/>
      <c r="P715" s="352"/>
      <c r="Q715" s="352"/>
      <c r="R715" s="352"/>
    </row>
    <row r="716" ht="32.25" customHeight="1">
      <c r="A716" s="58"/>
      <c r="B716" s="149"/>
      <c r="C716" s="58"/>
      <c r="D716" s="58"/>
      <c r="E716" s="58"/>
      <c r="F716" s="58"/>
      <c r="G716" s="58"/>
      <c r="H716" s="373"/>
      <c r="I716" s="352"/>
      <c r="J716" s="352"/>
      <c r="K716" s="352"/>
      <c r="L716" s="352"/>
      <c r="M716" s="352"/>
      <c r="N716" s="352"/>
      <c r="O716" s="352"/>
      <c r="P716" s="352"/>
      <c r="Q716" s="352"/>
      <c r="R716" s="352"/>
    </row>
    <row r="717" ht="32.25" customHeight="1">
      <c r="A717" s="58"/>
      <c r="B717" s="149"/>
      <c r="C717" s="58"/>
      <c r="D717" s="58"/>
      <c r="E717" s="58"/>
      <c r="F717" s="58"/>
      <c r="G717" s="58"/>
      <c r="H717" s="373"/>
      <c r="I717" s="352"/>
      <c r="J717" s="352"/>
      <c r="K717" s="352"/>
      <c r="L717" s="352"/>
      <c r="M717" s="352"/>
      <c r="N717" s="352"/>
      <c r="O717" s="352"/>
      <c r="P717" s="352"/>
      <c r="Q717" s="352"/>
      <c r="R717" s="352"/>
    </row>
    <row r="718" ht="32.25" customHeight="1">
      <c r="A718" s="58"/>
      <c r="B718" s="149"/>
      <c r="C718" s="58"/>
      <c r="D718" s="58"/>
      <c r="E718" s="58"/>
      <c r="F718" s="58"/>
      <c r="G718" s="58"/>
      <c r="H718" s="373"/>
      <c r="I718" s="352"/>
      <c r="J718" s="352"/>
      <c r="K718" s="352"/>
      <c r="L718" s="352"/>
      <c r="M718" s="352"/>
      <c r="N718" s="352"/>
      <c r="O718" s="352"/>
      <c r="P718" s="352"/>
      <c r="Q718" s="352"/>
      <c r="R718" s="352"/>
    </row>
    <row r="719" ht="32.25" customHeight="1">
      <c r="A719" s="58"/>
      <c r="B719" s="149"/>
      <c r="C719" s="58"/>
      <c r="D719" s="58"/>
      <c r="E719" s="58"/>
      <c r="F719" s="58"/>
      <c r="G719" s="58"/>
      <c r="H719" s="373"/>
      <c r="I719" s="352"/>
      <c r="J719" s="352"/>
      <c r="K719" s="352"/>
      <c r="L719" s="352"/>
      <c r="M719" s="352"/>
      <c r="N719" s="352"/>
      <c r="O719" s="352"/>
      <c r="P719" s="352"/>
      <c r="Q719" s="352"/>
      <c r="R719" s="352"/>
    </row>
    <row r="720" ht="32.25" customHeight="1">
      <c r="A720" s="58"/>
      <c r="B720" s="149"/>
      <c r="C720" s="58"/>
      <c r="D720" s="58"/>
      <c r="E720" s="58"/>
      <c r="F720" s="58"/>
      <c r="G720" s="58"/>
      <c r="H720" s="373"/>
      <c r="I720" s="352"/>
      <c r="J720" s="352"/>
      <c r="K720" s="352"/>
      <c r="L720" s="352"/>
      <c r="M720" s="352"/>
      <c r="N720" s="352"/>
      <c r="O720" s="352"/>
      <c r="P720" s="352"/>
      <c r="Q720" s="352"/>
      <c r="R720" s="352"/>
    </row>
    <row r="721" ht="32.25" customHeight="1">
      <c r="A721" s="58"/>
      <c r="B721" s="149"/>
      <c r="C721" s="58"/>
      <c r="D721" s="58"/>
      <c r="E721" s="58"/>
      <c r="F721" s="58"/>
      <c r="G721" s="58"/>
      <c r="H721" s="373"/>
      <c r="I721" s="352"/>
      <c r="J721" s="352"/>
      <c r="K721" s="352"/>
      <c r="L721" s="352"/>
      <c r="M721" s="352"/>
      <c r="N721" s="352"/>
      <c r="O721" s="352"/>
      <c r="P721" s="352"/>
      <c r="Q721" s="352"/>
      <c r="R721" s="352"/>
    </row>
    <row r="722" ht="32.25" customHeight="1">
      <c r="A722" s="58"/>
      <c r="B722" s="149"/>
      <c r="C722" s="58"/>
      <c r="D722" s="58"/>
      <c r="E722" s="58"/>
      <c r="F722" s="58"/>
      <c r="G722" s="58"/>
      <c r="H722" s="373"/>
      <c r="I722" s="352"/>
      <c r="J722" s="352"/>
      <c r="K722" s="352"/>
      <c r="L722" s="352"/>
      <c r="M722" s="352"/>
      <c r="N722" s="352"/>
      <c r="O722" s="352"/>
      <c r="P722" s="352"/>
      <c r="Q722" s="352"/>
      <c r="R722" s="352"/>
    </row>
    <row r="723" ht="32.25" customHeight="1">
      <c r="A723" s="58"/>
      <c r="B723" s="149"/>
      <c r="C723" s="58"/>
      <c r="D723" s="58"/>
      <c r="E723" s="58"/>
      <c r="F723" s="58"/>
      <c r="G723" s="58"/>
      <c r="H723" s="373"/>
      <c r="I723" s="352"/>
      <c r="J723" s="352"/>
      <c r="K723" s="352"/>
      <c r="L723" s="352"/>
      <c r="M723" s="352"/>
      <c r="N723" s="352"/>
      <c r="O723" s="352"/>
      <c r="P723" s="352"/>
      <c r="Q723" s="352"/>
      <c r="R723" s="352"/>
    </row>
    <row r="724" ht="32.25" customHeight="1">
      <c r="A724" s="58"/>
      <c r="B724" s="149"/>
      <c r="C724" s="58"/>
      <c r="D724" s="58"/>
      <c r="E724" s="58"/>
      <c r="F724" s="58"/>
      <c r="G724" s="58"/>
      <c r="H724" s="373"/>
      <c r="I724" s="352"/>
      <c r="J724" s="352"/>
      <c r="K724" s="352"/>
      <c r="L724" s="352"/>
      <c r="M724" s="352"/>
      <c r="N724" s="352"/>
      <c r="O724" s="352"/>
      <c r="P724" s="352"/>
      <c r="Q724" s="352"/>
      <c r="R724" s="352"/>
    </row>
    <row r="725" ht="32.25" customHeight="1">
      <c r="A725" s="58"/>
      <c r="B725" s="149"/>
      <c r="C725" s="58"/>
      <c r="D725" s="58"/>
      <c r="E725" s="58"/>
      <c r="F725" s="58"/>
      <c r="G725" s="58"/>
      <c r="H725" s="373"/>
      <c r="I725" s="352"/>
      <c r="J725" s="352"/>
      <c r="K725" s="352"/>
      <c r="L725" s="352"/>
      <c r="M725" s="352"/>
      <c r="N725" s="352"/>
      <c r="O725" s="352"/>
      <c r="P725" s="352"/>
      <c r="Q725" s="352"/>
      <c r="R725" s="352"/>
    </row>
    <row r="726" ht="32.25" customHeight="1">
      <c r="A726" s="58"/>
      <c r="B726" s="149"/>
      <c r="C726" s="58"/>
      <c r="D726" s="58"/>
      <c r="E726" s="58"/>
      <c r="F726" s="58"/>
      <c r="G726" s="58"/>
      <c r="H726" s="373"/>
      <c r="I726" s="352"/>
      <c r="J726" s="352"/>
      <c r="K726" s="352"/>
      <c r="L726" s="352"/>
      <c r="M726" s="352"/>
      <c r="N726" s="352"/>
      <c r="O726" s="352"/>
      <c r="P726" s="352"/>
      <c r="Q726" s="352"/>
      <c r="R726" s="352"/>
    </row>
    <row r="727" ht="32.25" customHeight="1">
      <c r="A727" s="58"/>
      <c r="B727" s="149"/>
      <c r="C727" s="58"/>
      <c r="D727" s="58"/>
      <c r="E727" s="58"/>
      <c r="F727" s="58"/>
      <c r="G727" s="58"/>
      <c r="H727" s="373"/>
      <c r="I727" s="352"/>
      <c r="J727" s="352"/>
      <c r="K727" s="352"/>
      <c r="L727" s="352"/>
      <c r="M727" s="352"/>
      <c r="N727" s="352"/>
      <c r="O727" s="352"/>
      <c r="P727" s="352"/>
      <c r="Q727" s="352"/>
      <c r="R727" s="352"/>
    </row>
    <row r="728" ht="32.25" customHeight="1">
      <c r="A728" s="58"/>
      <c r="B728" s="149"/>
      <c r="C728" s="58"/>
      <c r="D728" s="58"/>
      <c r="E728" s="58"/>
      <c r="F728" s="58"/>
      <c r="G728" s="58"/>
      <c r="H728" s="373"/>
      <c r="I728" s="352"/>
      <c r="J728" s="352"/>
      <c r="K728" s="352"/>
      <c r="L728" s="352"/>
      <c r="M728" s="352"/>
      <c r="N728" s="352"/>
      <c r="O728" s="352"/>
      <c r="P728" s="352"/>
      <c r="Q728" s="352"/>
      <c r="R728" s="352"/>
    </row>
    <row r="729" ht="32.25" customHeight="1">
      <c r="A729" s="58"/>
      <c r="B729" s="149"/>
      <c r="C729" s="58"/>
      <c r="D729" s="58"/>
      <c r="E729" s="58"/>
      <c r="F729" s="58"/>
      <c r="G729" s="58"/>
      <c r="H729" s="373"/>
      <c r="I729" s="352"/>
      <c r="J729" s="352"/>
      <c r="K729" s="352"/>
      <c r="L729" s="352"/>
      <c r="M729" s="352"/>
      <c r="N729" s="352"/>
      <c r="O729" s="352"/>
      <c r="P729" s="352"/>
      <c r="Q729" s="352"/>
      <c r="R729" s="352"/>
    </row>
    <row r="730" ht="32.25" customHeight="1">
      <c r="A730" s="58"/>
      <c r="B730" s="149"/>
      <c r="C730" s="58"/>
      <c r="D730" s="58"/>
      <c r="E730" s="58"/>
      <c r="F730" s="58"/>
      <c r="G730" s="58"/>
      <c r="H730" s="373"/>
      <c r="I730" s="352"/>
      <c r="J730" s="352"/>
      <c r="K730" s="352"/>
      <c r="L730" s="352"/>
      <c r="M730" s="352"/>
      <c r="N730" s="352"/>
      <c r="O730" s="352"/>
      <c r="P730" s="352"/>
      <c r="Q730" s="352"/>
      <c r="R730" s="352"/>
    </row>
    <row r="731" ht="32.25" customHeight="1">
      <c r="A731" s="58"/>
      <c r="B731" s="149"/>
      <c r="C731" s="58"/>
      <c r="D731" s="58"/>
      <c r="E731" s="58"/>
      <c r="F731" s="58"/>
      <c r="G731" s="58"/>
      <c r="H731" s="373"/>
      <c r="I731" s="352"/>
      <c r="J731" s="352"/>
      <c r="K731" s="352"/>
      <c r="L731" s="352"/>
      <c r="M731" s="352"/>
      <c r="N731" s="352"/>
      <c r="O731" s="352"/>
      <c r="P731" s="352"/>
      <c r="Q731" s="352"/>
      <c r="R731" s="352"/>
    </row>
    <row r="732" ht="32.25" customHeight="1">
      <c r="A732" s="58"/>
      <c r="B732" s="149"/>
      <c r="C732" s="58"/>
      <c r="D732" s="58"/>
      <c r="E732" s="58"/>
      <c r="F732" s="58"/>
      <c r="G732" s="58"/>
      <c r="H732" s="373"/>
      <c r="I732" s="352"/>
      <c r="J732" s="352"/>
      <c r="K732" s="352"/>
      <c r="L732" s="352"/>
      <c r="M732" s="352"/>
      <c r="N732" s="352"/>
      <c r="O732" s="352"/>
      <c r="P732" s="352"/>
      <c r="Q732" s="352"/>
      <c r="R732" s="352"/>
    </row>
    <row r="733" ht="32.25" customHeight="1">
      <c r="A733" s="58"/>
      <c r="B733" s="149"/>
      <c r="C733" s="58"/>
      <c r="D733" s="58"/>
      <c r="E733" s="58"/>
      <c r="F733" s="58"/>
      <c r="G733" s="58"/>
      <c r="H733" s="373"/>
      <c r="I733" s="352"/>
      <c r="J733" s="352"/>
      <c r="K733" s="352"/>
      <c r="L733" s="352"/>
      <c r="M733" s="352"/>
      <c r="N733" s="352"/>
      <c r="O733" s="352"/>
      <c r="P733" s="352"/>
      <c r="Q733" s="352"/>
      <c r="R733" s="352"/>
    </row>
    <row r="734" ht="32.25" customHeight="1">
      <c r="A734" s="58"/>
      <c r="B734" s="149"/>
      <c r="C734" s="58"/>
      <c r="D734" s="58"/>
      <c r="E734" s="58"/>
      <c r="F734" s="58"/>
      <c r="G734" s="58"/>
      <c r="H734" s="373"/>
      <c r="I734" s="352"/>
      <c r="J734" s="352"/>
      <c r="K734" s="352"/>
      <c r="L734" s="352"/>
      <c r="M734" s="352"/>
      <c r="N734" s="352"/>
      <c r="O734" s="352"/>
      <c r="P734" s="352"/>
      <c r="Q734" s="352"/>
      <c r="R734" s="352"/>
    </row>
    <row r="735" ht="32.25" customHeight="1">
      <c r="A735" s="58"/>
      <c r="B735" s="149"/>
      <c r="C735" s="58"/>
      <c r="D735" s="58"/>
      <c r="E735" s="58"/>
      <c r="F735" s="58"/>
      <c r="G735" s="58"/>
      <c r="H735" s="373"/>
      <c r="I735" s="352"/>
      <c r="J735" s="352"/>
      <c r="K735" s="352"/>
      <c r="L735" s="352"/>
      <c r="M735" s="352"/>
      <c r="N735" s="352"/>
      <c r="O735" s="352"/>
      <c r="P735" s="352"/>
      <c r="Q735" s="352"/>
      <c r="R735" s="352"/>
    </row>
    <row r="736" ht="32.25" customHeight="1">
      <c r="A736" s="58"/>
      <c r="B736" s="149"/>
      <c r="C736" s="58"/>
      <c r="D736" s="58"/>
      <c r="E736" s="58"/>
      <c r="F736" s="58"/>
      <c r="G736" s="58"/>
      <c r="H736" s="373"/>
      <c r="I736" s="352"/>
      <c r="J736" s="352"/>
      <c r="K736" s="352"/>
      <c r="L736" s="352"/>
      <c r="M736" s="352"/>
      <c r="N736" s="352"/>
      <c r="O736" s="352"/>
      <c r="P736" s="352"/>
      <c r="Q736" s="352"/>
      <c r="R736" s="352"/>
    </row>
    <row r="737" ht="32.25" customHeight="1">
      <c r="A737" s="58"/>
      <c r="B737" s="149"/>
      <c r="C737" s="58"/>
      <c r="D737" s="58"/>
      <c r="E737" s="58"/>
      <c r="F737" s="58"/>
      <c r="G737" s="58"/>
      <c r="H737" s="373"/>
      <c r="I737" s="352"/>
      <c r="J737" s="352"/>
      <c r="K737" s="352"/>
      <c r="L737" s="352"/>
      <c r="M737" s="352"/>
      <c r="N737" s="352"/>
      <c r="O737" s="352"/>
      <c r="P737" s="352"/>
      <c r="Q737" s="352"/>
      <c r="R737" s="352"/>
    </row>
    <row r="738" ht="32.25" customHeight="1">
      <c r="A738" s="58"/>
      <c r="B738" s="149"/>
      <c r="C738" s="58"/>
      <c r="D738" s="58"/>
      <c r="E738" s="58"/>
      <c r="F738" s="58"/>
      <c r="G738" s="58"/>
      <c r="H738" s="373"/>
      <c r="I738" s="352"/>
      <c r="J738" s="352"/>
      <c r="K738" s="352"/>
      <c r="L738" s="352"/>
      <c r="M738" s="352"/>
      <c r="N738" s="352"/>
      <c r="O738" s="352"/>
      <c r="P738" s="352"/>
      <c r="Q738" s="352"/>
      <c r="R738" s="352"/>
    </row>
    <row r="739" ht="32.25" customHeight="1">
      <c r="A739" s="58"/>
      <c r="B739" s="149"/>
      <c r="C739" s="58"/>
      <c r="D739" s="58"/>
      <c r="E739" s="58"/>
      <c r="F739" s="58"/>
      <c r="G739" s="58"/>
      <c r="H739" s="373"/>
      <c r="I739" s="352"/>
      <c r="J739" s="352"/>
      <c r="K739" s="352"/>
      <c r="L739" s="352"/>
      <c r="M739" s="352"/>
      <c r="N739" s="352"/>
      <c r="O739" s="352"/>
      <c r="P739" s="352"/>
      <c r="Q739" s="352"/>
      <c r="R739" s="352"/>
    </row>
    <row r="740" ht="32.25" customHeight="1">
      <c r="A740" s="58"/>
      <c r="B740" s="149"/>
      <c r="C740" s="58"/>
      <c r="D740" s="58"/>
      <c r="E740" s="58"/>
      <c r="F740" s="58"/>
      <c r="G740" s="58"/>
      <c r="H740" s="373"/>
      <c r="I740" s="352"/>
      <c r="J740" s="352"/>
      <c r="K740" s="352"/>
      <c r="L740" s="352"/>
      <c r="M740" s="352"/>
      <c r="N740" s="352"/>
      <c r="O740" s="352"/>
      <c r="P740" s="352"/>
      <c r="Q740" s="352"/>
      <c r="R740" s="352"/>
    </row>
    <row r="741" ht="32.25" customHeight="1">
      <c r="A741" s="58"/>
      <c r="B741" s="149"/>
      <c r="C741" s="58"/>
      <c r="D741" s="58"/>
      <c r="E741" s="58"/>
      <c r="F741" s="58"/>
      <c r="G741" s="58"/>
      <c r="H741" s="373"/>
      <c r="I741" s="352"/>
      <c r="J741" s="352"/>
      <c r="K741" s="352"/>
      <c r="L741" s="352"/>
      <c r="M741" s="352"/>
      <c r="N741" s="352"/>
      <c r="O741" s="352"/>
      <c r="P741" s="352"/>
      <c r="Q741" s="352"/>
      <c r="R741" s="352"/>
    </row>
    <row r="742" ht="32.25" customHeight="1">
      <c r="A742" s="58"/>
      <c r="B742" s="149"/>
      <c r="C742" s="58"/>
      <c r="D742" s="58"/>
      <c r="E742" s="58"/>
      <c r="F742" s="58"/>
      <c r="G742" s="58"/>
      <c r="H742" s="373"/>
      <c r="I742" s="352"/>
      <c r="J742" s="352"/>
      <c r="K742" s="352"/>
      <c r="L742" s="352"/>
      <c r="M742" s="352"/>
      <c r="N742" s="352"/>
      <c r="O742" s="352"/>
      <c r="P742" s="352"/>
      <c r="Q742" s="352"/>
      <c r="R742" s="352"/>
    </row>
    <row r="743" ht="32.25" customHeight="1">
      <c r="A743" s="58"/>
      <c r="B743" s="149"/>
      <c r="C743" s="58"/>
      <c r="D743" s="58"/>
      <c r="E743" s="58"/>
      <c r="F743" s="58"/>
      <c r="G743" s="58"/>
      <c r="H743" s="373"/>
      <c r="I743" s="352"/>
      <c r="J743" s="352"/>
      <c r="K743" s="352"/>
      <c r="L743" s="352"/>
      <c r="M743" s="352"/>
      <c r="N743" s="352"/>
      <c r="O743" s="352"/>
      <c r="P743" s="352"/>
      <c r="Q743" s="352"/>
      <c r="R743" s="352"/>
    </row>
    <row r="744" ht="32.25" customHeight="1">
      <c r="A744" s="58"/>
      <c r="B744" s="149"/>
      <c r="C744" s="58"/>
      <c r="D744" s="58"/>
      <c r="E744" s="58"/>
      <c r="F744" s="58"/>
      <c r="G744" s="58"/>
      <c r="H744" s="373"/>
      <c r="I744" s="352"/>
      <c r="J744" s="352"/>
      <c r="K744" s="352"/>
      <c r="L744" s="352"/>
      <c r="M744" s="352"/>
      <c r="N744" s="352"/>
      <c r="O744" s="352"/>
      <c r="P744" s="352"/>
      <c r="Q744" s="352"/>
      <c r="R744" s="352"/>
    </row>
    <row r="745" ht="32.25" customHeight="1">
      <c r="A745" s="58"/>
      <c r="B745" s="149"/>
      <c r="C745" s="58"/>
      <c r="D745" s="58"/>
      <c r="E745" s="58"/>
      <c r="F745" s="58"/>
      <c r="G745" s="58"/>
      <c r="H745" s="373"/>
      <c r="I745" s="352"/>
      <c r="J745" s="352"/>
      <c r="K745" s="352"/>
      <c r="L745" s="352"/>
      <c r="M745" s="352"/>
      <c r="N745" s="352"/>
      <c r="O745" s="352"/>
      <c r="P745" s="352"/>
      <c r="Q745" s="352"/>
      <c r="R745" s="352"/>
    </row>
    <row r="746" ht="32.25" customHeight="1">
      <c r="A746" s="58"/>
      <c r="B746" s="149"/>
      <c r="C746" s="58"/>
      <c r="D746" s="58"/>
      <c r="E746" s="58"/>
      <c r="F746" s="58"/>
      <c r="G746" s="58"/>
      <c r="H746" s="373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</row>
    <row r="747" ht="32.25" customHeight="1">
      <c r="A747" s="58"/>
      <c r="B747" s="149"/>
      <c r="C747" s="58"/>
      <c r="D747" s="58"/>
      <c r="E747" s="58"/>
      <c r="F747" s="58"/>
      <c r="G747" s="58"/>
      <c r="H747" s="373"/>
      <c r="I747" s="352"/>
      <c r="J747" s="352"/>
      <c r="K747" s="352"/>
      <c r="L747" s="352"/>
      <c r="M747" s="352"/>
      <c r="N747" s="352"/>
      <c r="O747" s="352"/>
      <c r="P747" s="352"/>
      <c r="Q747" s="352"/>
      <c r="R747" s="352"/>
    </row>
    <row r="748" ht="32.25" customHeight="1">
      <c r="A748" s="58"/>
      <c r="B748" s="149"/>
      <c r="C748" s="58"/>
      <c r="D748" s="58"/>
      <c r="E748" s="58"/>
      <c r="F748" s="58"/>
      <c r="G748" s="58"/>
      <c r="H748" s="373"/>
      <c r="I748" s="352"/>
      <c r="J748" s="352"/>
      <c r="K748" s="352"/>
      <c r="L748" s="352"/>
      <c r="M748" s="352"/>
      <c r="N748" s="352"/>
      <c r="O748" s="352"/>
      <c r="P748" s="352"/>
      <c r="Q748" s="352"/>
      <c r="R748" s="352"/>
    </row>
    <row r="749" ht="32.25" customHeight="1">
      <c r="A749" s="58"/>
      <c r="B749" s="149"/>
      <c r="C749" s="58"/>
      <c r="D749" s="58"/>
      <c r="E749" s="58"/>
      <c r="F749" s="58"/>
      <c r="G749" s="58"/>
      <c r="H749" s="373"/>
      <c r="I749" s="352"/>
      <c r="J749" s="352"/>
      <c r="K749" s="352"/>
      <c r="L749" s="352"/>
      <c r="M749" s="352"/>
      <c r="N749" s="352"/>
      <c r="O749" s="352"/>
      <c r="P749" s="352"/>
      <c r="Q749" s="352"/>
      <c r="R749" s="352"/>
    </row>
    <row r="750" ht="32.25" customHeight="1">
      <c r="A750" s="58"/>
      <c r="B750" s="149"/>
      <c r="C750" s="58"/>
      <c r="D750" s="58"/>
      <c r="E750" s="58"/>
      <c r="F750" s="58"/>
      <c r="G750" s="58"/>
      <c r="H750" s="373"/>
      <c r="I750" s="352"/>
      <c r="J750" s="352"/>
      <c r="K750" s="352"/>
      <c r="L750" s="352"/>
      <c r="M750" s="352"/>
      <c r="N750" s="352"/>
      <c r="O750" s="352"/>
      <c r="P750" s="352"/>
      <c r="Q750" s="352"/>
      <c r="R750" s="352"/>
    </row>
    <row r="751" ht="32.25" customHeight="1">
      <c r="A751" s="58"/>
      <c r="B751" s="149"/>
      <c r="C751" s="58"/>
      <c r="D751" s="58"/>
      <c r="E751" s="58"/>
      <c r="F751" s="58"/>
      <c r="G751" s="58"/>
      <c r="H751" s="373"/>
      <c r="I751" s="352"/>
      <c r="J751" s="352"/>
      <c r="K751" s="352"/>
      <c r="L751" s="352"/>
      <c r="M751" s="352"/>
      <c r="N751" s="352"/>
      <c r="O751" s="352"/>
      <c r="P751" s="352"/>
      <c r="Q751" s="352"/>
      <c r="R751" s="352"/>
    </row>
    <row r="752" ht="32.25" customHeight="1">
      <c r="A752" s="58"/>
      <c r="B752" s="149"/>
      <c r="C752" s="58"/>
      <c r="D752" s="58"/>
      <c r="E752" s="58"/>
      <c r="F752" s="58"/>
      <c r="G752" s="58"/>
      <c r="H752" s="373"/>
      <c r="I752" s="352"/>
      <c r="J752" s="352"/>
      <c r="K752" s="352"/>
      <c r="L752" s="352"/>
      <c r="M752" s="352"/>
      <c r="N752" s="352"/>
      <c r="O752" s="352"/>
      <c r="P752" s="352"/>
      <c r="Q752" s="352"/>
      <c r="R752" s="352"/>
    </row>
    <row r="753" ht="32.25" customHeight="1">
      <c r="A753" s="58"/>
      <c r="B753" s="149"/>
      <c r="C753" s="58"/>
      <c r="D753" s="58"/>
      <c r="E753" s="58"/>
      <c r="F753" s="58"/>
      <c r="G753" s="58"/>
      <c r="H753" s="373"/>
      <c r="I753" s="352"/>
      <c r="J753" s="352"/>
      <c r="K753" s="352"/>
      <c r="L753" s="352"/>
      <c r="M753" s="352"/>
      <c r="N753" s="352"/>
      <c r="O753" s="352"/>
      <c r="P753" s="352"/>
      <c r="Q753" s="352"/>
      <c r="R753" s="352"/>
    </row>
    <row r="754" ht="32.25" customHeight="1">
      <c r="A754" s="58"/>
      <c r="B754" s="149"/>
      <c r="C754" s="58"/>
      <c r="D754" s="58"/>
      <c r="E754" s="58"/>
      <c r="F754" s="58"/>
      <c r="G754" s="58"/>
      <c r="H754" s="373"/>
      <c r="I754" s="352"/>
      <c r="J754" s="352"/>
      <c r="K754" s="352"/>
      <c r="L754" s="352"/>
      <c r="M754" s="352"/>
      <c r="N754" s="352"/>
      <c r="O754" s="352"/>
      <c r="P754" s="352"/>
      <c r="Q754" s="352"/>
      <c r="R754" s="352"/>
    </row>
    <row r="755" ht="32.25" customHeight="1">
      <c r="A755" s="58"/>
      <c r="B755" s="149"/>
      <c r="C755" s="58"/>
      <c r="D755" s="58"/>
      <c r="E755" s="58"/>
      <c r="F755" s="58"/>
      <c r="G755" s="58"/>
      <c r="H755" s="373"/>
      <c r="I755" s="352"/>
      <c r="J755" s="352"/>
      <c r="K755" s="352"/>
      <c r="L755" s="352"/>
      <c r="M755" s="352"/>
      <c r="N755" s="352"/>
      <c r="O755" s="352"/>
      <c r="P755" s="352"/>
      <c r="Q755" s="352"/>
      <c r="R755" s="352"/>
    </row>
    <row r="756" ht="32.25" customHeight="1">
      <c r="A756" s="58"/>
      <c r="B756" s="149"/>
      <c r="C756" s="58"/>
      <c r="D756" s="58"/>
      <c r="E756" s="58"/>
      <c r="F756" s="58"/>
      <c r="G756" s="58"/>
      <c r="H756" s="373"/>
      <c r="I756" s="352"/>
      <c r="J756" s="352"/>
      <c r="K756" s="352"/>
      <c r="L756" s="352"/>
      <c r="M756" s="352"/>
      <c r="N756" s="352"/>
      <c r="O756" s="352"/>
      <c r="P756" s="352"/>
      <c r="Q756" s="352"/>
      <c r="R756" s="352"/>
    </row>
    <row r="757" ht="32.25" customHeight="1">
      <c r="A757" s="58"/>
      <c r="B757" s="149"/>
      <c r="C757" s="58"/>
      <c r="D757" s="58"/>
      <c r="E757" s="58"/>
      <c r="F757" s="58"/>
      <c r="G757" s="58"/>
      <c r="H757" s="373"/>
      <c r="I757" s="352"/>
      <c r="J757" s="352"/>
      <c r="K757" s="352"/>
      <c r="L757" s="352"/>
      <c r="M757" s="352"/>
      <c r="N757" s="352"/>
      <c r="O757" s="352"/>
      <c r="P757" s="352"/>
      <c r="Q757" s="352"/>
      <c r="R757" s="352"/>
    </row>
    <row r="758" ht="32.25" customHeight="1">
      <c r="A758" s="58"/>
      <c r="B758" s="149"/>
      <c r="C758" s="58"/>
      <c r="D758" s="58"/>
      <c r="E758" s="58"/>
      <c r="F758" s="58"/>
      <c r="G758" s="58"/>
      <c r="H758" s="373"/>
      <c r="I758" s="352"/>
      <c r="J758" s="352"/>
      <c r="K758" s="352"/>
      <c r="L758" s="352"/>
      <c r="M758" s="352"/>
      <c r="N758" s="352"/>
      <c r="O758" s="352"/>
      <c r="P758" s="352"/>
      <c r="Q758" s="352"/>
      <c r="R758" s="352"/>
    </row>
    <row r="759" ht="32.25" customHeight="1">
      <c r="A759" s="58"/>
      <c r="B759" s="149"/>
      <c r="C759" s="58"/>
      <c r="D759" s="58"/>
      <c r="E759" s="58"/>
      <c r="F759" s="58"/>
      <c r="G759" s="58"/>
      <c r="H759" s="373"/>
      <c r="I759" s="352"/>
      <c r="J759" s="352"/>
      <c r="K759" s="352"/>
      <c r="L759" s="352"/>
      <c r="M759" s="352"/>
      <c r="N759" s="352"/>
      <c r="O759" s="352"/>
      <c r="P759" s="352"/>
      <c r="Q759" s="352"/>
      <c r="R759" s="352"/>
    </row>
    <row r="760" ht="32.25" customHeight="1">
      <c r="A760" s="58"/>
      <c r="B760" s="149"/>
      <c r="C760" s="58"/>
      <c r="D760" s="58"/>
      <c r="E760" s="58"/>
      <c r="F760" s="58"/>
      <c r="G760" s="58"/>
      <c r="H760" s="373"/>
      <c r="I760" s="352"/>
      <c r="J760" s="352"/>
      <c r="K760" s="352"/>
      <c r="L760" s="352"/>
      <c r="M760" s="352"/>
      <c r="N760" s="352"/>
      <c r="O760" s="352"/>
      <c r="P760" s="352"/>
      <c r="Q760" s="352"/>
      <c r="R760" s="352"/>
    </row>
    <row r="761" ht="32.25" customHeight="1">
      <c r="A761" s="58"/>
      <c r="B761" s="149"/>
      <c r="C761" s="58"/>
      <c r="D761" s="58"/>
      <c r="E761" s="58"/>
      <c r="F761" s="58"/>
      <c r="G761" s="58"/>
      <c r="H761" s="373"/>
      <c r="I761" s="352"/>
      <c r="J761" s="352"/>
      <c r="K761" s="352"/>
      <c r="L761" s="352"/>
      <c r="M761" s="352"/>
      <c r="N761" s="352"/>
      <c r="O761" s="352"/>
      <c r="P761" s="352"/>
      <c r="Q761" s="352"/>
      <c r="R761" s="352"/>
    </row>
    <row r="762" ht="32.25" customHeight="1">
      <c r="A762" s="58"/>
      <c r="B762" s="149"/>
      <c r="C762" s="58"/>
      <c r="D762" s="58"/>
      <c r="E762" s="58"/>
      <c r="F762" s="58"/>
      <c r="G762" s="58"/>
      <c r="H762" s="373"/>
      <c r="I762" s="352"/>
      <c r="J762" s="352"/>
      <c r="K762" s="352"/>
      <c r="L762" s="352"/>
      <c r="M762" s="352"/>
      <c r="N762" s="352"/>
      <c r="O762" s="352"/>
      <c r="P762" s="352"/>
      <c r="Q762" s="352"/>
      <c r="R762" s="352"/>
    </row>
    <row r="763" ht="32.25" customHeight="1">
      <c r="A763" s="58"/>
      <c r="B763" s="149"/>
      <c r="C763" s="58"/>
      <c r="D763" s="58"/>
      <c r="E763" s="58"/>
      <c r="F763" s="58"/>
      <c r="G763" s="58"/>
      <c r="H763" s="373"/>
      <c r="I763" s="352"/>
      <c r="J763" s="352"/>
      <c r="K763" s="352"/>
      <c r="L763" s="352"/>
      <c r="M763" s="352"/>
      <c r="N763" s="352"/>
      <c r="O763" s="352"/>
      <c r="P763" s="352"/>
      <c r="Q763" s="352"/>
      <c r="R763" s="352"/>
    </row>
    <row r="764" ht="32.25" customHeight="1">
      <c r="A764" s="58"/>
      <c r="B764" s="149"/>
      <c r="C764" s="58"/>
      <c r="D764" s="58"/>
      <c r="E764" s="58"/>
      <c r="F764" s="58"/>
      <c r="G764" s="58"/>
      <c r="H764" s="373"/>
      <c r="I764" s="352"/>
      <c r="J764" s="352"/>
      <c r="K764" s="352"/>
      <c r="L764" s="352"/>
      <c r="M764" s="352"/>
      <c r="N764" s="352"/>
      <c r="O764" s="352"/>
      <c r="P764" s="352"/>
      <c r="Q764" s="352"/>
      <c r="R764" s="352"/>
    </row>
    <row r="765" ht="32.25" customHeight="1">
      <c r="A765" s="58"/>
      <c r="B765" s="149"/>
      <c r="C765" s="58"/>
      <c r="D765" s="58"/>
      <c r="E765" s="58"/>
      <c r="F765" s="58"/>
      <c r="G765" s="58"/>
      <c r="H765" s="373"/>
      <c r="I765" s="352"/>
      <c r="J765" s="352"/>
      <c r="K765" s="352"/>
      <c r="L765" s="352"/>
      <c r="M765" s="352"/>
      <c r="N765" s="352"/>
      <c r="O765" s="352"/>
      <c r="P765" s="352"/>
      <c r="Q765" s="352"/>
      <c r="R765" s="352"/>
    </row>
    <row r="766" ht="32.25" customHeight="1">
      <c r="A766" s="58"/>
      <c r="B766" s="149"/>
      <c r="C766" s="58"/>
      <c r="D766" s="58"/>
      <c r="E766" s="58"/>
      <c r="F766" s="58"/>
      <c r="G766" s="58"/>
      <c r="H766" s="373"/>
      <c r="I766" s="352"/>
      <c r="J766" s="352"/>
      <c r="K766" s="352"/>
      <c r="L766" s="352"/>
      <c r="M766" s="352"/>
      <c r="N766" s="352"/>
      <c r="O766" s="352"/>
      <c r="P766" s="352"/>
      <c r="Q766" s="352"/>
      <c r="R766" s="352"/>
    </row>
    <row r="767" ht="32.25" customHeight="1">
      <c r="A767" s="58"/>
      <c r="B767" s="149"/>
      <c r="C767" s="58"/>
      <c r="D767" s="58"/>
      <c r="E767" s="58"/>
      <c r="F767" s="58"/>
      <c r="G767" s="58"/>
      <c r="H767" s="373"/>
      <c r="I767" s="352"/>
      <c r="J767" s="352"/>
      <c r="K767" s="352"/>
      <c r="L767" s="352"/>
      <c r="M767" s="352"/>
      <c r="N767" s="352"/>
      <c r="O767" s="352"/>
      <c r="P767" s="352"/>
      <c r="Q767" s="352"/>
      <c r="R767" s="352"/>
    </row>
    <row r="768" ht="32.25" customHeight="1">
      <c r="A768" s="58"/>
      <c r="B768" s="149"/>
      <c r="C768" s="58"/>
      <c r="D768" s="58"/>
      <c r="E768" s="58"/>
      <c r="F768" s="58"/>
      <c r="G768" s="58"/>
      <c r="H768" s="373"/>
      <c r="I768" s="352"/>
      <c r="J768" s="352"/>
      <c r="K768" s="352"/>
      <c r="L768" s="352"/>
      <c r="M768" s="352"/>
      <c r="N768" s="352"/>
      <c r="O768" s="352"/>
      <c r="P768" s="352"/>
      <c r="Q768" s="352"/>
      <c r="R768" s="352"/>
    </row>
    <row r="769" ht="32.25" customHeight="1">
      <c r="A769" s="58"/>
      <c r="B769" s="149"/>
      <c r="C769" s="58"/>
      <c r="D769" s="58"/>
      <c r="E769" s="58"/>
      <c r="F769" s="58"/>
      <c r="G769" s="58"/>
      <c r="H769" s="373"/>
      <c r="I769" s="352"/>
      <c r="J769" s="352"/>
      <c r="K769" s="352"/>
      <c r="L769" s="352"/>
      <c r="M769" s="352"/>
      <c r="N769" s="352"/>
      <c r="O769" s="352"/>
      <c r="P769" s="352"/>
      <c r="Q769" s="352"/>
      <c r="R769" s="352"/>
    </row>
    <row r="770" ht="32.25" customHeight="1">
      <c r="A770" s="58"/>
      <c r="B770" s="149"/>
      <c r="C770" s="58"/>
      <c r="D770" s="58"/>
      <c r="E770" s="58"/>
      <c r="F770" s="58"/>
      <c r="G770" s="58"/>
      <c r="H770" s="373"/>
      <c r="I770" s="352"/>
      <c r="J770" s="352"/>
      <c r="K770" s="352"/>
      <c r="L770" s="352"/>
      <c r="M770" s="352"/>
      <c r="N770" s="352"/>
      <c r="O770" s="352"/>
      <c r="P770" s="352"/>
      <c r="Q770" s="352"/>
      <c r="R770" s="352"/>
    </row>
    <row r="771" ht="32.25" customHeight="1">
      <c r="A771" s="58"/>
      <c r="B771" s="149"/>
      <c r="C771" s="58"/>
      <c r="D771" s="58"/>
      <c r="E771" s="58"/>
      <c r="F771" s="58"/>
      <c r="G771" s="58"/>
      <c r="H771" s="373"/>
      <c r="I771" s="352"/>
      <c r="J771" s="352"/>
      <c r="K771" s="352"/>
      <c r="L771" s="352"/>
      <c r="M771" s="352"/>
      <c r="N771" s="352"/>
      <c r="O771" s="352"/>
      <c r="P771" s="352"/>
      <c r="Q771" s="352"/>
      <c r="R771" s="352"/>
    </row>
    <row r="772" ht="32.25" customHeight="1">
      <c r="A772" s="58"/>
      <c r="B772" s="149"/>
      <c r="C772" s="58"/>
      <c r="D772" s="58"/>
      <c r="E772" s="58"/>
      <c r="F772" s="58"/>
      <c r="G772" s="58"/>
      <c r="H772" s="373"/>
      <c r="I772" s="352"/>
      <c r="J772" s="352"/>
      <c r="K772" s="352"/>
      <c r="L772" s="352"/>
      <c r="M772" s="352"/>
      <c r="N772" s="352"/>
      <c r="O772" s="352"/>
      <c r="P772" s="352"/>
      <c r="Q772" s="352"/>
      <c r="R772" s="352"/>
    </row>
    <row r="773" ht="32.25" customHeight="1">
      <c r="A773" s="58"/>
      <c r="B773" s="149"/>
      <c r="C773" s="58"/>
      <c r="D773" s="58"/>
      <c r="E773" s="58"/>
      <c r="F773" s="58"/>
      <c r="G773" s="58"/>
      <c r="H773" s="373"/>
      <c r="I773" s="352"/>
      <c r="J773" s="352"/>
      <c r="K773" s="352"/>
      <c r="L773" s="352"/>
      <c r="M773" s="352"/>
      <c r="N773" s="352"/>
      <c r="O773" s="352"/>
      <c r="P773" s="352"/>
      <c r="Q773" s="352"/>
      <c r="R773" s="352"/>
    </row>
    <row r="774" ht="32.25" customHeight="1">
      <c r="A774" s="58"/>
      <c r="B774" s="149"/>
      <c r="C774" s="58"/>
      <c r="D774" s="58"/>
      <c r="E774" s="58"/>
      <c r="F774" s="58"/>
      <c r="G774" s="58"/>
      <c r="H774" s="373"/>
      <c r="I774" s="352"/>
      <c r="J774" s="352"/>
      <c r="K774" s="352"/>
      <c r="L774" s="352"/>
      <c r="M774" s="352"/>
      <c r="N774" s="352"/>
      <c r="O774" s="352"/>
      <c r="P774" s="352"/>
      <c r="Q774" s="352"/>
      <c r="R774" s="352"/>
    </row>
    <row r="775" ht="32.25" customHeight="1">
      <c r="A775" s="58"/>
      <c r="B775" s="149"/>
      <c r="C775" s="58"/>
      <c r="D775" s="58"/>
      <c r="E775" s="58"/>
      <c r="F775" s="58"/>
      <c r="G775" s="58"/>
      <c r="H775" s="373"/>
      <c r="I775" s="352"/>
      <c r="J775" s="352"/>
      <c r="K775" s="352"/>
      <c r="L775" s="352"/>
      <c r="M775" s="352"/>
      <c r="N775" s="352"/>
      <c r="O775" s="352"/>
      <c r="P775" s="352"/>
      <c r="Q775" s="352"/>
      <c r="R775" s="352"/>
    </row>
    <row r="776" ht="32.25" customHeight="1">
      <c r="A776" s="58"/>
      <c r="B776" s="149"/>
      <c r="C776" s="58"/>
      <c r="D776" s="58"/>
      <c r="E776" s="58"/>
      <c r="F776" s="58"/>
      <c r="G776" s="58"/>
      <c r="H776" s="373"/>
      <c r="I776" s="352"/>
      <c r="J776" s="352"/>
      <c r="K776" s="352"/>
      <c r="L776" s="352"/>
      <c r="M776" s="352"/>
      <c r="N776" s="352"/>
      <c r="O776" s="352"/>
      <c r="P776" s="352"/>
      <c r="Q776" s="352"/>
      <c r="R776" s="352"/>
    </row>
    <row r="777" ht="32.25" customHeight="1">
      <c r="A777" s="58"/>
      <c r="B777" s="149"/>
      <c r="C777" s="58"/>
      <c r="D777" s="58"/>
      <c r="E777" s="58"/>
      <c r="F777" s="58"/>
      <c r="G777" s="58"/>
      <c r="H777" s="373"/>
      <c r="I777" s="352"/>
      <c r="J777" s="352"/>
      <c r="K777" s="352"/>
      <c r="L777" s="352"/>
      <c r="M777" s="352"/>
      <c r="N777" s="352"/>
      <c r="O777" s="352"/>
      <c r="P777" s="352"/>
      <c r="Q777" s="352"/>
      <c r="R777" s="352"/>
    </row>
    <row r="778" ht="32.25" customHeight="1">
      <c r="A778" s="58"/>
      <c r="B778" s="149"/>
      <c r="C778" s="58"/>
      <c r="D778" s="58"/>
      <c r="E778" s="58"/>
      <c r="F778" s="58"/>
      <c r="G778" s="58"/>
      <c r="H778" s="373"/>
      <c r="I778" s="352"/>
      <c r="J778" s="352"/>
      <c r="K778" s="352"/>
      <c r="L778" s="352"/>
      <c r="M778" s="352"/>
      <c r="N778" s="352"/>
      <c r="O778" s="352"/>
      <c r="P778" s="352"/>
      <c r="Q778" s="352"/>
      <c r="R778" s="352"/>
    </row>
    <row r="779" ht="32.25" customHeight="1">
      <c r="A779" s="58"/>
      <c r="B779" s="149"/>
      <c r="C779" s="58"/>
      <c r="D779" s="58"/>
      <c r="E779" s="58"/>
      <c r="F779" s="58"/>
      <c r="G779" s="58"/>
      <c r="H779" s="373"/>
      <c r="I779" s="352"/>
      <c r="J779" s="352"/>
      <c r="K779" s="352"/>
      <c r="L779" s="352"/>
      <c r="M779" s="352"/>
      <c r="N779" s="352"/>
      <c r="O779" s="352"/>
      <c r="P779" s="352"/>
      <c r="Q779" s="352"/>
      <c r="R779" s="352"/>
    </row>
    <row r="780" ht="32.25" customHeight="1">
      <c r="A780" s="58"/>
      <c r="B780" s="149"/>
      <c r="C780" s="58"/>
      <c r="D780" s="58"/>
      <c r="E780" s="58"/>
      <c r="F780" s="58"/>
      <c r="G780" s="58"/>
      <c r="H780" s="373"/>
      <c r="I780" s="352"/>
      <c r="J780" s="352"/>
      <c r="K780" s="352"/>
      <c r="L780" s="352"/>
      <c r="M780" s="352"/>
      <c r="N780" s="352"/>
      <c r="O780" s="352"/>
      <c r="P780" s="352"/>
      <c r="Q780" s="352"/>
      <c r="R780" s="352"/>
    </row>
    <row r="781" ht="32.25" customHeight="1">
      <c r="A781" s="58"/>
      <c r="B781" s="149"/>
      <c r="C781" s="58"/>
      <c r="D781" s="58"/>
      <c r="E781" s="58"/>
      <c r="F781" s="58"/>
      <c r="G781" s="58"/>
      <c r="H781" s="373"/>
      <c r="I781" s="352"/>
      <c r="J781" s="352"/>
      <c r="K781" s="352"/>
      <c r="L781" s="352"/>
      <c r="M781" s="352"/>
      <c r="N781" s="352"/>
      <c r="O781" s="352"/>
      <c r="P781" s="352"/>
      <c r="Q781" s="352"/>
      <c r="R781" s="352"/>
    </row>
    <row r="782" ht="32.25" customHeight="1">
      <c r="A782" s="58"/>
      <c r="B782" s="149"/>
      <c r="C782" s="58"/>
      <c r="D782" s="58"/>
      <c r="E782" s="58"/>
      <c r="F782" s="58"/>
      <c r="G782" s="58"/>
      <c r="H782" s="373"/>
      <c r="I782" s="352"/>
      <c r="J782" s="352"/>
      <c r="K782" s="352"/>
      <c r="L782" s="352"/>
      <c r="M782" s="352"/>
      <c r="N782" s="352"/>
      <c r="O782" s="352"/>
      <c r="P782" s="352"/>
      <c r="Q782" s="352"/>
      <c r="R782" s="352"/>
    </row>
    <row r="783" ht="32.25" customHeight="1">
      <c r="A783" s="58"/>
      <c r="B783" s="149"/>
      <c r="C783" s="58"/>
      <c r="D783" s="58"/>
      <c r="E783" s="58"/>
      <c r="F783" s="58"/>
      <c r="G783" s="58"/>
      <c r="H783" s="373"/>
      <c r="I783" s="352"/>
      <c r="J783" s="352"/>
      <c r="K783" s="352"/>
      <c r="L783" s="352"/>
      <c r="M783" s="352"/>
      <c r="N783" s="352"/>
      <c r="O783" s="352"/>
      <c r="P783" s="352"/>
      <c r="Q783" s="352"/>
      <c r="R783" s="352"/>
    </row>
    <row r="784" ht="32.25" customHeight="1">
      <c r="A784" s="58"/>
      <c r="B784" s="149"/>
      <c r="C784" s="58"/>
      <c r="D784" s="58"/>
      <c r="E784" s="58"/>
      <c r="F784" s="58"/>
      <c r="G784" s="58"/>
      <c r="H784" s="373"/>
      <c r="I784" s="352"/>
      <c r="J784" s="352"/>
      <c r="K784" s="352"/>
      <c r="L784" s="352"/>
      <c r="M784" s="352"/>
      <c r="N784" s="352"/>
      <c r="O784" s="352"/>
      <c r="P784" s="352"/>
      <c r="Q784" s="352"/>
      <c r="R784" s="352"/>
    </row>
    <row r="785" ht="32.25" customHeight="1">
      <c r="A785" s="58"/>
      <c r="B785" s="149"/>
      <c r="C785" s="58"/>
      <c r="D785" s="58"/>
      <c r="E785" s="58"/>
      <c r="F785" s="58"/>
      <c r="G785" s="58"/>
      <c r="H785" s="373"/>
      <c r="I785" s="352"/>
      <c r="J785" s="352"/>
      <c r="K785" s="352"/>
      <c r="L785" s="352"/>
      <c r="M785" s="352"/>
      <c r="N785" s="352"/>
      <c r="O785" s="352"/>
      <c r="P785" s="352"/>
      <c r="Q785" s="352"/>
      <c r="R785" s="352"/>
    </row>
    <row r="786" ht="32.25" customHeight="1">
      <c r="A786" s="58"/>
      <c r="B786" s="149"/>
      <c r="C786" s="58"/>
      <c r="D786" s="58"/>
      <c r="E786" s="58"/>
      <c r="F786" s="58"/>
      <c r="G786" s="58"/>
      <c r="H786" s="373"/>
      <c r="I786" s="352"/>
      <c r="J786" s="352"/>
      <c r="K786" s="352"/>
      <c r="L786" s="352"/>
      <c r="M786" s="352"/>
      <c r="N786" s="352"/>
      <c r="O786" s="352"/>
      <c r="P786" s="352"/>
      <c r="Q786" s="352"/>
      <c r="R786" s="352"/>
    </row>
    <row r="787" ht="32.25" customHeight="1">
      <c r="A787" s="58"/>
      <c r="B787" s="149"/>
      <c r="C787" s="58"/>
      <c r="D787" s="58"/>
      <c r="E787" s="58"/>
      <c r="F787" s="58"/>
      <c r="G787" s="58"/>
      <c r="H787" s="373"/>
      <c r="I787" s="352"/>
      <c r="J787" s="352"/>
      <c r="K787" s="352"/>
      <c r="L787" s="352"/>
      <c r="M787" s="352"/>
      <c r="N787" s="352"/>
      <c r="O787" s="352"/>
      <c r="P787" s="352"/>
      <c r="Q787" s="352"/>
      <c r="R787" s="352"/>
    </row>
    <row r="788" ht="32.25" customHeight="1">
      <c r="A788" s="58"/>
      <c r="B788" s="149"/>
      <c r="C788" s="58"/>
      <c r="D788" s="58"/>
      <c r="E788" s="58"/>
      <c r="F788" s="58"/>
      <c r="G788" s="58"/>
      <c r="H788" s="373"/>
      <c r="I788" s="352"/>
      <c r="J788" s="352"/>
      <c r="K788" s="352"/>
      <c r="L788" s="352"/>
      <c r="M788" s="352"/>
      <c r="N788" s="352"/>
      <c r="O788" s="352"/>
      <c r="P788" s="352"/>
      <c r="Q788" s="352"/>
      <c r="R788" s="352"/>
    </row>
    <row r="789" ht="32.25" customHeight="1">
      <c r="A789" s="58"/>
      <c r="B789" s="149"/>
      <c r="C789" s="58"/>
      <c r="D789" s="58"/>
      <c r="E789" s="58"/>
      <c r="F789" s="58"/>
      <c r="G789" s="58"/>
      <c r="H789" s="373"/>
      <c r="I789" s="352"/>
      <c r="J789" s="352"/>
      <c r="K789" s="352"/>
      <c r="L789" s="352"/>
      <c r="M789" s="352"/>
      <c r="N789" s="352"/>
      <c r="O789" s="352"/>
      <c r="P789" s="352"/>
      <c r="Q789" s="352"/>
      <c r="R789" s="352"/>
    </row>
    <row r="790" ht="32.25" customHeight="1">
      <c r="A790" s="58"/>
      <c r="B790" s="149"/>
      <c r="C790" s="58"/>
      <c r="D790" s="58"/>
      <c r="E790" s="58"/>
      <c r="F790" s="58"/>
      <c r="G790" s="58"/>
      <c r="H790" s="373"/>
      <c r="I790" s="352"/>
      <c r="J790" s="352"/>
      <c r="K790" s="352"/>
      <c r="L790" s="352"/>
      <c r="M790" s="352"/>
      <c r="N790" s="352"/>
      <c r="O790" s="352"/>
      <c r="P790" s="352"/>
      <c r="Q790" s="352"/>
      <c r="R790" s="352"/>
    </row>
    <row r="791" ht="32.25" customHeight="1">
      <c r="A791" s="58"/>
      <c r="B791" s="149"/>
      <c r="C791" s="58"/>
      <c r="D791" s="58"/>
      <c r="E791" s="58"/>
      <c r="F791" s="58"/>
      <c r="G791" s="58"/>
      <c r="H791" s="373"/>
      <c r="I791" s="352"/>
      <c r="J791" s="352"/>
      <c r="K791" s="352"/>
      <c r="L791" s="352"/>
      <c r="M791" s="352"/>
      <c r="N791" s="352"/>
      <c r="O791" s="352"/>
      <c r="P791" s="352"/>
      <c r="Q791" s="352"/>
      <c r="R791" s="352"/>
    </row>
    <row r="792" ht="32.25" customHeight="1">
      <c r="A792" s="58"/>
      <c r="B792" s="149"/>
      <c r="C792" s="58"/>
      <c r="D792" s="58"/>
      <c r="E792" s="58"/>
      <c r="F792" s="58"/>
      <c r="G792" s="58"/>
      <c r="H792" s="373"/>
      <c r="I792" s="352"/>
      <c r="J792" s="352"/>
      <c r="K792" s="352"/>
      <c r="L792" s="352"/>
      <c r="M792" s="352"/>
      <c r="N792" s="352"/>
      <c r="O792" s="352"/>
      <c r="P792" s="352"/>
      <c r="Q792" s="352"/>
      <c r="R792" s="352"/>
    </row>
    <row r="793" ht="32.25" customHeight="1">
      <c r="A793" s="58"/>
      <c r="B793" s="149"/>
      <c r="C793" s="58"/>
      <c r="D793" s="58"/>
      <c r="E793" s="58"/>
      <c r="F793" s="58"/>
      <c r="G793" s="58"/>
      <c r="H793" s="373"/>
      <c r="I793" s="352"/>
      <c r="J793" s="352"/>
      <c r="K793" s="352"/>
      <c r="L793" s="352"/>
      <c r="M793" s="352"/>
      <c r="N793" s="352"/>
      <c r="O793" s="352"/>
      <c r="P793" s="352"/>
      <c r="Q793" s="352"/>
      <c r="R793" s="352"/>
    </row>
    <row r="794" ht="32.25" customHeight="1">
      <c r="A794" s="58"/>
      <c r="B794" s="149"/>
      <c r="C794" s="58"/>
      <c r="D794" s="58"/>
      <c r="E794" s="58"/>
      <c r="F794" s="58"/>
      <c r="G794" s="58"/>
      <c r="H794" s="373"/>
      <c r="I794" s="352"/>
      <c r="J794" s="352"/>
      <c r="K794" s="352"/>
      <c r="L794" s="352"/>
      <c r="M794" s="352"/>
      <c r="N794" s="352"/>
      <c r="O794" s="352"/>
      <c r="P794" s="352"/>
      <c r="Q794" s="352"/>
      <c r="R794" s="352"/>
    </row>
    <row r="795" ht="32.25" customHeight="1">
      <c r="A795" s="58"/>
      <c r="B795" s="149"/>
      <c r="C795" s="58"/>
      <c r="D795" s="58"/>
      <c r="E795" s="58"/>
      <c r="F795" s="58"/>
      <c r="G795" s="58"/>
      <c r="H795" s="373"/>
      <c r="I795" s="352"/>
      <c r="J795" s="352"/>
      <c r="K795" s="352"/>
      <c r="L795" s="352"/>
      <c r="M795" s="352"/>
      <c r="N795" s="352"/>
      <c r="O795" s="352"/>
      <c r="P795" s="352"/>
      <c r="Q795" s="352"/>
      <c r="R795" s="352"/>
    </row>
    <row r="796" ht="32.25" customHeight="1">
      <c r="A796" s="58"/>
      <c r="B796" s="149"/>
      <c r="C796" s="58"/>
      <c r="D796" s="58"/>
      <c r="E796" s="58"/>
      <c r="F796" s="58"/>
      <c r="G796" s="58"/>
      <c r="H796" s="373"/>
      <c r="I796" s="352"/>
      <c r="J796" s="352"/>
      <c r="K796" s="352"/>
      <c r="L796" s="352"/>
      <c r="M796" s="352"/>
      <c r="N796" s="352"/>
      <c r="O796" s="352"/>
      <c r="P796" s="352"/>
      <c r="Q796" s="352"/>
      <c r="R796" s="352"/>
    </row>
    <row r="797" ht="32.25" customHeight="1">
      <c r="A797" s="58"/>
      <c r="B797" s="149"/>
      <c r="C797" s="58"/>
      <c r="D797" s="58"/>
      <c r="E797" s="58"/>
      <c r="F797" s="58"/>
      <c r="G797" s="58"/>
      <c r="H797" s="373"/>
      <c r="I797" s="352"/>
      <c r="J797" s="352"/>
      <c r="K797" s="352"/>
      <c r="L797" s="352"/>
      <c r="M797" s="352"/>
      <c r="N797" s="352"/>
      <c r="O797" s="352"/>
      <c r="P797" s="352"/>
      <c r="Q797" s="352"/>
      <c r="R797" s="352"/>
    </row>
    <row r="798" ht="32.25" customHeight="1">
      <c r="A798" s="58"/>
      <c r="B798" s="149"/>
      <c r="C798" s="58"/>
      <c r="D798" s="58"/>
      <c r="E798" s="58"/>
      <c r="F798" s="58"/>
      <c r="G798" s="58"/>
      <c r="H798" s="373"/>
      <c r="I798" s="352"/>
      <c r="J798" s="352"/>
      <c r="K798" s="352"/>
      <c r="L798" s="352"/>
      <c r="M798" s="352"/>
      <c r="N798" s="352"/>
      <c r="O798" s="352"/>
      <c r="P798" s="352"/>
      <c r="Q798" s="352"/>
      <c r="R798" s="352"/>
    </row>
    <row r="799" ht="32.25" customHeight="1">
      <c r="A799" s="58"/>
      <c r="B799" s="149"/>
      <c r="C799" s="58"/>
      <c r="D799" s="58"/>
      <c r="E799" s="58"/>
      <c r="F799" s="58"/>
      <c r="G799" s="58"/>
      <c r="H799" s="373"/>
      <c r="I799" s="352"/>
      <c r="J799" s="352"/>
      <c r="K799" s="352"/>
      <c r="L799" s="352"/>
      <c r="M799" s="352"/>
      <c r="N799" s="352"/>
      <c r="O799" s="352"/>
      <c r="P799" s="352"/>
      <c r="Q799" s="352"/>
      <c r="R799" s="352"/>
    </row>
    <row r="800" ht="32.25" customHeight="1">
      <c r="A800" s="58"/>
      <c r="B800" s="149"/>
      <c r="C800" s="58"/>
      <c r="D800" s="58"/>
      <c r="E800" s="58"/>
      <c r="F800" s="58"/>
      <c r="G800" s="58"/>
      <c r="H800" s="373"/>
      <c r="I800" s="352"/>
      <c r="J800" s="352"/>
      <c r="K800" s="352"/>
      <c r="L800" s="352"/>
      <c r="M800" s="352"/>
      <c r="N800" s="352"/>
      <c r="O800" s="352"/>
      <c r="P800" s="352"/>
      <c r="Q800" s="352"/>
      <c r="R800" s="352"/>
    </row>
    <row r="801" ht="32.25" customHeight="1">
      <c r="A801" s="58"/>
      <c r="B801" s="149"/>
      <c r="C801" s="58"/>
      <c r="D801" s="58"/>
      <c r="E801" s="58"/>
      <c r="F801" s="58"/>
      <c r="G801" s="58"/>
      <c r="H801" s="373"/>
      <c r="I801" s="352"/>
      <c r="J801" s="352"/>
      <c r="K801" s="352"/>
      <c r="L801" s="352"/>
      <c r="M801" s="352"/>
      <c r="N801" s="352"/>
      <c r="O801" s="352"/>
      <c r="P801" s="352"/>
      <c r="Q801" s="352"/>
      <c r="R801" s="352"/>
    </row>
    <row r="802" ht="32.25" customHeight="1">
      <c r="A802" s="58"/>
      <c r="B802" s="149"/>
      <c r="C802" s="58"/>
      <c r="D802" s="58"/>
      <c r="E802" s="58"/>
      <c r="F802" s="58"/>
      <c r="G802" s="58"/>
      <c r="H802" s="373"/>
      <c r="I802" s="352"/>
      <c r="J802" s="352"/>
      <c r="K802" s="352"/>
      <c r="L802" s="352"/>
      <c r="M802" s="352"/>
      <c r="N802" s="352"/>
      <c r="O802" s="352"/>
      <c r="P802" s="352"/>
      <c r="Q802" s="352"/>
      <c r="R802" s="352"/>
    </row>
    <row r="803" ht="32.25" customHeight="1">
      <c r="A803" s="58"/>
      <c r="B803" s="149"/>
      <c r="C803" s="58"/>
      <c r="D803" s="58"/>
      <c r="E803" s="58"/>
      <c r="F803" s="58"/>
      <c r="G803" s="58"/>
      <c r="H803" s="373"/>
      <c r="I803" s="352"/>
      <c r="J803" s="352"/>
      <c r="K803" s="352"/>
      <c r="L803" s="352"/>
      <c r="M803" s="352"/>
      <c r="N803" s="352"/>
      <c r="O803" s="352"/>
      <c r="P803" s="352"/>
      <c r="Q803" s="352"/>
      <c r="R803" s="352"/>
    </row>
    <row r="804" ht="32.25" customHeight="1">
      <c r="A804" s="58"/>
      <c r="B804" s="149"/>
      <c r="C804" s="58"/>
      <c r="D804" s="58"/>
      <c r="E804" s="58"/>
      <c r="F804" s="58"/>
      <c r="G804" s="58"/>
      <c r="H804" s="373"/>
      <c r="I804" s="352"/>
      <c r="J804" s="352"/>
      <c r="K804" s="352"/>
      <c r="L804" s="352"/>
      <c r="M804" s="352"/>
      <c r="N804" s="352"/>
      <c r="O804" s="352"/>
      <c r="P804" s="352"/>
      <c r="Q804" s="352"/>
      <c r="R804" s="352"/>
    </row>
    <row r="805" ht="32.25" customHeight="1">
      <c r="A805" s="58"/>
      <c r="B805" s="149"/>
      <c r="C805" s="58"/>
      <c r="D805" s="58"/>
      <c r="E805" s="58"/>
      <c r="F805" s="58"/>
      <c r="G805" s="58"/>
      <c r="H805" s="373"/>
      <c r="I805" s="352"/>
      <c r="J805" s="352"/>
      <c r="K805" s="352"/>
      <c r="L805" s="352"/>
      <c r="M805" s="352"/>
      <c r="N805" s="352"/>
      <c r="O805" s="352"/>
      <c r="P805" s="352"/>
      <c r="Q805" s="352"/>
      <c r="R805" s="352"/>
    </row>
    <row r="806" ht="32.25" customHeight="1">
      <c r="A806" s="58"/>
      <c r="B806" s="149"/>
      <c r="C806" s="58"/>
      <c r="D806" s="58"/>
      <c r="E806" s="58"/>
      <c r="F806" s="58"/>
      <c r="G806" s="58"/>
      <c r="H806" s="373"/>
      <c r="I806" s="352"/>
      <c r="J806" s="352"/>
      <c r="K806" s="352"/>
      <c r="L806" s="352"/>
      <c r="M806" s="352"/>
      <c r="N806" s="352"/>
      <c r="O806" s="352"/>
      <c r="P806" s="352"/>
      <c r="Q806" s="352"/>
      <c r="R806" s="352"/>
    </row>
    <row r="807" ht="32.25" customHeight="1">
      <c r="A807" s="58"/>
      <c r="B807" s="149"/>
      <c r="C807" s="58"/>
      <c r="D807" s="58"/>
      <c r="E807" s="58"/>
      <c r="F807" s="58"/>
      <c r="G807" s="58"/>
      <c r="H807" s="373"/>
      <c r="I807" s="352"/>
      <c r="J807" s="352"/>
      <c r="K807" s="352"/>
      <c r="L807" s="352"/>
      <c r="M807" s="352"/>
      <c r="N807" s="352"/>
      <c r="O807" s="352"/>
      <c r="P807" s="352"/>
      <c r="Q807" s="352"/>
      <c r="R807" s="352"/>
    </row>
    <row r="808" ht="32.25" customHeight="1">
      <c r="A808" s="58"/>
      <c r="B808" s="149"/>
      <c r="C808" s="58"/>
      <c r="D808" s="58"/>
      <c r="E808" s="58"/>
      <c r="F808" s="58"/>
      <c r="G808" s="58"/>
      <c r="H808" s="373"/>
      <c r="I808" s="352"/>
      <c r="J808" s="352"/>
      <c r="K808" s="352"/>
      <c r="L808" s="352"/>
      <c r="M808" s="352"/>
      <c r="N808" s="352"/>
      <c r="O808" s="352"/>
      <c r="P808" s="352"/>
      <c r="Q808" s="352"/>
      <c r="R808" s="352"/>
    </row>
    <row r="809" ht="32.25" customHeight="1">
      <c r="A809" s="58"/>
      <c r="B809" s="149"/>
      <c r="C809" s="58"/>
      <c r="D809" s="58"/>
      <c r="E809" s="58"/>
      <c r="F809" s="58"/>
      <c r="G809" s="58"/>
      <c r="H809" s="373"/>
      <c r="I809" s="352"/>
      <c r="J809" s="352"/>
      <c r="K809" s="352"/>
      <c r="L809" s="352"/>
      <c r="M809" s="352"/>
      <c r="N809" s="352"/>
      <c r="O809" s="352"/>
      <c r="P809" s="352"/>
      <c r="Q809" s="352"/>
      <c r="R809" s="352"/>
    </row>
    <row r="810" ht="32.25" customHeight="1">
      <c r="A810" s="58"/>
      <c r="B810" s="149"/>
      <c r="C810" s="58"/>
      <c r="D810" s="58"/>
      <c r="E810" s="58"/>
      <c r="F810" s="58"/>
      <c r="G810" s="58"/>
      <c r="H810" s="373"/>
      <c r="I810" s="352"/>
      <c r="J810" s="352"/>
      <c r="K810" s="352"/>
      <c r="L810" s="352"/>
      <c r="M810" s="352"/>
      <c r="N810" s="352"/>
      <c r="O810" s="352"/>
      <c r="P810" s="352"/>
      <c r="Q810" s="352"/>
      <c r="R810" s="352"/>
    </row>
    <row r="811" ht="32.25" customHeight="1">
      <c r="A811" s="58"/>
      <c r="B811" s="149"/>
      <c r="C811" s="58"/>
      <c r="D811" s="58"/>
      <c r="E811" s="58"/>
      <c r="F811" s="58"/>
      <c r="G811" s="58"/>
      <c r="H811" s="373"/>
      <c r="I811" s="352"/>
      <c r="J811" s="352"/>
      <c r="K811" s="352"/>
      <c r="L811" s="352"/>
      <c r="M811" s="352"/>
      <c r="N811" s="352"/>
      <c r="O811" s="352"/>
      <c r="P811" s="352"/>
      <c r="Q811" s="352"/>
      <c r="R811" s="352"/>
    </row>
    <row r="812" ht="32.25" customHeight="1">
      <c r="A812" s="58"/>
      <c r="B812" s="149"/>
      <c r="C812" s="58"/>
      <c r="D812" s="58"/>
      <c r="E812" s="58"/>
      <c r="F812" s="58"/>
      <c r="G812" s="58"/>
      <c r="H812" s="373"/>
      <c r="I812" s="352"/>
      <c r="J812" s="352"/>
      <c r="K812" s="352"/>
      <c r="L812" s="352"/>
      <c r="M812" s="352"/>
      <c r="N812" s="352"/>
      <c r="O812" s="352"/>
      <c r="P812" s="352"/>
      <c r="Q812" s="352"/>
      <c r="R812" s="352"/>
    </row>
    <row r="813" ht="32.25" customHeight="1">
      <c r="A813" s="58"/>
      <c r="B813" s="149"/>
      <c r="C813" s="58"/>
      <c r="D813" s="58"/>
      <c r="E813" s="58"/>
      <c r="F813" s="58"/>
      <c r="G813" s="58"/>
      <c r="H813" s="373"/>
      <c r="I813" s="352"/>
      <c r="J813" s="352"/>
      <c r="K813" s="352"/>
      <c r="L813" s="352"/>
      <c r="M813" s="352"/>
      <c r="N813" s="352"/>
      <c r="O813" s="352"/>
      <c r="P813" s="352"/>
      <c r="Q813" s="352"/>
      <c r="R813" s="352"/>
    </row>
    <row r="814" ht="32.25" customHeight="1">
      <c r="A814" s="58"/>
      <c r="B814" s="149"/>
      <c r="C814" s="58"/>
      <c r="D814" s="58"/>
      <c r="E814" s="58"/>
      <c r="F814" s="58"/>
      <c r="G814" s="58"/>
      <c r="H814" s="373"/>
      <c r="I814" s="352"/>
      <c r="J814" s="352"/>
      <c r="K814" s="352"/>
      <c r="L814" s="352"/>
      <c r="M814" s="352"/>
      <c r="N814" s="352"/>
      <c r="O814" s="352"/>
      <c r="P814" s="352"/>
      <c r="Q814" s="352"/>
      <c r="R814" s="352"/>
    </row>
    <row r="815" ht="32.25" customHeight="1">
      <c r="A815" s="58"/>
      <c r="B815" s="149"/>
      <c r="C815" s="58"/>
      <c r="D815" s="58"/>
      <c r="E815" s="58"/>
      <c r="F815" s="58"/>
      <c r="G815" s="58"/>
      <c r="H815" s="373"/>
      <c r="I815" s="352"/>
      <c r="J815" s="352"/>
      <c r="K815" s="352"/>
      <c r="L815" s="352"/>
      <c r="M815" s="352"/>
      <c r="N815" s="352"/>
      <c r="O815" s="352"/>
      <c r="P815" s="352"/>
      <c r="Q815" s="352"/>
      <c r="R815" s="352"/>
    </row>
    <row r="816" ht="32.25" customHeight="1">
      <c r="A816" s="58"/>
      <c r="B816" s="149"/>
      <c r="C816" s="58"/>
      <c r="D816" s="58"/>
      <c r="E816" s="58"/>
      <c r="F816" s="58"/>
      <c r="G816" s="58"/>
      <c r="H816" s="373"/>
      <c r="I816" s="352"/>
      <c r="J816" s="352"/>
      <c r="K816" s="352"/>
      <c r="L816" s="352"/>
      <c r="M816" s="352"/>
      <c r="N816" s="352"/>
      <c r="O816" s="352"/>
      <c r="P816" s="352"/>
      <c r="Q816" s="352"/>
      <c r="R816" s="352"/>
    </row>
    <row r="817" ht="32.25" customHeight="1">
      <c r="A817" s="58"/>
      <c r="B817" s="149"/>
      <c r="C817" s="58"/>
      <c r="D817" s="58"/>
      <c r="E817" s="58"/>
      <c r="F817" s="58"/>
      <c r="G817" s="58"/>
      <c r="H817" s="373"/>
      <c r="I817" s="352"/>
      <c r="J817" s="352"/>
      <c r="K817" s="352"/>
      <c r="L817" s="352"/>
      <c r="M817" s="352"/>
      <c r="N817" s="352"/>
      <c r="O817" s="352"/>
      <c r="P817" s="352"/>
      <c r="Q817" s="352"/>
      <c r="R817" s="352"/>
    </row>
    <row r="818" ht="32.25" customHeight="1">
      <c r="A818" s="58"/>
      <c r="B818" s="149"/>
      <c r="C818" s="58"/>
      <c r="D818" s="58"/>
      <c r="E818" s="58"/>
      <c r="F818" s="58"/>
      <c r="G818" s="58"/>
      <c r="H818" s="373"/>
      <c r="I818" s="352"/>
      <c r="J818" s="352"/>
      <c r="K818" s="352"/>
      <c r="L818" s="352"/>
      <c r="M818" s="352"/>
      <c r="N818" s="352"/>
      <c r="O818" s="352"/>
      <c r="P818" s="352"/>
      <c r="Q818" s="352"/>
      <c r="R818" s="352"/>
    </row>
    <row r="819" ht="32.25" customHeight="1">
      <c r="A819" s="58"/>
      <c r="B819" s="149"/>
      <c r="C819" s="58"/>
      <c r="D819" s="58"/>
      <c r="E819" s="58"/>
      <c r="F819" s="58"/>
      <c r="G819" s="58"/>
      <c r="H819" s="373"/>
      <c r="I819" s="352"/>
      <c r="J819" s="352"/>
      <c r="K819" s="352"/>
      <c r="L819" s="352"/>
      <c r="M819" s="352"/>
      <c r="N819" s="352"/>
      <c r="O819" s="352"/>
      <c r="P819" s="352"/>
      <c r="Q819" s="352"/>
      <c r="R819" s="352"/>
    </row>
    <row r="820" ht="32.25" customHeight="1">
      <c r="A820" s="58"/>
      <c r="B820" s="149"/>
      <c r="C820" s="58"/>
      <c r="D820" s="58"/>
      <c r="E820" s="58"/>
      <c r="F820" s="58"/>
      <c r="G820" s="58"/>
      <c r="H820" s="373"/>
      <c r="I820" s="352"/>
      <c r="J820" s="352"/>
      <c r="K820" s="352"/>
      <c r="L820" s="352"/>
      <c r="M820" s="352"/>
      <c r="N820" s="352"/>
      <c r="O820" s="352"/>
      <c r="P820" s="352"/>
      <c r="Q820" s="352"/>
      <c r="R820" s="352"/>
    </row>
    <row r="821" ht="32.25" customHeight="1">
      <c r="A821" s="58"/>
      <c r="B821" s="149"/>
      <c r="C821" s="58"/>
      <c r="D821" s="58"/>
      <c r="E821" s="58"/>
      <c r="F821" s="58"/>
      <c r="G821" s="58"/>
      <c r="H821" s="373"/>
      <c r="I821" s="352"/>
      <c r="J821" s="352"/>
      <c r="K821" s="352"/>
      <c r="L821" s="352"/>
      <c r="M821" s="352"/>
      <c r="N821" s="352"/>
      <c r="O821" s="352"/>
      <c r="P821" s="352"/>
      <c r="Q821" s="352"/>
      <c r="R821" s="352"/>
    </row>
    <row r="822" ht="32.25" customHeight="1">
      <c r="A822" s="58"/>
      <c r="B822" s="149"/>
      <c r="C822" s="58"/>
      <c r="D822" s="58"/>
      <c r="E822" s="58"/>
      <c r="F822" s="58"/>
      <c r="G822" s="58"/>
      <c r="H822" s="373"/>
      <c r="I822" s="352"/>
      <c r="J822" s="352"/>
      <c r="K822" s="352"/>
      <c r="L822" s="352"/>
      <c r="M822" s="352"/>
      <c r="N822" s="352"/>
      <c r="O822" s="352"/>
      <c r="P822" s="352"/>
      <c r="Q822" s="352"/>
      <c r="R822" s="352"/>
    </row>
    <row r="823" ht="32.25" customHeight="1">
      <c r="A823" s="58"/>
      <c r="B823" s="149"/>
      <c r="C823" s="58"/>
      <c r="D823" s="58"/>
      <c r="E823" s="58"/>
      <c r="F823" s="58"/>
      <c r="G823" s="58"/>
      <c r="H823" s="373"/>
      <c r="I823" s="352"/>
      <c r="J823" s="352"/>
      <c r="K823" s="352"/>
      <c r="L823" s="352"/>
      <c r="M823" s="352"/>
      <c r="N823" s="352"/>
      <c r="O823" s="352"/>
      <c r="P823" s="352"/>
      <c r="Q823" s="352"/>
      <c r="R823" s="352"/>
    </row>
    <row r="824" ht="32.25" customHeight="1">
      <c r="A824" s="58"/>
      <c r="B824" s="149"/>
      <c r="C824" s="58"/>
      <c r="D824" s="58"/>
      <c r="E824" s="58"/>
      <c r="F824" s="58"/>
      <c r="G824" s="58"/>
      <c r="H824" s="373"/>
      <c r="I824" s="352"/>
      <c r="J824" s="352"/>
      <c r="K824" s="352"/>
      <c r="L824" s="352"/>
      <c r="M824" s="352"/>
      <c r="N824" s="352"/>
      <c r="O824" s="352"/>
      <c r="P824" s="352"/>
      <c r="Q824" s="352"/>
      <c r="R824" s="352"/>
    </row>
    <row r="825" ht="32.25" customHeight="1">
      <c r="A825" s="58"/>
      <c r="B825" s="149"/>
      <c r="C825" s="58"/>
      <c r="D825" s="58"/>
      <c r="E825" s="58"/>
      <c r="F825" s="58"/>
      <c r="G825" s="58"/>
      <c r="H825" s="373"/>
      <c r="I825" s="352"/>
      <c r="J825" s="352"/>
      <c r="K825" s="352"/>
      <c r="L825" s="352"/>
      <c r="M825" s="352"/>
      <c r="N825" s="352"/>
      <c r="O825" s="352"/>
      <c r="P825" s="352"/>
      <c r="Q825" s="352"/>
      <c r="R825" s="352"/>
    </row>
    <row r="826" ht="32.25" customHeight="1">
      <c r="A826" s="58"/>
      <c r="B826" s="149"/>
      <c r="C826" s="58"/>
      <c r="D826" s="58"/>
      <c r="E826" s="58"/>
      <c r="F826" s="58"/>
      <c r="G826" s="58"/>
      <c r="H826" s="373"/>
      <c r="I826" s="352"/>
      <c r="J826" s="352"/>
      <c r="K826" s="352"/>
      <c r="L826" s="352"/>
      <c r="M826" s="352"/>
      <c r="N826" s="352"/>
      <c r="O826" s="352"/>
      <c r="P826" s="352"/>
      <c r="Q826" s="352"/>
      <c r="R826" s="352"/>
    </row>
    <row r="827" ht="32.25" customHeight="1">
      <c r="A827" s="58"/>
      <c r="B827" s="149"/>
      <c r="C827" s="58"/>
      <c r="D827" s="58"/>
      <c r="E827" s="58"/>
      <c r="F827" s="58"/>
      <c r="G827" s="58"/>
      <c r="H827" s="373"/>
      <c r="I827" s="352"/>
      <c r="J827" s="352"/>
      <c r="K827" s="352"/>
      <c r="L827" s="352"/>
      <c r="M827" s="352"/>
      <c r="N827" s="352"/>
      <c r="O827" s="352"/>
      <c r="P827" s="352"/>
      <c r="Q827" s="352"/>
      <c r="R827" s="352"/>
    </row>
    <row r="828" ht="32.25" customHeight="1">
      <c r="A828" s="58"/>
      <c r="B828" s="149"/>
      <c r="C828" s="58"/>
      <c r="D828" s="58"/>
      <c r="E828" s="58"/>
      <c r="F828" s="58"/>
      <c r="G828" s="58"/>
      <c r="H828" s="373"/>
      <c r="I828" s="352"/>
      <c r="J828" s="352"/>
      <c r="K828" s="352"/>
      <c r="L828" s="352"/>
      <c r="M828" s="352"/>
      <c r="N828" s="352"/>
      <c r="O828" s="352"/>
      <c r="P828" s="352"/>
      <c r="Q828" s="352"/>
      <c r="R828" s="352"/>
    </row>
    <row r="829" ht="32.25" customHeight="1">
      <c r="A829" s="58"/>
      <c r="B829" s="149"/>
      <c r="C829" s="58"/>
      <c r="D829" s="58"/>
      <c r="E829" s="58"/>
      <c r="F829" s="58"/>
      <c r="G829" s="58"/>
      <c r="H829" s="373"/>
      <c r="I829" s="352"/>
      <c r="J829" s="352"/>
      <c r="K829" s="352"/>
      <c r="L829" s="352"/>
      <c r="M829" s="352"/>
      <c r="N829" s="352"/>
      <c r="O829" s="352"/>
      <c r="P829" s="352"/>
      <c r="Q829" s="352"/>
      <c r="R829" s="352"/>
    </row>
    <row r="830" ht="32.25" customHeight="1">
      <c r="A830" s="58"/>
      <c r="B830" s="149"/>
      <c r="C830" s="58"/>
      <c r="D830" s="58"/>
      <c r="E830" s="58"/>
      <c r="F830" s="58"/>
      <c r="G830" s="58"/>
      <c r="H830" s="373"/>
      <c r="I830" s="352"/>
      <c r="J830" s="352"/>
      <c r="K830" s="352"/>
      <c r="L830" s="352"/>
      <c r="M830" s="352"/>
      <c r="N830" s="352"/>
      <c r="O830" s="352"/>
      <c r="P830" s="352"/>
      <c r="Q830" s="352"/>
      <c r="R830" s="352"/>
    </row>
    <row r="831" ht="32.25" customHeight="1">
      <c r="A831" s="58"/>
      <c r="B831" s="149"/>
      <c r="C831" s="58"/>
      <c r="D831" s="58"/>
      <c r="E831" s="58"/>
      <c r="F831" s="58"/>
      <c r="G831" s="58"/>
      <c r="H831" s="373"/>
      <c r="I831" s="352"/>
      <c r="J831" s="352"/>
      <c r="K831" s="352"/>
      <c r="L831" s="352"/>
      <c r="M831" s="352"/>
      <c r="N831" s="352"/>
      <c r="O831" s="352"/>
      <c r="P831" s="352"/>
      <c r="Q831" s="352"/>
      <c r="R831" s="352"/>
    </row>
    <row r="832" ht="32.25" customHeight="1">
      <c r="A832" s="58"/>
      <c r="B832" s="149"/>
      <c r="C832" s="58"/>
      <c r="D832" s="58"/>
      <c r="E832" s="58"/>
      <c r="F832" s="58"/>
      <c r="G832" s="58"/>
      <c r="H832" s="373"/>
      <c r="I832" s="352"/>
      <c r="J832" s="352"/>
      <c r="K832" s="352"/>
      <c r="L832" s="352"/>
      <c r="M832" s="352"/>
      <c r="N832" s="352"/>
      <c r="O832" s="352"/>
      <c r="P832" s="352"/>
      <c r="Q832" s="352"/>
      <c r="R832" s="352"/>
    </row>
    <row r="833" ht="32.25" customHeight="1">
      <c r="A833" s="58"/>
      <c r="B833" s="149"/>
      <c r="C833" s="58"/>
      <c r="D833" s="58"/>
      <c r="E833" s="58"/>
      <c r="F833" s="58"/>
      <c r="G833" s="58"/>
      <c r="H833" s="373"/>
      <c r="I833" s="352"/>
      <c r="J833" s="352"/>
      <c r="K833" s="352"/>
      <c r="L833" s="352"/>
      <c r="M833" s="352"/>
      <c r="N833" s="352"/>
      <c r="O833" s="352"/>
      <c r="P833" s="352"/>
      <c r="Q833" s="352"/>
      <c r="R833" s="352"/>
    </row>
    <row r="834" ht="32.25" customHeight="1">
      <c r="A834" s="58"/>
      <c r="B834" s="149"/>
      <c r="C834" s="58"/>
      <c r="D834" s="58"/>
      <c r="E834" s="58"/>
      <c r="F834" s="58"/>
      <c r="G834" s="58"/>
      <c r="H834" s="373"/>
      <c r="I834" s="352"/>
      <c r="J834" s="352"/>
      <c r="K834" s="352"/>
      <c r="L834" s="352"/>
      <c r="M834" s="352"/>
      <c r="N834" s="352"/>
      <c r="O834" s="352"/>
      <c r="P834" s="352"/>
      <c r="Q834" s="352"/>
      <c r="R834" s="352"/>
    </row>
    <row r="835" ht="32.25" customHeight="1">
      <c r="A835" s="58"/>
      <c r="B835" s="149"/>
      <c r="C835" s="58"/>
      <c r="D835" s="58"/>
      <c r="E835" s="58"/>
      <c r="F835" s="58"/>
      <c r="G835" s="58"/>
      <c r="H835" s="373"/>
      <c r="I835" s="352"/>
      <c r="J835" s="352"/>
      <c r="K835" s="352"/>
      <c r="L835" s="352"/>
      <c r="M835" s="352"/>
      <c r="N835" s="352"/>
      <c r="O835" s="352"/>
      <c r="P835" s="352"/>
      <c r="Q835" s="352"/>
      <c r="R835" s="352"/>
    </row>
    <row r="836" ht="32.25" customHeight="1">
      <c r="A836" s="58"/>
      <c r="B836" s="149"/>
      <c r="C836" s="58"/>
      <c r="D836" s="58"/>
      <c r="E836" s="58"/>
      <c r="F836" s="58"/>
      <c r="G836" s="58"/>
      <c r="H836" s="373"/>
      <c r="I836" s="352"/>
      <c r="J836" s="352"/>
      <c r="K836" s="352"/>
      <c r="L836" s="352"/>
      <c r="M836" s="352"/>
      <c r="N836" s="352"/>
      <c r="O836" s="352"/>
      <c r="P836" s="352"/>
      <c r="Q836" s="352"/>
      <c r="R836" s="352"/>
    </row>
    <row r="837" ht="32.25" customHeight="1">
      <c r="A837" s="58"/>
      <c r="B837" s="149"/>
      <c r="C837" s="58"/>
      <c r="D837" s="58"/>
      <c r="E837" s="58"/>
      <c r="F837" s="58"/>
      <c r="G837" s="58"/>
      <c r="H837" s="373"/>
      <c r="I837" s="352"/>
      <c r="J837" s="352"/>
      <c r="K837" s="352"/>
      <c r="L837" s="352"/>
      <c r="M837" s="352"/>
      <c r="N837" s="352"/>
      <c r="O837" s="352"/>
      <c r="P837" s="352"/>
      <c r="Q837" s="352"/>
      <c r="R837" s="352"/>
    </row>
    <row r="838" ht="32.25" customHeight="1">
      <c r="A838" s="58"/>
      <c r="B838" s="149"/>
      <c r="C838" s="58"/>
      <c r="D838" s="58"/>
      <c r="E838" s="58"/>
      <c r="F838" s="58"/>
      <c r="G838" s="58"/>
      <c r="H838" s="373"/>
      <c r="I838" s="352"/>
      <c r="J838" s="352"/>
      <c r="K838" s="352"/>
      <c r="L838" s="352"/>
      <c r="M838" s="352"/>
      <c r="N838" s="352"/>
      <c r="O838" s="352"/>
      <c r="P838" s="352"/>
      <c r="Q838" s="352"/>
      <c r="R838" s="352"/>
    </row>
    <row r="839" ht="32.25" customHeight="1">
      <c r="A839" s="58"/>
      <c r="B839" s="149"/>
      <c r="C839" s="58"/>
      <c r="D839" s="58"/>
      <c r="E839" s="58"/>
      <c r="F839" s="58"/>
      <c r="G839" s="58"/>
      <c r="H839" s="373"/>
      <c r="I839" s="352"/>
      <c r="J839" s="352"/>
      <c r="K839" s="352"/>
      <c r="L839" s="352"/>
      <c r="M839" s="352"/>
      <c r="N839" s="352"/>
      <c r="O839" s="352"/>
      <c r="P839" s="352"/>
      <c r="Q839" s="352"/>
      <c r="R839" s="352"/>
    </row>
    <row r="840" ht="32.25" customHeight="1">
      <c r="A840" s="58"/>
      <c r="B840" s="149"/>
      <c r="C840" s="58"/>
      <c r="D840" s="58"/>
      <c r="E840" s="58"/>
      <c r="F840" s="58"/>
      <c r="G840" s="58"/>
      <c r="H840" s="373"/>
      <c r="I840" s="352"/>
      <c r="J840" s="352"/>
      <c r="K840" s="352"/>
      <c r="L840" s="352"/>
      <c r="M840" s="352"/>
      <c r="N840" s="352"/>
      <c r="O840" s="352"/>
      <c r="P840" s="352"/>
      <c r="Q840" s="352"/>
      <c r="R840" s="352"/>
    </row>
    <row r="841" ht="32.25" customHeight="1">
      <c r="A841" s="58"/>
      <c r="B841" s="149"/>
      <c r="C841" s="58"/>
      <c r="D841" s="58"/>
      <c r="E841" s="58"/>
      <c r="F841" s="58"/>
      <c r="G841" s="58"/>
      <c r="H841" s="373"/>
      <c r="I841" s="352"/>
      <c r="J841" s="352"/>
      <c r="K841" s="352"/>
      <c r="L841" s="352"/>
      <c r="M841" s="352"/>
      <c r="N841" s="352"/>
      <c r="O841" s="352"/>
      <c r="P841" s="352"/>
      <c r="Q841" s="352"/>
      <c r="R841" s="352"/>
    </row>
    <row r="842" ht="32.25" customHeight="1">
      <c r="A842" s="58"/>
      <c r="B842" s="149"/>
      <c r="C842" s="58"/>
      <c r="D842" s="58"/>
      <c r="E842" s="58"/>
      <c r="F842" s="58"/>
      <c r="G842" s="58"/>
      <c r="H842" s="373"/>
      <c r="I842" s="352"/>
      <c r="J842" s="352"/>
      <c r="K842" s="352"/>
      <c r="L842" s="352"/>
      <c r="M842" s="352"/>
      <c r="N842" s="352"/>
      <c r="O842" s="352"/>
      <c r="P842" s="352"/>
      <c r="Q842" s="352"/>
      <c r="R842" s="352"/>
    </row>
    <row r="843" ht="32.25" customHeight="1">
      <c r="A843" s="58"/>
      <c r="B843" s="149"/>
      <c r="C843" s="58"/>
      <c r="D843" s="58"/>
      <c r="E843" s="58"/>
      <c r="F843" s="58"/>
      <c r="G843" s="58"/>
      <c r="H843" s="373"/>
      <c r="I843" s="352"/>
      <c r="J843" s="352"/>
      <c r="K843" s="352"/>
      <c r="L843" s="352"/>
      <c r="M843" s="352"/>
      <c r="N843" s="352"/>
      <c r="O843" s="352"/>
      <c r="P843" s="352"/>
      <c r="Q843" s="352"/>
      <c r="R843" s="352"/>
    </row>
    <row r="844" ht="32.25" customHeight="1">
      <c r="A844" s="58"/>
      <c r="B844" s="149"/>
      <c r="C844" s="58"/>
      <c r="D844" s="58"/>
      <c r="E844" s="58"/>
      <c r="F844" s="58"/>
      <c r="G844" s="58"/>
      <c r="H844" s="373"/>
      <c r="I844" s="352"/>
      <c r="J844" s="352"/>
      <c r="K844" s="352"/>
      <c r="L844" s="352"/>
      <c r="M844" s="352"/>
      <c r="N844" s="352"/>
      <c r="O844" s="352"/>
      <c r="P844" s="352"/>
      <c r="Q844" s="352"/>
      <c r="R844" s="352"/>
    </row>
    <row r="845" ht="32.25" customHeight="1">
      <c r="A845" s="58"/>
      <c r="B845" s="149"/>
      <c r="C845" s="58"/>
      <c r="D845" s="58"/>
      <c r="E845" s="58"/>
      <c r="F845" s="58"/>
      <c r="G845" s="58"/>
      <c r="H845" s="373"/>
      <c r="I845" s="352"/>
      <c r="J845" s="352"/>
      <c r="K845" s="352"/>
      <c r="L845" s="352"/>
      <c r="M845" s="352"/>
      <c r="N845" s="352"/>
      <c r="O845" s="352"/>
      <c r="P845" s="352"/>
      <c r="Q845" s="352"/>
      <c r="R845" s="352"/>
    </row>
    <row r="846" ht="32.25" customHeight="1">
      <c r="A846" s="58"/>
      <c r="B846" s="149"/>
      <c r="C846" s="58"/>
      <c r="D846" s="58"/>
      <c r="E846" s="58"/>
      <c r="F846" s="58"/>
      <c r="G846" s="58"/>
      <c r="H846" s="373"/>
      <c r="I846" s="352"/>
      <c r="J846" s="352"/>
      <c r="K846" s="352"/>
      <c r="L846" s="352"/>
      <c r="M846" s="352"/>
      <c r="N846" s="352"/>
      <c r="O846" s="352"/>
      <c r="P846" s="352"/>
      <c r="Q846" s="352"/>
      <c r="R846" s="352"/>
    </row>
    <row r="847" ht="32.25" customHeight="1">
      <c r="A847" s="58"/>
      <c r="B847" s="149"/>
      <c r="C847" s="58"/>
      <c r="D847" s="58"/>
      <c r="E847" s="58"/>
      <c r="F847" s="58"/>
      <c r="G847" s="58"/>
      <c r="H847" s="373"/>
      <c r="I847" s="352"/>
      <c r="J847" s="352"/>
      <c r="K847" s="352"/>
      <c r="L847" s="352"/>
      <c r="M847" s="352"/>
      <c r="N847" s="352"/>
      <c r="O847" s="352"/>
      <c r="P847" s="352"/>
      <c r="Q847" s="352"/>
      <c r="R847" s="352"/>
    </row>
    <row r="848" ht="32.25" customHeight="1">
      <c r="A848" s="58"/>
      <c r="B848" s="149"/>
      <c r="C848" s="58"/>
      <c r="D848" s="58"/>
      <c r="E848" s="58"/>
      <c r="F848" s="58"/>
      <c r="G848" s="58"/>
      <c r="H848" s="373"/>
      <c r="I848" s="352"/>
      <c r="J848" s="352"/>
      <c r="K848" s="352"/>
      <c r="L848" s="352"/>
      <c r="M848" s="352"/>
      <c r="N848" s="352"/>
      <c r="O848" s="352"/>
      <c r="P848" s="352"/>
      <c r="Q848" s="352"/>
      <c r="R848" s="352"/>
    </row>
    <row r="849" ht="32.25" customHeight="1">
      <c r="A849" s="58"/>
      <c r="B849" s="149"/>
      <c r="C849" s="58"/>
      <c r="D849" s="58"/>
      <c r="E849" s="58"/>
      <c r="F849" s="58"/>
      <c r="G849" s="58"/>
      <c r="H849" s="373"/>
      <c r="I849" s="352"/>
      <c r="J849" s="352"/>
      <c r="K849" s="352"/>
      <c r="L849" s="352"/>
      <c r="M849" s="352"/>
      <c r="N849" s="352"/>
      <c r="O849" s="352"/>
      <c r="P849" s="352"/>
      <c r="Q849" s="352"/>
      <c r="R849" s="352"/>
    </row>
    <row r="850" ht="32.25" customHeight="1">
      <c r="A850" s="58"/>
      <c r="B850" s="149"/>
      <c r="C850" s="58"/>
      <c r="D850" s="58"/>
      <c r="E850" s="58"/>
      <c r="F850" s="58"/>
      <c r="G850" s="58"/>
      <c r="H850" s="373"/>
      <c r="I850" s="352"/>
      <c r="J850" s="352"/>
      <c r="K850" s="352"/>
      <c r="L850" s="352"/>
      <c r="M850" s="352"/>
      <c r="N850" s="352"/>
      <c r="O850" s="352"/>
      <c r="P850" s="352"/>
      <c r="Q850" s="352"/>
      <c r="R850" s="352"/>
    </row>
    <row r="851" ht="32.25" customHeight="1">
      <c r="A851" s="58"/>
      <c r="B851" s="149"/>
      <c r="C851" s="58"/>
      <c r="D851" s="58"/>
      <c r="E851" s="58"/>
      <c r="F851" s="58"/>
      <c r="G851" s="58"/>
      <c r="H851" s="373"/>
      <c r="I851" s="352"/>
      <c r="J851" s="352"/>
      <c r="K851" s="352"/>
      <c r="L851" s="352"/>
      <c r="M851" s="352"/>
      <c r="N851" s="352"/>
      <c r="O851" s="352"/>
      <c r="P851" s="352"/>
      <c r="Q851" s="352"/>
      <c r="R851" s="352"/>
    </row>
    <row r="852" ht="32.25" customHeight="1">
      <c r="A852" s="58"/>
      <c r="B852" s="149"/>
      <c r="C852" s="58"/>
      <c r="D852" s="58"/>
      <c r="E852" s="58"/>
      <c r="F852" s="58"/>
      <c r="G852" s="58"/>
      <c r="H852" s="373"/>
      <c r="I852" s="352"/>
      <c r="J852" s="352"/>
      <c r="K852" s="352"/>
      <c r="L852" s="352"/>
      <c r="M852" s="352"/>
      <c r="N852" s="352"/>
      <c r="O852" s="352"/>
      <c r="P852" s="352"/>
      <c r="Q852" s="352"/>
      <c r="R852" s="352"/>
    </row>
    <row r="853" ht="32.25" customHeight="1">
      <c r="A853" s="58"/>
      <c r="B853" s="149"/>
      <c r="C853" s="58"/>
      <c r="D853" s="58"/>
      <c r="E853" s="58"/>
      <c r="F853" s="58"/>
      <c r="G853" s="58"/>
      <c r="H853" s="373"/>
      <c r="I853" s="352"/>
      <c r="J853" s="352"/>
      <c r="K853" s="352"/>
      <c r="L853" s="352"/>
      <c r="M853" s="352"/>
      <c r="N853" s="352"/>
      <c r="O853" s="352"/>
      <c r="P853" s="352"/>
      <c r="Q853" s="352"/>
      <c r="R853" s="352"/>
    </row>
    <row r="854" ht="32.25" customHeight="1">
      <c r="A854" s="58"/>
      <c r="B854" s="149"/>
      <c r="C854" s="58"/>
      <c r="D854" s="58"/>
      <c r="E854" s="58"/>
      <c r="F854" s="58"/>
      <c r="G854" s="58"/>
      <c r="H854" s="373"/>
      <c r="I854" s="352"/>
      <c r="J854" s="352"/>
      <c r="K854" s="352"/>
      <c r="L854" s="352"/>
      <c r="M854" s="352"/>
      <c r="N854" s="352"/>
      <c r="O854" s="352"/>
      <c r="P854" s="352"/>
      <c r="Q854" s="352"/>
      <c r="R854" s="352"/>
    </row>
    <row r="855" ht="32.25" customHeight="1">
      <c r="A855" s="58"/>
      <c r="B855" s="149"/>
      <c r="C855" s="58"/>
      <c r="D855" s="58"/>
      <c r="E855" s="58"/>
      <c r="F855" s="58"/>
      <c r="G855" s="58"/>
      <c r="H855" s="373"/>
      <c r="I855" s="352"/>
      <c r="J855" s="352"/>
      <c r="K855" s="352"/>
      <c r="L855" s="352"/>
      <c r="M855" s="352"/>
      <c r="N855" s="352"/>
      <c r="O855" s="352"/>
      <c r="P855" s="352"/>
      <c r="Q855" s="352"/>
      <c r="R855" s="352"/>
    </row>
    <row r="856" ht="32.25" customHeight="1">
      <c r="A856" s="58"/>
      <c r="B856" s="149"/>
      <c r="C856" s="58"/>
      <c r="D856" s="58"/>
      <c r="E856" s="58"/>
      <c r="F856" s="58"/>
      <c r="G856" s="58"/>
      <c r="H856" s="373"/>
      <c r="I856" s="352"/>
      <c r="J856" s="352"/>
      <c r="K856" s="352"/>
      <c r="L856" s="352"/>
      <c r="M856" s="352"/>
      <c r="N856" s="352"/>
      <c r="O856" s="352"/>
      <c r="P856" s="352"/>
      <c r="Q856" s="352"/>
      <c r="R856" s="352"/>
    </row>
    <row r="857" ht="32.25" customHeight="1">
      <c r="A857" s="58"/>
      <c r="B857" s="149"/>
      <c r="C857" s="58"/>
      <c r="D857" s="58"/>
      <c r="E857" s="58"/>
      <c r="F857" s="58"/>
      <c r="G857" s="58"/>
      <c r="H857" s="373"/>
      <c r="I857" s="352"/>
      <c r="J857" s="352"/>
      <c r="K857" s="352"/>
      <c r="L857" s="352"/>
      <c r="M857" s="352"/>
      <c r="N857" s="352"/>
      <c r="O857" s="352"/>
      <c r="P857" s="352"/>
      <c r="Q857" s="352"/>
      <c r="R857" s="352"/>
    </row>
    <row r="858" ht="32.25" customHeight="1">
      <c r="A858" s="58"/>
      <c r="B858" s="149"/>
      <c r="C858" s="58"/>
      <c r="D858" s="58"/>
      <c r="E858" s="58"/>
      <c r="F858" s="58"/>
      <c r="G858" s="58"/>
      <c r="H858" s="373"/>
      <c r="I858" s="352"/>
      <c r="J858" s="352"/>
      <c r="K858" s="352"/>
      <c r="L858" s="352"/>
      <c r="M858" s="352"/>
      <c r="N858" s="352"/>
      <c r="O858" s="352"/>
      <c r="P858" s="352"/>
      <c r="Q858" s="352"/>
      <c r="R858" s="352"/>
    </row>
    <row r="859" ht="32.25" customHeight="1">
      <c r="A859" s="58"/>
      <c r="B859" s="149"/>
      <c r="C859" s="58"/>
      <c r="D859" s="58"/>
      <c r="E859" s="58"/>
      <c r="F859" s="58"/>
      <c r="G859" s="58"/>
      <c r="H859" s="373"/>
      <c r="I859" s="352"/>
      <c r="J859" s="352"/>
      <c r="K859" s="352"/>
      <c r="L859" s="352"/>
      <c r="M859" s="352"/>
      <c r="N859" s="352"/>
      <c r="O859" s="352"/>
      <c r="P859" s="352"/>
      <c r="Q859" s="352"/>
      <c r="R859" s="352"/>
    </row>
    <row r="860" ht="32.25" customHeight="1">
      <c r="A860" s="58"/>
      <c r="B860" s="149"/>
      <c r="C860" s="58"/>
      <c r="D860" s="58"/>
      <c r="E860" s="58"/>
      <c r="F860" s="58"/>
      <c r="G860" s="58"/>
      <c r="H860" s="373"/>
      <c r="I860" s="352"/>
      <c r="J860" s="352"/>
      <c r="K860" s="352"/>
      <c r="L860" s="352"/>
      <c r="M860" s="352"/>
      <c r="N860" s="352"/>
      <c r="O860" s="352"/>
      <c r="P860" s="352"/>
      <c r="Q860" s="352"/>
      <c r="R860" s="352"/>
    </row>
    <row r="861" ht="32.25" customHeight="1">
      <c r="A861" s="58"/>
      <c r="B861" s="149"/>
      <c r="C861" s="58"/>
      <c r="D861" s="58"/>
      <c r="E861" s="58"/>
      <c r="F861" s="58"/>
      <c r="G861" s="58"/>
      <c r="H861" s="373"/>
      <c r="I861" s="352"/>
      <c r="J861" s="352"/>
      <c r="K861" s="352"/>
      <c r="L861" s="352"/>
      <c r="M861" s="352"/>
      <c r="N861" s="352"/>
      <c r="O861" s="352"/>
      <c r="P861" s="352"/>
      <c r="Q861" s="352"/>
      <c r="R861" s="352"/>
    </row>
    <row r="862" ht="32.25" customHeight="1">
      <c r="A862" s="58"/>
      <c r="B862" s="149"/>
      <c r="C862" s="58"/>
      <c r="D862" s="58"/>
      <c r="E862" s="58"/>
      <c r="F862" s="58"/>
      <c r="G862" s="58"/>
      <c r="H862" s="373"/>
      <c r="I862" s="352"/>
      <c r="J862" s="352"/>
      <c r="K862" s="352"/>
      <c r="L862" s="352"/>
      <c r="M862" s="352"/>
      <c r="N862" s="352"/>
      <c r="O862" s="352"/>
      <c r="P862" s="352"/>
      <c r="Q862" s="352"/>
      <c r="R862" s="352"/>
    </row>
    <row r="863" ht="32.25" customHeight="1">
      <c r="A863" s="58"/>
      <c r="B863" s="149"/>
      <c r="C863" s="58"/>
      <c r="D863" s="58"/>
      <c r="E863" s="58"/>
      <c r="F863" s="58"/>
      <c r="G863" s="58"/>
      <c r="H863" s="373"/>
      <c r="I863" s="352"/>
      <c r="J863" s="352"/>
      <c r="K863" s="352"/>
      <c r="L863" s="352"/>
      <c r="M863" s="352"/>
      <c r="N863" s="352"/>
      <c r="O863" s="352"/>
      <c r="P863" s="352"/>
      <c r="Q863" s="352"/>
      <c r="R863" s="352"/>
    </row>
    <row r="864" ht="32.25" customHeight="1">
      <c r="A864" s="58"/>
      <c r="B864" s="149"/>
      <c r="C864" s="58"/>
      <c r="D864" s="58"/>
      <c r="E864" s="58"/>
      <c r="F864" s="58"/>
      <c r="G864" s="58"/>
      <c r="H864" s="373"/>
      <c r="I864" s="352"/>
      <c r="J864" s="352"/>
      <c r="K864" s="352"/>
      <c r="L864" s="352"/>
      <c r="M864" s="352"/>
      <c r="N864" s="352"/>
      <c r="O864" s="352"/>
      <c r="P864" s="352"/>
      <c r="Q864" s="352"/>
      <c r="R864" s="352"/>
    </row>
    <row r="865" ht="32.25" customHeight="1">
      <c r="A865" s="58"/>
      <c r="B865" s="149"/>
      <c r="C865" s="58"/>
      <c r="D865" s="58"/>
      <c r="E865" s="58"/>
      <c r="F865" s="58"/>
      <c r="G865" s="58"/>
      <c r="H865" s="373"/>
      <c r="I865" s="352"/>
      <c r="J865" s="352"/>
      <c r="K865" s="352"/>
      <c r="L865" s="352"/>
      <c r="M865" s="352"/>
      <c r="N865" s="352"/>
      <c r="O865" s="352"/>
      <c r="P865" s="352"/>
      <c r="Q865" s="352"/>
      <c r="R865" s="352"/>
    </row>
    <row r="866" ht="32.25" customHeight="1">
      <c r="A866" s="58"/>
      <c r="B866" s="149"/>
      <c r="C866" s="58"/>
      <c r="D866" s="58"/>
      <c r="E866" s="58"/>
      <c r="F866" s="58"/>
      <c r="G866" s="58"/>
      <c r="H866" s="373"/>
      <c r="I866" s="352"/>
      <c r="J866" s="352"/>
      <c r="K866" s="352"/>
      <c r="L866" s="352"/>
      <c r="M866" s="352"/>
      <c r="N866" s="352"/>
      <c r="O866" s="352"/>
      <c r="P866" s="352"/>
      <c r="Q866" s="352"/>
      <c r="R866" s="352"/>
    </row>
    <row r="867" ht="32.25" customHeight="1">
      <c r="A867" s="58"/>
      <c r="B867" s="149"/>
      <c r="C867" s="58"/>
      <c r="D867" s="58"/>
      <c r="E867" s="58"/>
      <c r="F867" s="58"/>
      <c r="G867" s="58"/>
      <c r="H867" s="373"/>
      <c r="I867" s="352"/>
      <c r="J867" s="352"/>
      <c r="K867" s="352"/>
      <c r="L867" s="352"/>
      <c r="M867" s="352"/>
      <c r="N867" s="352"/>
      <c r="O867" s="352"/>
      <c r="P867" s="352"/>
      <c r="Q867" s="352"/>
      <c r="R867" s="352"/>
    </row>
    <row r="868" ht="32.25" customHeight="1">
      <c r="A868" s="58"/>
      <c r="B868" s="149"/>
      <c r="C868" s="58"/>
      <c r="D868" s="58"/>
      <c r="E868" s="58"/>
      <c r="F868" s="58"/>
      <c r="G868" s="58"/>
      <c r="H868" s="373"/>
      <c r="I868" s="352"/>
      <c r="J868" s="352"/>
      <c r="K868" s="352"/>
      <c r="L868" s="352"/>
      <c r="M868" s="352"/>
      <c r="N868" s="352"/>
      <c r="O868" s="352"/>
      <c r="P868" s="352"/>
      <c r="Q868" s="352"/>
      <c r="R868" s="352"/>
    </row>
    <row r="869" ht="32.25" customHeight="1">
      <c r="A869" s="58"/>
      <c r="B869" s="149"/>
      <c r="C869" s="58"/>
      <c r="D869" s="58"/>
      <c r="E869" s="58"/>
      <c r="F869" s="58"/>
      <c r="G869" s="58"/>
      <c r="H869" s="373"/>
      <c r="I869" s="352"/>
      <c r="J869" s="352"/>
      <c r="K869" s="352"/>
      <c r="L869" s="352"/>
      <c r="M869" s="352"/>
      <c r="N869" s="352"/>
      <c r="O869" s="352"/>
      <c r="P869" s="352"/>
      <c r="Q869" s="352"/>
      <c r="R869" s="352"/>
    </row>
    <row r="870" ht="32.25" customHeight="1">
      <c r="A870" s="58"/>
      <c r="B870" s="149"/>
      <c r="C870" s="58"/>
      <c r="D870" s="58"/>
      <c r="E870" s="58"/>
      <c r="F870" s="58"/>
      <c r="G870" s="58"/>
      <c r="H870" s="373"/>
      <c r="I870" s="352"/>
      <c r="J870" s="352"/>
      <c r="K870" s="352"/>
      <c r="L870" s="352"/>
      <c r="M870" s="352"/>
      <c r="N870" s="352"/>
      <c r="O870" s="352"/>
      <c r="P870" s="352"/>
      <c r="Q870" s="352"/>
      <c r="R870" s="352"/>
    </row>
    <row r="871" ht="32.25" customHeight="1">
      <c r="A871" s="58"/>
      <c r="B871" s="149"/>
      <c r="C871" s="58"/>
      <c r="D871" s="58"/>
      <c r="E871" s="58"/>
      <c r="F871" s="58"/>
      <c r="G871" s="58"/>
      <c r="H871" s="373"/>
      <c r="I871" s="352"/>
      <c r="J871" s="352"/>
      <c r="K871" s="352"/>
      <c r="L871" s="352"/>
      <c r="M871" s="352"/>
      <c r="N871" s="352"/>
      <c r="O871" s="352"/>
      <c r="P871" s="352"/>
      <c r="Q871" s="352"/>
      <c r="R871" s="352"/>
    </row>
    <row r="872" ht="32.25" customHeight="1">
      <c r="A872" s="58"/>
      <c r="B872" s="149"/>
      <c r="C872" s="58"/>
      <c r="D872" s="58"/>
      <c r="E872" s="58"/>
      <c r="F872" s="58"/>
      <c r="G872" s="58"/>
      <c r="H872" s="373"/>
      <c r="I872" s="352"/>
      <c r="J872" s="352"/>
      <c r="K872" s="352"/>
      <c r="L872" s="352"/>
      <c r="M872" s="352"/>
      <c r="N872" s="352"/>
      <c r="O872" s="352"/>
      <c r="P872" s="352"/>
      <c r="Q872" s="352"/>
      <c r="R872" s="352"/>
    </row>
    <row r="873" ht="32.25" customHeight="1">
      <c r="A873" s="58"/>
      <c r="B873" s="149"/>
      <c r="C873" s="58"/>
      <c r="D873" s="58"/>
      <c r="E873" s="58"/>
      <c r="F873" s="58"/>
      <c r="G873" s="58"/>
      <c r="H873" s="373"/>
      <c r="I873" s="352"/>
      <c r="J873" s="352"/>
      <c r="K873" s="352"/>
      <c r="L873" s="352"/>
      <c r="M873" s="352"/>
      <c r="N873" s="352"/>
      <c r="O873" s="352"/>
      <c r="P873" s="352"/>
      <c r="Q873" s="352"/>
      <c r="R873" s="352"/>
    </row>
    <row r="874" ht="32.25" customHeight="1">
      <c r="A874" s="58"/>
      <c r="B874" s="149"/>
      <c r="C874" s="58"/>
      <c r="D874" s="58"/>
      <c r="E874" s="58"/>
      <c r="F874" s="58"/>
      <c r="G874" s="58"/>
      <c r="H874" s="373"/>
      <c r="I874" s="352"/>
      <c r="J874" s="352"/>
      <c r="K874" s="352"/>
      <c r="L874" s="352"/>
      <c r="M874" s="352"/>
      <c r="N874" s="352"/>
      <c r="O874" s="352"/>
      <c r="P874" s="352"/>
      <c r="Q874" s="352"/>
      <c r="R874" s="352"/>
    </row>
    <row r="875" ht="32.25" customHeight="1">
      <c r="A875" s="58"/>
      <c r="B875" s="149"/>
      <c r="C875" s="58"/>
      <c r="D875" s="58"/>
      <c r="E875" s="58"/>
      <c r="F875" s="58"/>
      <c r="G875" s="58"/>
      <c r="H875" s="373"/>
      <c r="I875" s="352"/>
      <c r="J875" s="352"/>
      <c r="K875" s="352"/>
      <c r="L875" s="352"/>
      <c r="M875" s="352"/>
      <c r="N875" s="352"/>
      <c r="O875" s="352"/>
      <c r="P875" s="352"/>
      <c r="Q875" s="352"/>
      <c r="R875" s="352"/>
    </row>
    <row r="876" ht="32.25" customHeight="1">
      <c r="A876" s="58"/>
      <c r="B876" s="149"/>
      <c r="C876" s="58"/>
      <c r="D876" s="58"/>
      <c r="E876" s="58"/>
      <c r="F876" s="58"/>
      <c r="G876" s="58"/>
      <c r="H876" s="373"/>
      <c r="I876" s="352"/>
      <c r="J876" s="352"/>
      <c r="K876" s="352"/>
      <c r="L876" s="352"/>
      <c r="M876" s="352"/>
      <c r="N876" s="352"/>
      <c r="O876" s="352"/>
      <c r="P876" s="352"/>
      <c r="Q876" s="352"/>
      <c r="R876" s="352"/>
    </row>
    <row r="877" ht="32.25" customHeight="1">
      <c r="A877" s="58"/>
      <c r="B877" s="149"/>
      <c r="C877" s="58"/>
      <c r="D877" s="58"/>
      <c r="E877" s="58"/>
      <c r="F877" s="58"/>
      <c r="G877" s="58"/>
      <c r="H877" s="373"/>
      <c r="I877" s="352"/>
      <c r="J877" s="352"/>
      <c r="K877" s="352"/>
      <c r="L877" s="352"/>
      <c r="M877" s="352"/>
      <c r="N877" s="352"/>
      <c r="O877" s="352"/>
      <c r="P877" s="352"/>
      <c r="Q877" s="352"/>
      <c r="R877" s="352"/>
    </row>
    <row r="878" ht="32.25" customHeight="1">
      <c r="A878" s="58"/>
      <c r="B878" s="149"/>
      <c r="C878" s="58"/>
      <c r="D878" s="58"/>
      <c r="E878" s="58"/>
      <c r="F878" s="58"/>
      <c r="G878" s="58"/>
      <c r="H878" s="373"/>
      <c r="I878" s="352"/>
      <c r="J878" s="352"/>
      <c r="K878" s="352"/>
      <c r="L878" s="352"/>
      <c r="M878" s="352"/>
      <c r="N878" s="352"/>
      <c r="O878" s="352"/>
      <c r="P878" s="352"/>
      <c r="Q878" s="352"/>
      <c r="R878" s="352"/>
    </row>
    <row r="879" ht="32.25" customHeight="1">
      <c r="A879" s="58"/>
      <c r="B879" s="149"/>
      <c r="C879" s="58"/>
      <c r="D879" s="58"/>
      <c r="E879" s="58"/>
      <c r="F879" s="58"/>
      <c r="G879" s="58"/>
      <c r="H879" s="373"/>
      <c r="I879" s="352"/>
      <c r="J879" s="352"/>
      <c r="K879" s="352"/>
      <c r="L879" s="352"/>
      <c r="M879" s="352"/>
      <c r="N879" s="352"/>
      <c r="O879" s="352"/>
      <c r="P879" s="352"/>
      <c r="Q879" s="352"/>
      <c r="R879" s="352"/>
    </row>
    <row r="880" ht="32.25" customHeight="1">
      <c r="A880" s="58"/>
      <c r="B880" s="149"/>
      <c r="C880" s="58"/>
      <c r="D880" s="58"/>
      <c r="E880" s="58"/>
      <c r="F880" s="58"/>
      <c r="G880" s="58"/>
      <c r="H880" s="373"/>
      <c r="I880" s="352"/>
      <c r="J880" s="352"/>
      <c r="K880" s="352"/>
      <c r="L880" s="352"/>
      <c r="M880" s="352"/>
      <c r="N880" s="352"/>
      <c r="O880" s="352"/>
      <c r="P880" s="352"/>
      <c r="Q880" s="352"/>
      <c r="R880" s="352"/>
    </row>
    <row r="881" ht="32.25" customHeight="1">
      <c r="A881" s="58"/>
      <c r="B881" s="149"/>
      <c r="C881" s="58"/>
      <c r="D881" s="58"/>
      <c r="E881" s="58"/>
      <c r="F881" s="58"/>
      <c r="G881" s="58"/>
      <c r="H881" s="373"/>
      <c r="I881" s="352"/>
      <c r="J881" s="352"/>
      <c r="K881" s="352"/>
      <c r="L881" s="352"/>
      <c r="M881" s="352"/>
      <c r="N881" s="352"/>
      <c r="O881" s="352"/>
      <c r="P881" s="352"/>
      <c r="Q881" s="352"/>
      <c r="R881" s="352"/>
    </row>
    <row r="882" ht="32.25" customHeight="1">
      <c r="A882" s="58"/>
      <c r="B882" s="149"/>
      <c r="C882" s="58"/>
      <c r="D882" s="58"/>
      <c r="E882" s="58"/>
      <c r="F882" s="58"/>
      <c r="G882" s="58"/>
      <c r="H882" s="373"/>
      <c r="I882" s="352"/>
      <c r="J882" s="352"/>
      <c r="K882" s="352"/>
      <c r="L882" s="352"/>
      <c r="M882" s="352"/>
      <c r="N882" s="352"/>
      <c r="O882" s="352"/>
      <c r="P882" s="352"/>
      <c r="Q882" s="352"/>
      <c r="R882" s="352"/>
    </row>
    <row r="883" ht="32.25" customHeight="1">
      <c r="A883" s="58"/>
      <c r="B883" s="149"/>
      <c r="C883" s="58"/>
      <c r="D883" s="58"/>
      <c r="E883" s="58"/>
      <c r="F883" s="58"/>
      <c r="G883" s="58"/>
      <c r="H883" s="373"/>
      <c r="I883" s="352"/>
      <c r="J883" s="352"/>
      <c r="K883" s="352"/>
      <c r="L883" s="352"/>
      <c r="M883" s="352"/>
      <c r="N883" s="352"/>
      <c r="O883" s="352"/>
      <c r="P883" s="352"/>
      <c r="Q883" s="352"/>
      <c r="R883" s="352"/>
    </row>
    <row r="884" ht="32.25" customHeight="1">
      <c r="A884" s="58"/>
      <c r="B884" s="149"/>
      <c r="C884" s="58"/>
      <c r="D884" s="58"/>
      <c r="E884" s="58"/>
      <c r="F884" s="58"/>
      <c r="G884" s="58"/>
      <c r="H884" s="373"/>
      <c r="I884" s="352"/>
      <c r="J884" s="352"/>
      <c r="K884" s="352"/>
      <c r="L884" s="352"/>
      <c r="M884" s="352"/>
      <c r="N884" s="352"/>
      <c r="O884" s="352"/>
      <c r="P884" s="352"/>
      <c r="Q884" s="352"/>
      <c r="R884" s="352"/>
    </row>
    <row r="885" ht="32.25" customHeight="1">
      <c r="A885" s="58"/>
      <c r="B885" s="149"/>
      <c r="C885" s="58"/>
      <c r="D885" s="58"/>
      <c r="E885" s="58"/>
      <c r="F885" s="58"/>
      <c r="G885" s="58"/>
      <c r="H885" s="373"/>
      <c r="I885" s="352"/>
      <c r="J885" s="352"/>
      <c r="K885" s="352"/>
      <c r="L885" s="352"/>
      <c r="M885" s="352"/>
      <c r="N885" s="352"/>
      <c r="O885" s="352"/>
      <c r="P885" s="352"/>
      <c r="Q885" s="352"/>
      <c r="R885" s="352"/>
    </row>
    <row r="886" ht="32.25" customHeight="1">
      <c r="A886" s="58"/>
      <c r="B886" s="149"/>
      <c r="C886" s="58"/>
      <c r="D886" s="58"/>
      <c r="E886" s="58"/>
      <c r="F886" s="58"/>
      <c r="G886" s="58"/>
      <c r="H886" s="373"/>
      <c r="I886" s="352"/>
      <c r="J886" s="352"/>
      <c r="K886" s="352"/>
      <c r="L886" s="352"/>
      <c r="M886" s="352"/>
      <c r="N886" s="352"/>
      <c r="O886" s="352"/>
      <c r="P886" s="352"/>
      <c r="Q886" s="352"/>
      <c r="R886" s="352"/>
    </row>
    <row r="887" ht="32.25" customHeight="1">
      <c r="A887" s="58"/>
      <c r="B887" s="149"/>
      <c r="C887" s="58"/>
      <c r="D887" s="58"/>
      <c r="E887" s="58"/>
      <c r="F887" s="58"/>
      <c r="G887" s="58"/>
      <c r="H887" s="373"/>
      <c r="I887" s="352"/>
      <c r="J887" s="352"/>
      <c r="K887" s="352"/>
      <c r="L887" s="352"/>
      <c r="M887" s="352"/>
      <c r="N887" s="352"/>
      <c r="O887" s="352"/>
      <c r="P887" s="352"/>
      <c r="Q887" s="352"/>
      <c r="R887" s="352"/>
    </row>
    <row r="888" ht="32.25" customHeight="1">
      <c r="A888" s="58"/>
      <c r="B888" s="149"/>
      <c r="C888" s="58"/>
      <c r="D888" s="58"/>
      <c r="E888" s="58"/>
      <c r="F888" s="58"/>
      <c r="G888" s="58"/>
      <c r="H888" s="373"/>
      <c r="I888" s="352"/>
      <c r="J888" s="352"/>
      <c r="K888" s="352"/>
      <c r="L888" s="352"/>
      <c r="M888" s="352"/>
      <c r="N888" s="352"/>
      <c r="O888" s="352"/>
      <c r="P888" s="352"/>
      <c r="Q888" s="352"/>
      <c r="R888" s="352"/>
    </row>
    <row r="889" ht="32.25" customHeight="1">
      <c r="A889" s="58"/>
      <c r="B889" s="149"/>
      <c r="C889" s="58"/>
      <c r="D889" s="58"/>
      <c r="E889" s="58"/>
      <c r="F889" s="58"/>
      <c r="G889" s="58"/>
      <c r="H889" s="373"/>
      <c r="I889" s="352"/>
      <c r="J889" s="352"/>
      <c r="K889" s="352"/>
      <c r="L889" s="352"/>
      <c r="M889" s="352"/>
      <c r="N889" s="352"/>
      <c r="O889" s="352"/>
      <c r="P889" s="352"/>
      <c r="Q889" s="352"/>
      <c r="R889" s="352"/>
    </row>
    <row r="890" ht="32.25" customHeight="1">
      <c r="A890" s="58"/>
      <c r="B890" s="149"/>
      <c r="C890" s="58"/>
      <c r="D890" s="58"/>
      <c r="E890" s="58"/>
      <c r="F890" s="58"/>
      <c r="G890" s="58"/>
      <c r="H890" s="373"/>
      <c r="I890" s="352"/>
      <c r="J890" s="352"/>
      <c r="K890" s="352"/>
      <c r="L890" s="352"/>
      <c r="M890" s="352"/>
      <c r="N890" s="352"/>
      <c r="O890" s="352"/>
      <c r="P890" s="352"/>
      <c r="Q890" s="352"/>
      <c r="R890" s="352"/>
    </row>
    <row r="891" ht="32.25" customHeight="1">
      <c r="A891" s="58"/>
      <c r="B891" s="149"/>
      <c r="C891" s="58"/>
      <c r="D891" s="58"/>
      <c r="E891" s="58"/>
      <c r="F891" s="58"/>
      <c r="G891" s="58"/>
      <c r="H891" s="373"/>
      <c r="I891" s="352"/>
      <c r="J891" s="352"/>
      <c r="K891" s="352"/>
      <c r="L891" s="352"/>
      <c r="M891" s="352"/>
      <c r="N891" s="352"/>
      <c r="O891" s="352"/>
      <c r="P891" s="352"/>
      <c r="Q891" s="352"/>
      <c r="R891" s="352"/>
    </row>
    <row r="892" ht="32.25" customHeight="1">
      <c r="A892" s="58"/>
      <c r="B892" s="149"/>
      <c r="C892" s="58"/>
      <c r="D892" s="58"/>
      <c r="E892" s="58"/>
      <c r="F892" s="58"/>
      <c r="G892" s="58"/>
      <c r="H892" s="373"/>
      <c r="I892" s="352"/>
      <c r="J892" s="352"/>
      <c r="K892" s="352"/>
      <c r="L892" s="352"/>
      <c r="M892" s="352"/>
      <c r="N892" s="352"/>
      <c r="O892" s="352"/>
      <c r="P892" s="352"/>
      <c r="Q892" s="352"/>
      <c r="R892" s="352"/>
    </row>
    <row r="893" ht="32.25" customHeight="1">
      <c r="A893" s="58"/>
      <c r="B893" s="149"/>
      <c r="C893" s="58"/>
      <c r="D893" s="58"/>
      <c r="E893" s="58"/>
      <c r="F893" s="58"/>
      <c r="G893" s="58"/>
      <c r="H893" s="373"/>
      <c r="I893" s="352"/>
      <c r="J893" s="352"/>
      <c r="K893" s="352"/>
      <c r="L893" s="352"/>
      <c r="M893" s="352"/>
      <c r="N893" s="352"/>
      <c r="O893" s="352"/>
      <c r="P893" s="352"/>
      <c r="Q893" s="352"/>
      <c r="R893" s="352"/>
    </row>
    <row r="894" ht="32.25" customHeight="1">
      <c r="A894" s="58"/>
      <c r="B894" s="149"/>
      <c r="C894" s="58"/>
      <c r="D894" s="58"/>
      <c r="E894" s="58"/>
      <c r="F894" s="58"/>
      <c r="G894" s="58"/>
      <c r="H894" s="373"/>
      <c r="I894" s="352"/>
      <c r="J894" s="352"/>
      <c r="K894" s="352"/>
      <c r="L894" s="352"/>
      <c r="M894" s="352"/>
      <c r="N894" s="352"/>
      <c r="O894" s="352"/>
      <c r="P894" s="352"/>
      <c r="Q894" s="352"/>
      <c r="R894" s="352"/>
    </row>
    <row r="895" ht="32.25" customHeight="1">
      <c r="A895" s="58"/>
      <c r="B895" s="149"/>
      <c r="C895" s="58"/>
      <c r="D895" s="58"/>
      <c r="E895" s="58"/>
      <c r="F895" s="58"/>
      <c r="G895" s="58"/>
      <c r="H895" s="373"/>
      <c r="I895" s="352"/>
      <c r="J895" s="352"/>
      <c r="K895" s="352"/>
      <c r="L895" s="352"/>
      <c r="M895" s="352"/>
      <c r="N895" s="352"/>
      <c r="O895" s="352"/>
      <c r="P895" s="352"/>
      <c r="Q895" s="352"/>
      <c r="R895" s="352"/>
    </row>
    <row r="896" ht="32.25" customHeight="1">
      <c r="A896" s="58"/>
      <c r="B896" s="149"/>
      <c r="C896" s="58"/>
      <c r="D896" s="58"/>
      <c r="E896" s="58"/>
      <c r="F896" s="58"/>
      <c r="G896" s="58"/>
      <c r="H896" s="373"/>
      <c r="I896" s="352"/>
      <c r="J896" s="352"/>
      <c r="K896" s="352"/>
      <c r="L896" s="352"/>
      <c r="M896" s="352"/>
      <c r="N896" s="352"/>
      <c r="O896" s="352"/>
      <c r="P896" s="352"/>
      <c r="Q896" s="352"/>
      <c r="R896" s="352"/>
    </row>
    <row r="897" ht="32.25" customHeight="1">
      <c r="A897" s="58"/>
      <c r="B897" s="149"/>
      <c r="C897" s="58"/>
      <c r="D897" s="58"/>
      <c r="E897" s="58"/>
      <c r="F897" s="58"/>
      <c r="G897" s="58"/>
      <c r="H897" s="373"/>
      <c r="I897" s="352"/>
      <c r="J897" s="352"/>
      <c r="K897" s="352"/>
      <c r="L897" s="352"/>
      <c r="M897" s="352"/>
      <c r="N897" s="352"/>
      <c r="O897" s="352"/>
      <c r="P897" s="352"/>
      <c r="Q897" s="352"/>
      <c r="R897" s="352"/>
    </row>
    <row r="898" ht="32.25" customHeight="1">
      <c r="A898" s="58"/>
      <c r="B898" s="149"/>
      <c r="C898" s="58"/>
      <c r="D898" s="58"/>
      <c r="E898" s="58"/>
      <c r="F898" s="58"/>
      <c r="G898" s="58"/>
      <c r="H898" s="373"/>
      <c r="I898" s="352"/>
      <c r="J898" s="352"/>
      <c r="K898" s="352"/>
      <c r="L898" s="352"/>
      <c r="M898" s="352"/>
      <c r="N898" s="352"/>
      <c r="O898" s="352"/>
      <c r="P898" s="352"/>
      <c r="Q898" s="352"/>
      <c r="R898" s="352"/>
    </row>
    <row r="899" ht="32.25" customHeight="1">
      <c r="A899" s="58"/>
      <c r="B899" s="149"/>
      <c r="C899" s="58"/>
      <c r="D899" s="58"/>
      <c r="E899" s="58"/>
      <c r="F899" s="58"/>
      <c r="G899" s="58"/>
      <c r="H899" s="373"/>
      <c r="I899" s="352"/>
      <c r="J899" s="352"/>
      <c r="K899" s="352"/>
      <c r="L899" s="352"/>
      <c r="M899" s="352"/>
      <c r="N899" s="352"/>
      <c r="O899" s="352"/>
      <c r="P899" s="352"/>
      <c r="Q899" s="352"/>
      <c r="R899" s="352"/>
    </row>
    <row r="900" ht="32.25" customHeight="1">
      <c r="A900" s="58"/>
      <c r="B900" s="149"/>
      <c r="C900" s="58"/>
      <c r="D900" s="58"/>
      <c r="E900" s="58"/>
      <c r="F900" s="58"/>
      <c r="G900" s="58"/>
      <c r="H900" s="373"/>
      <c r="I900" s="352"/>
      <c r="J900" s="352"/>
      <c r="K900" s="352"/>
      <c r="L900" s="352"/>
      <c r="M900" s="352"/>
      <c r="N900" s="352"/>
      <c r="O900" s="352"/>
      <c r="P900" s="352"/>
      <c r="Q900" s="352"/>
      <c r="R900" s="352"/>
    </row>
    <row r="901" ht="32.25" customHeight="1">
      <c r="A901" s="58"/>
      <c r="B901" s="149"/>
      <c r="C901" s="58"/>
      <c r="D901" s="58"/>
      <c r="E901" s="58"/>
      <c r="F901" s="58"/>
      <c r="G901" s="58"/>
      <c r="H901" s="373"/>
      <c r="I901" s="352"/>
      <c r="J901" s="352"/>
      <c r="K901" s="352"/>
      <c r="L901" s="352"/>
      <c r="M901" s="352"/>
      <c r="N901" s="352"/>
      <c r="O901" s="352"/>
      <c r="P901" s="352"/>
      <c r="Q901" s="352"/>
      <c r="R901" s="352"/>
    </row>
    <row r="902" ht="32.25" customHeight="1">
      <c r="A902" s="58"/>
      <c r="B902" s="149"/>
      <c r="C902" s="58"/>
      <c r="D902" s="58"/>
      <c r="E902" s="58"/>
      <c r="F902" s="58"/>
      <c r="G902" s="58"/>
      <c r="H902" s="373"/>
      <c r="I902" s="352"/>
      <c r="J902" s="352"/>
      <c r="K902" s="352"/>
      <c r="L902" s="352"/>
      <c r="M902" s="352"/>
      <c r="N902" s="352"/>
      <c r="O902" s="352"/>
      <c r="P902" s="352"/>
      <c r="Q902" s="352"/>
      <c r="R902" s="352"/>
    </row>
    <row r="903" ht="32.25" customHeight="1">
      <c r="A903" s="58"/>
      <c r="B903" s="149"/>
      <c r="C903" s="58"/>
      <c r="D903" s="58"/>
      <c r="E903" s="58"/>
      <c r="F903" s="58"/>
      <c r="G903" s="58"/>
      <c r="H903" s="373"/>
      <c r="I903" s="352"/>
      <c r="J903" s="352"/>
      <c r="K903" s="352"/>
      <c r="L903" s="352"/>
      <c r="M903" s="352"/>
      <c r="N903" s="352"/>
      <c r="O903" s="352"/>
      <c r="P903" s="352"/>
      <c r="Q903" s="352"/>
      <c r="R903" s="352"/>
    </row>
    <row r="904" ht="32.25" customHeight="1">
      <c r="A904" s="58"/>
      <c r="B904" s="149"/>
      <c r="C904" s="58"/>
      <c r="D904" s="58"/>
      <c r="E904" s="58"/>
      <c r="F904" s="58"/>
      <c r="G904" s="58"/>
      <c r="H904" s="373"/>
      <c r="I904" s="352"/>
      <c r="J904" s="352"/>
      <c r="K904" s="352"/>
      <c r="L904" s="352"/>
      <c r="M904" s="352"/>
      <c r="N904" s="352"/>
      <c r="O904" s="352"/>
      <c r="P904" s="352"/>
      <c r="Q904" s="352"/>
      <c r="R904" s="352"/>
    </row>
    <row r="905" ht="32.25" customHeight="1">
      <c r="A905" s="58"/>
      <c r="B905" s="149"/>
      <c r="C905" s="58"/>
      <c r="D905" s="58"/>
      <c r="E905" s="58"/>
      <c r="F905" s="58"/>
      <c r="G905" s="58"/>
      <c r="H905" s="373"/>
      <c r="I905" s="352"/>
      <c r="J905" s="352"/>
      <c r="K905" s="352"/>
      <c r="L905" s="352"/>
      <c r="M905" s="352"/>
      <c r="N905" s="352"/>
      <c r="O905" s="352"/>
      <c r="P905" s="352"/>
      <c r="Q905" s="352"/>
      <c r="R905" s="352"/>
    </row>
    <row r="906" ht="32.25" customHeight="1">
      <c r="A906" s="58"/>
      <c r="B906" s="149"/>
      <c r="C906" s="58"/>
      <c r="D906" s="58"/>
      <c r="E906" s="58"/>
      <c r="F906" s="58"/>
      <c r="G906" s="58"/>
      <c r="H906" s="373"/>
      <c r="I906" s="352"/>
      <c r="J906" s="352"/>
      <c r="K906" s="352"/>
      <c r="L906" s="352"/>
      <c r="M906" s="352"/>
      <c r="N906" s="352"/>
      <c r="O906" s="352"/>
      <c r="P906" s="352"/>
      <c r="Q906" s="352"/>
      <c r="R906" s="352"/>
    </row>
    <row r="907" ht="32.25" customHeight="1">
      <c r="A907" s="58"/>
      <c r="B907" s="149"/>
      <c r="C907" s="58"/>
      <c r="D907" s="58"/>
      <c r="E907" s="58"/>
      <c r="F907" s="58"/>
      <c r="G907" s="58"/>
      <c r="H907" s="373"/>
      <c r="I907" s="352"/>
      <c r="J907" s="352"/>
      <c r="K907" s="352"/>
      <c r="L907" s="352"/>
      <c r="M907" s="352"/>
      <c r="N907" s="352"/>
      <c r="O907" s="352"/>
      <c r="P907" s="352"/>
      <c r="Q907" s="352"/>
      <c r="R907" s="352"/>
    </row>
    <row r="908" ht="32.25" customHeight="1">
      <c r="A908" s="58"/>
      <c r="B908" s="149"/>
      <c r="C908" s="58"/>
      <c r="D908" s="58"/>
      <c r="E908" s="58"/>
      <c r="F908" s="58"/>
      <c r="G908" s="58"/>
      <c r="H908" s="373"/>
      <c r="I908" s="352"/>
      <c r="J908" s="352"/>
      <c r="K908" s="352"/>
      <c r="L908" s="352"/>
      <c r="M908" s="352"/>
      <c r="N908" s="352"/>
      <c r="O908" s="352"/>
      <c r="P908" s="352"/>
      <c r="Q908" s="352"/>
      <c r="R908" s="352"/>
    </row>
    <row r="909" ht="32.25" customHeight="1">
      <c r="A909" s="58"/>
      <c r="B909" s="149"/>
      <c r="C909" s="58"/>
      <c r="D909" s="58"/>
      <c r="E909" s="58"/>
      <c r="F909" s="58"/>
      <c r="G909" s="58"/>
      <c r="H909" s="373"/>
      <c r="I909" s="352"/>
      <c r="J909" s="352"/>
      <c r="K909" s="352"/>
      <c r="L909" s="352"/>
      <c r="M909" s="352"/>
      <c r="N909" s="352"/>
      <c r="O909" s="352"/>
      <c r="P909" s="352"/>
      <c r="Q909" s="352"/>
      <c r="R909" s="352"/>
    </row>
    <row r="910" ht="32.25" customHeight="1">
      <c r="A910" s="58"/>
      <c r="B910" s="149"/>
      <c r="C910" s="58"/>
      <c r="D910" s="58"/>
      <c r="E910" s="58"/>
      <c r="F910" s="58"/>
      <c r="G910" s="58"/>
      <c r="H910" s="373"/>
      <c r="I910" s="352"/>
      <c r="J910" s="352"/>
      <c r="K910" s="352"/>
      <c r="L910" s="352"/>
      <c r="M910" s="352"/>
      <c r="N910" s="352"/>
      <c r="O910" s="352"/>
      <c r="P910" s="352"/>
      <c r="Q910" s="352"/>
      <c r="R910" s="352"/>
    </row>
    <row r="911" ht="32.25" customHeight="1">
      <c r="A911" s="58"/>
      <c r="B911" s="149"/>
      <c r="C911" s="58"/>
      <c r="D911" s="58"/>
      <c r="E911" s="58"/>
      <c r="F911" s="58"/>
      <c r="G911" s="58"/>
      <c r="H911" s="373"/>
      <c r="I911" s="352"/>
      <c r="J911" s="352"/>
      <c r="K911" s="352"/>
      <c r="L911" s="352"/>
      <c r="M911" s="352"/>
      <c r="N911" s="352"/>
      <c r="O911" s="352"/>
      <c r="P911" s="352"/>
      <c r="Q911" s="352"/>
      <c r="R911" s="352"/>
    </row>
    <row r="912" ht="32.25" customHeight="1">
      <c r="A912" s="58"/>
      <c r="B912" s="149"/>
      <c r="C912" s="58"/>
      <c r="D912" s="58"/>
      <c r="E912" s="58"/>
      <c r="F912" s="58"/>
      <c r="G912" s="58"/>
      <c r="H912" s="373"/>
      <c r="I912" s="352"/>
      <c r="J912" s="352"/>
      <c r="K912" s="352"/>
      <c r="L912" s="352"/>
      <c r="M912" s="352"/>
      <c r="N912" s="352"/>
      <c r="O912" s="352"/>
      <c r="P912" s="352"/>
      <c r="Q912" s="352"/>
      <c r="R912" s="352"/>
    </row>
    <row r="913" ht="32.25" customHeight="1">
      <c r="A913" s="58"/>
      <c r="B913" s="149"/>
      <c r="C913" s="58"/>
      <c r="D913" s="58"/>
      <c r="E913" s="58"/>
      <c r="F913" s="58"/>
      <c r="G913" s="58"/>
      <c r="H913" s="373"/>
      <c r="I913" s="352"/>
      <c r="J913" s="352"/>
      <c r="K913" s="352"/>
      <c r="L913" s="352"/>
      <c r="M913" s="352"/>
      <c r="N913" s="352"/>
      <c r="O913" s="352"/>
      <c r="P913" s="352"/>
      <c r="Q913" s="352"/>
      <c r="R913" s="352"/>
    </row>
    <row r="914" ht="32.25" customHeight="1">
      <c r="A914" s="58"/>
      <c r="B914" s="149"/>
      <c r="C914" s="58"/>
      <c r="D914" s="58"/>
      <c r="E914" s="58"/>
      <c r="F914" s="58"/>
      <c r="G914" s="58"/>
      <c r="H914" s="373"/>
      <c r="I914" s="352"/>
      <c r="J914" s="352"/>
      <c r="K914" s="352"/>
      <c r="L914" s="352"/>
      <c r="M914" s="352"/>
      <c r="N914" s="352"/>
      <c r="O914" s="352"/>
      <c r="P914" s="352"/>
      <c r="Q914" s="352"/>
      <c r="R914" s="352"/>
    </row>
    <row r="915" ht="32.25" customHeight="1">
      <c r="A915" s="58"/>
      <c r="B915" s="149"/>
      <c r="C915" s="58"/>
      <c r="D915" s="58"/>
      <c r="E915" s="58"/>
      <c r="F915" s="58"/>
      <c r="G915" s="58"/>
      <c r="H915" s="373"/>
      <c r="I915" s="352"/>
      <c r="J915" s="352"/>
      <c r="K915" s="352"/>
      <c r="L915" s="352"/>
      <c r="M915" s="352"/>
      <c r="N915" s="352"/>
      <c r="O915" s="352"/>
      <c r="P915" s="352"/>
      <c r="Q915" s="352"/>
      <c r="R915" s="352"/>
    </row>
    <row r="916" ht="32.25" customHeight="1">
      <c r="A916" s="58"/>
      <c r="B916" s="149"/>
      <c r="C916" s="58"/>
      <c r="D916" s="58"/>
      <c r="E916" s="58"/>
      <c r="F916" s="58"/>
      <c r="G916" s="58"/>
      <c r="H916" s="373"/>
      <c r="I916" s="352"/>
      <c r="J916" s="352"/>
      <c r="K916" s="352"/>
      <c r="L916" s="352"/>
      <c r="M916" s="352"/>
      <c r="N916" s="352"/>
      <c r="O916" s="352"/>
      <c r="P916" s="352"/>
      <c r="Q916" s="352"/>
      <c r="R916" s="352"/>
    </row>
    <row r="917" ht="32.25" customHeight="1">
      <c r="A917" s="58"/>
      <c r="B917" s="149"/>
      <c r="C917" s="58"/>
      <c r="D917" s="58"/>
      <c r="E917" s="58"/>
      <c r="F917" s="58"/>
      <c r="G917" s="58"/>
      <c r="H917" s="373"/>
      <c r="I917" s="352"/>
      <c r="J917" s="352"/>
      <c r="K917" s="352"/>
      <c r="L917" s="352"/>
      <c r="M917" s="352"/>
      <c r="N917" s="352"/>
      <c r="O917" s="352"/>
      <c r="P917" s="352"/>
      <c r="Q917" s="352"/>
      <c r="R917" s="352"/>
    </row>
    <row r="918" ht="32.25" customHeight="1">
      <c r="A918" s="58"/>
      <c r="B918" s="149"/>
      <c r="C918" s="58"/>
      <c r="D918" s="58"/>
      <c r="E918" s="58"/>
      <c r="F918" s="58"/>
      <c r="G918" s="58"/>
      <c r="H918" s="373"/>
      <c r="I918" s="352"/>
      <c r="J918" s="352"/>
      <c r="K918" s="352"/>
      <c r="L918" s="352"/>
      <c r="M918" s="352"/>
      <c r="N918" s="352"/>
      <c r="O918" s="352"/>
      <c r="P918" s="352"/>
      <c r="Q918" s="352"/>
      <c r="R918" s="352"/>
    </row>
    <row r="919" ht="32.25" customHeight="1">
      <c r="A919" s="58"/>
      <c r="B919" s="149"/>
      <c r="C919" s="58"/>
      <c r="D919" s="58"/>
      <c r="E919" s="58"/>
      <c r="F919" s="58"/>
      <c r="G919" s="58"/>
      <c r="H919" s="373"/>
      <c r="I919" s="352"/>
      <c r="J919" s="352"/>
      <c r="K919" s="352"/>
      <c r="L919" s="352"/>
      <c r="M919" s="352"/>
      <c r="N919" s="352"/>
      <c r="O919" s="352"/>
      <c r="P919" s="352"/>
      <c r="Q919" s="352"/>
      <c r="R919" s="352"/>
    </row>
    <row r="920" ht="32.25" customHeight="1">
      <c r="A920" s="58"/>
      <c r="B920" s="149"/>
      <c r="C920" s="58"/>
      <c r="D920" s="58"/>
      <c r="E920" s="58"/>
      <c r="F920" s="58"/>
      <c r="G920" s="58"/>
      <c r="H920" s="373"/>
      <c r="I920" s="352"/>
      <c r="J920" s="352"/>
      <c r="K920" s="352"/>
      <c r="L920" s="352"/>
      <c r="M920" s="352"/>
      <c r="N920" s="352"/>
      <c r="O920" s="352"/>
      <c r="P920" s="352"/>
      <c r="Q920" s="352"/>
      <c r="R920" s="352"/>
    </row>
    <row r="921" ht="32.25" customHeight="1">
      <c r="A921" s="58"/>
      <c r="B921" s="149"/>
      <c r="C921" s="58"/>
      <c r="D921" s="58"/>
      <c r="E921" s="58"/>
      <c r="F921" s="58"/>
      <c r="G921" s="58"/>
      <c r="H921" s="373"/>
      <c r="I921" s="352"/>
      <c r="J921" s="352"/>
      <c r="K921" s="352"/>
      <c r="L921" s="352"/>
      <c r="M921" s="352"/>
      <c r="N921" s="352"/>
      <c r="O921" s="352"/>
      <c r="P921" s="352"/>
      <c r="Q921" s="352"/>
      <c r="R921" s="352"/>
    </row>
    <row r="922" ht="32.25" customHeight="1">
      <c r="A922" s="58"/>
      <c r="B922" s="149"/>
      <c r="C922" s="58"/>
      <c r="D922" s="58"/>
      <c r="E922" s="58"/>
      <c r="F922" s="58"/>
      <c r="G922" s="58"/>
      <c r="H922" s="373"/>
      <c r="I922" s="352"/>
      <c r="J922" s="352"/>
      <c r="K922" s="352"/>
      <c r="L922" s="352"/>
      <c r="M922" s="352"/>
      <c r="N922" s="352"/>
      <c r="O922" s="352"/>
      <c r="P922" s="352"/>
      <c r="Q922" s="352"/>
      <c r="R922" s="352"/>
    </row>
    <row r="923" ht="32.25" customHeight="1">
      <c r="A923" s="58"/>
      <c r="B923" s="149"/>
      <c r="C923" s="58"/>
      <c r="D923" s="58"/>
      <c r="E923" s="58"/>
      <c r="F923" s="58"/>
      <c r="G923" s="58"/>
      <c r="H923" s="373"/>
      <c r="I923" s="352"/>
      <c r="J923" s="352"/>
      <c r="K923" s="352"/>
      <c r="L923" s="352"/>
      <c r="M923" s="352"/>
      <c r="N923" s="352"/>
      <c r="O923" s="352"/>
      <c r="P923" s="352"/>
      <c r="Q923" s="352"/>
      <c r="R923" s="352"/>
    </row>
    <row r="924" ht="32.25" customHeight="1">
      <c r="A924" s="58"/>
      <c r="B924" s="149"/>
      <c r="C924" s="58"/>
      <c r="D924" s="58"/>
      <c r="E924" s="58"/>
      <c r="F924" s="58"/>
      <c r="G924" s="58"/>
      <c r="H924" s="373"/>
      <c r="I924" s="352"/>
      <c r="J924" s="352"/>
      <c r="K924" s="352"/>
      <c r="L924" s="352"/>
      <c r="M924" s="352"/>
      <c r="N924" s="352"/>
      <c r="O924" s="352"/>
      <c r="P924" s="352"/>
      <c r="Q924" s="352"/>
      <c r="R924" s="352"/>
    </row>
    <row r="925" ht="32.25" customHeight="1">
      <c r="A925" s="58"/>
      <c r="B925" s="149"/>
      <c r="C925" s="58"/>
      <c r="D925" s="58"/>
      <c r="E925" s="58"/>
      <c r="F925" s="58"/>
      <c r="G925" s="58"/>
      <c r="H925" s="373"/>
      <c r="I925" s="352"/>
      <c r="J925" s="352"/>
      <c r="K925" s="352"/>
      <c r="L925" s="352"/>
      <c r="M925" s="352"/>
      <c r="N925" s="352"/>
      <c r="O925" s="352"/>
      <c r="P925" s="352"/>
      <c r="Q925" s="352"/>
      <c r="R925" s="352"/>
    </row>
    <row r="926" ht="32.25" customHeight="1">
      <c r="A926" s="58"/>
      <c r="B926" s="149"/>
      <c r="C926" s="58"/>
      <c r="D926" s="58"/>
      <c r="E926" s="58"/>
      <c r="F926" s="58"/>
      <c r="G926" s="58"/>
      <c r="H926" s="373"/>
      <c r="I926" s="352"/>
      <c r="J926" s="352"/>
      <c r="K926" s="352"/>
      <c r="L926" s="352"/>
      <c r="M926" s="352"/>
      <c r="N926" s="352"/>
      <c r="O926" s="352"/>
      <c r="P926" s="352"/>
      <c r="Q926" s="352"/>
      <c r="R926" s="352"/>
    </row>
    <row r="927" ht="32.25" customHeight="1">
      <c r="A927" s="58"/>
      <c r="B927" s="149"/>
      <c r="C927" s="58"/>
      <c r="D927" s="58"/>
      <c r="E927" s="58"/>
      <c r="F927" s="58"/>
      <c r="G927" s="58"/>
      <c r="H927" s="373"/>
      <c r="I927" s="352"/>
      <c r="J927" s="352"/>
      <c r="K927" s="352"/>
      <c r="L927" s="352"/>
      <c r="M927" s="352"/>
      <c r="N927" s="352"/>
      <c r="O927" s="352"/>
      <c r="P927" s="352"/>
      <c r="Q927" s="352"/>
      <c r="R927" s="352"/>
    </row>
    <row r="928" ht="32.25" customHeight="1">
      <c r="A928" s="58"/>
      <c r="B928" s="149"/>
      <c r="C928" s="58"/>
      <c r="D928" s="58"/>
      <c r="E928" s="58"/>
      <c r="F928" s="58"/>
      <c r="G928" s="58"/>
      <c r="H928" s="373"/>
      <c r="I928" s="352"/>
      <c r="J928" s="352"/>
      <c r="K928" s="352"/>
      <c r="L928" s="352"/>
      <c r="M928" s="352"/>
      <c r="N928" s="352"/>
      <c r="O928" s="352"/>
      <c r="P928" s="352"/>
      <c r="Q928" s="352"/>
      <c r="R928" s="352"/>
    </row>
    <row r="929" ht="32.25" customHeight="1">
      <c r="A929" s="58"/>
      <c r="B929" s="149"/>
      <c r="C929" s="58"/>
      <c r="D929" s="58"/>
      <c r="E929" s="58"/>
      <c r="F929" s="58"/>
      <c r="G929" s="58"/>
      <c r="H929" s="373"/>
      <c r="I929" s="352"/>
      <c r="J929" s="352"/>
      <c r="K929" s="352"/>
      <c r="L929" s="352"/>
      <c r="M929" s="352"/>
      <c r="N929" s="352"/>
      <c r="O929" s="352"/>
      <c r="P929" s="352"/>
      <c r="Q929" s="352"/>
      <c r="R929" s="352"/>
    </row>
    <row r="930" ht="32.25" customHeight="1">
      <c r="A930" s="58"/>
      <c r="B930" s="149"/>
      <c r="C930" s="58"/>
      <c r="D930" s="58"/>
      <c r="E930" s="58"/>
      <c r="F930" s="58"/>
      <c r="G930" s="58"/>
      <c r="H930" s="373"/>
      <c r="I930" s="352"/>
      <c r="J930" s="352"/>
      <c r="K930" s="352"/>
      <c r="L930" s="352"/>
      <c r="M930" s="352"/>
      <c r="N930" s="352"/>
      <c r="O930" s="352"/>
      <c r="P930" s="352"/>
      <c r="Q930" s="352"/>
      <c r="R930" s="352"/>
    </row>
    <row r="931" ht="32.25" customHeight="1">
      <c r="A931" s="58"/>
      <c r="B931" s="149"/>
      <c r="C931" s="58"/>
      <c r="D931" s="58"/>
      <c r="E931" s="58"/>
      <c r="F931" s="58"/>
      <c r="G931" s="58"/>
      <c r="H931" s="373"/>
      <c r="I931" s="352"/>
      <c r="J931" s="352"/>
      <c r="K931" s="352"/>
      <c r="L931" s="352"/>
      <c r="M931" s="352"/>
      <c r="N931" s="352"/>
      <c r="O931" s="352"/>
      <c r="P931" s="352"/>
      <c r="Q931" s="352"/>
      <c r="R931" s="352"/>
    </row>
    <row r="932" ht="32.25" customHeight="1">
      <c r="A932" s="58"/>
      <c r="B932" s="149"/>
      <c r="C932" s="58"/>
      <c r="D932" s="58"/>
      <c r="E932" s="58"/>
      <c r="F932" s="58"/>
      <c r="G932" s="58"/>
      <c r="H932" s="373"/>
      <c r="I932" s="352"/>
      <c r="J932" s="352"/>
      <c r="K932" s="352"/>
      <c r="L932" s="352"/>
      <c r="M932" s="352"/>
      <c r="N932" s="352"/>
      <c r="O932" s="352"/>
      <c r="P932" s="352"/>
      <c r="Q932" s="352"/>
      <c r="R932" s="352"/>
    </row>
    <row r="933" ht="32.25" customHeight="1">
      <c r="A933" s="58"/>
      <c r="B933" s="149"/>
      <c r="C933" s="58"/>
      <c r="D933" s="58"/>
      <c r="E933" s="58"/>
      <c r="F933" s="58"/>
      <c r="G933" s="58"/>
      <c r="H933" s="373"/>
      <c r="I933" s="352"/>
      <c r="J933" s="352"/>
      <c r="K933" s="352"/>
      <c r="L933" s="352"/>
      <c r="M933" s="352"/>
      <c r="N933" s="352"/>
      <c r="O933" s="352"/>
      <c r="P933" s="352"/>
      <c r="Q933" s="352"/>
      <c r="R933" s="352"/>
    </row>
    <row r="934" ht="32.25" customHeight="1">
      <c r="A934" s="58"/>
      <c r="B934" s="149"/>
      <c r="C934" s="58"/>
      <c r="D934" s="58"/>
      <c r="E934" s="58"/>
      <c r="F934" s="58"/>
      <c r="G934" s="58"/>
      <c r="H934" s="373"/>
      <c r="I934" s="352"/>
      <c r="J934" s="352"/>
      <c r="K934" s="352"/>
      <c r="L934" s="352"/>
      <c r="M934" s="352"/>
      <c r="N934" s="352"/>
      <c r="O934" s="352"/>
      <c r="P934" s="352"/>
      <c r="Q934" s="352"/>
      <c r="R934" s="352"/>
    </row>
    <row r="935" ht="32.25" customHeight="1">
      <c r="A935" s="58"/>
      <c r="B935" s="149"/>
      <c r="C935" s="58"/>
      <c r="D935" s="58"/>
      <c r="E935" s="58"/>
      <c r="F935" s="58"/>
      <c r="G935" s="58"/>
      <c r="H935" s="373"/>
      <c r="I935" s="352"/>
      <c r="J935" s="352"/>
      <c r="K935" s="352"/>
      <c r="L935" s="352"/>
      <c r="M935" s="352"/>
      <c r="N935" s="352"/>
      <c r="O935" s="352"/>
      <c r="P935" s="352"/>
      <c r="Q935" s="352"/>
      <c r="R935" s="352"/>
    </row>
    <row r="936" ht="32.25" customHeight="1">
      <c r="A936" s="58"/>
      <c r="B936" s="149"/>
      <c r="C936" s="58"/>
      <c r="D936" s="58"/>
      <c r="E936" s="58"/>
      <c r="F936" s="58"/>
      <c r="G936" s="58"/>
      <c r="H936" s="373"/>
      <c r="I936" s="352"/>
      <c r="J936" s="352"/>
      <c r="K936" s="352"/>
      <c r="L936" s="352"/>
      <c r="M936" s="352"/>
      <c r="N936" s="352"/>
      <c r="O936" s="352"/>
      <c r="P936" s="352"/>
      <c r="Q936" s="352"/>
      <c r="R936" s="352"/>
    </row>
    <row r="937" ht="32.25" customHeight="1">
      <c r="A937" s="58"/>
      <c r="B937" s="149"/>
      <c r="C937" s="58"/>
      <c r="D937" s="58"/>
      <c r="E937" s="58"/>
      <c r="F937" s="58"/>
      <c r="G937" s="58"/>
      <c r="H937" s="373"/>
      <c r="I937" s="352"/>
      <c r="J937" s="352"/>
      <c r="K937" s="352"/>
      <c r="L937" s="352"/>
      <c r="M937" s="352"/>
      <c r="N937" s="352"/>
      <c r="O937" s="352"/>
      <c r="P937" s="352"/>
      <c r="Q937" s="352"/>
      <c r="R937" s="352"/>
    </row>
    <row r="938" ht="32.25" customHeight="1">
      <c r="A938" s="58"/>
      <c r="B938" s="149"/>
      <c r="C938" s="58"/>
      <c r="D938" s="58"/>
      <c r="E938" s="58"/>
      <c r="F938" s="58"/>
      <c r="G938" s="58"/>
      <c r="H938" s="373"/>
      <c r="I938" s="352"/>
      <c r="J938" s="352"/>
      <c r="K938" s="352"/>
      <c r="L938" s="352"/>
      <c r="M938" s="352"/>
      <c r="N938" s="352"/>
      <c r="O938" s="352"/>
      <c r="P938" s="352"/>
      <c r="Q938" s="352"/>
      <c r="R938" s="352"/>
    </row>
    <row r="939" ht="32.25" customHeight="1">
      <c r="A939" s="58"/>
      <c r="B939" s="149"/>
      <c r="C939" s="58"/>
      <c r="D939" s="58"/>
      <c r="E939" s="58"/>
      <c r="F939" s="58"/>
      <c r="G939" s="58"/>
      <c r="H939" s="373"/>
      <c r="I939" s="352"/>
      <c r="J939" s="352"/>
      <c r="K939" s="352"/>
      <c r="L939" s="352"/>
      <c r="M939" s="352"/>
      <c r="N939" s="352"/>
      <c r="O939" s="352"/>
      <c r="P939" s="352"/>
      <c r="Q939" s="352"/>
      <c r="R939" s="352"/>
    </row>
    <row r="940" ht="32.25" customHeight="1">
      <c r="A940" s="58"/>
      <c r="B940" s="149"/>
      <c r="C940" s="58"/>
      <c r="D940" s="58"/>
      <c r="E940" s="58"/>
      <c r="F940" s="58"/>
      <c r="G940" s="58"/>
      <c r="H940" s="373"/>
      <c r="I940" s="352"/>
      <c r="J940" s="352"/>
      <c r="K940" s="352"/>
      <c r="L940" s="352"/>
      <c r="M940" s="352"/>
      <c r="N940" s="352"/>
      <c r="O940" s="352"/>
      <c r="P940" s="352"/>
      <c r="Q940" s="352"/>
      <c r="R940" s="352"/>
    </row>
    <row r="941" ht="32.25" customHeight="1">
      <c r="A941" s="58"/>
      <c r="B941" s="149"/>
      <c r="C941" s="58"/>
      <c r="D941" s="58"/>
      <c r="E941" s="58"/>
      <c r="F941" s="58"/>
      <c r="G941" s="58"/>
      <c r="H941" s="373"/>
      <c r="I941" s="352"/>
      <c r="J941" s="352"/>
      <c r="K941" s="352"/>
      <c r="L941" s="352"/>
      <c r="M941" s="352"/>
      <c r="N941" s="352"/>
      <c r="O941" s="352"/>
      <c r="P941" s="352"/>
      <c r="Q941" s="352"/>
      <c r="R941" s="352"/>
    </row>
    <row r="942" ht="32.25" customHeight="1">
      <c r="A942" s="58"/>
      <c r="B942" s="149"/>
      <c r="C942" s="58"/>
      <c r="D942" s="58"/>
      <c r="E942" s="58"/>
      <c r="F942" s="58"/>
      <c r="G942" s="58"/>
      <c r="H942" s="373"/>
      <c r="I942" s="352"/>
      <c r="J942" s="352"/>
      <c r="K942" s="352"/>
      <c r="L942" s="352"/>
      <c r="M942" s="352"/>
      <c r="N942" s="352"/>
      <c r="O942" s="352"/>
      <c r="P942" s="352"/>
      <c r="Q942" s="352"/>
      <c r="R942" s="352"/>
    </row>
    <row r="943" ht="32.25" customHeight="1">
      <c r="A943" s="58"/>
      <c r="B943" s="149"/>
      <c r="C943" s="58"/>
      <c r="D943" s="58"/>
      <c r="E943" s="58"/>
      <c r="F943" s="58"/>
      <c r="G943" s="58"/>
      <c r="H943" s="373"/>
      <c r="I943" s="352"/>
      <c r="J943" s="352"/>
      <c r="K943" s="352"/>
      <c r="L943" s="352"/>
      <c r="M943" s="352"/>
      <c r="N943" s="352"/>
      <c r="O943" s="352"/>
      <c r="P943" s="352"/>
      <c r="Q943" s="352"/>
      <c r="R943" s="352"/>
    </row>
    <row r="944" ht="32.25" customHeight="1">
      <c r="A944" s="58"/>
      <c r="B944" s="149"/>
      <c r="C944" s="58"/>
      <c r="D944" s="58"/>
      <c r="E944" s="58"/>
      <c r="F944" s="58"/>
      <c r="G944" s="58"/>
      <c r="H944" s="373"/>
      <c r="I944" s="352"/>
      <c r="J944" s="352"/>
      <c r="K944" s="352"/>
      <c r="L944" s="352"/>
      <c r="M944" s="352"/>
      <c r="N944" s="352"/>
      <c r="O944" s="352"/>
      <c r="P944" s="352"/>
      <c r="Q944" s="352"/>
      <c r="R944" s="352"/>
    </row>
    <row r="945" ht="32.25" customHeight="1">
      <c r="A945" s="58"/>
      <c r="B945" s="149"/>
      <c r="C945" s="58"/>
      <c r="D945" s="58"/>
      <c r="E945" s="58"/>
      <c r="F945" s="58"/>
      <c r="G945" s="58"/>
      <c r="H945" s="373"/>
      <c r="I945" s="352"/>
      <c r="J945" s="352"/>
      <c r="K945" s="352"/>
      <c r="L945" s="352"/>
      <c r="M945" s="352"/>
      <c r="N945" s="352"/>
      <c r="O945" s="352"/>
      <c r="P945" s="352"/>
      <c r="Q945" s="352"/>
      <c r="R945" s="352"/>
    </row>
    <row r="946" ht="32.25" customHeight="1">
      <c r="A946" s="58"/>
      <c r="B946" s="149"/>
      <c r="C946" s="58"/>
      <c r="D946" s="58"/>
      <c r="E946" s="58"/>
      <c r="F946" s="58"/>
      <c r="G946" s="58"/>
      <c r="H946" s="373"/>
      <c r="I946" s="352"/>
      <c r="J946" s="352"/>
      <c r="K946" s="352"/>
      <c r="L946" s="352"/>
      <c r="M946" s="352"/>
      <c r="N946" s="352"/>
      <c r="O946" s="352"/>
      <c r="P946" s="352"/>
      <c r="Q946" s="352"/>
      <c r="R946" s="352"/>
    </row>
    <row r="947" ht="32.25" customHeight="1">
      <c r="A947" s="58"/>
      <c r="B947" s="149"/>
      <c r="C947" s="58"/>
      <c r="D947" s="58"/>
      <c r="E947" s="58"/>
      <c r="F947" s="58"/>
      <c r="G947" s="58"/>
      <c r="H947" s="373"/>
      <c r="I947" s="352"/>
      <c r="J947" s="352"/>
      <c r="K947" s="352"/>
      <c r="L947" s="352"/>
      <c r="M947" s="352"/>
      <c r="N947" s="352"/>
      <c r="O947" s="352"/>
      <c r="P947" s="352"/>
      <c r="Q947" s="352"/>
      <c r="R947" s="352"/>
    </row>
    <row r="948" ht="32.25" customHeight="1">
      <c r="A948" s="58"/>
      <c r="B948" s="149"/>
      <c r="C948" s="58"/>
      <c r="D948" s="58"/>
      <c r="E948" s="58"/>
      <c r="F948" s="58"/>
      <c r="G948" s="58"/>
      <c r="H948" s="373"/>
      <c r="I948" s="352"/>
      <c r="J948" s="352"/>
      <c r="K948" s="352"/>
      <c r="L948" s="352"/>
      <c r="M948" s="352"/>
      <c r="N948" s="352"/>
      <c r="O948" s="352"/>
      <c r="P948" s="352"/>
      <c r="Q948" s="352"/>
      <c r="R948" s="352"/>
    </row>
    <row r="949" ht="32.25" customHeight="1">
      <c r="A949" s="58"/>
      <c r="B949" s="149"/>
      <c r="C949" s="58"/>
      <c r="D949" s="58"/>
      <c r="E949" s="58"/>
      <c r="F949" s="58"/>
      <c r="G949" s="58"/>
      <c r="H949" s="373"/>
      <c r="I949" s="352"/>
      <c r="J949" s="352"/>
      <c r="K949" s="352"/>
      <c r="L949" s="352"/>
      <c r="M949" s="352"/>
      <c r="N949" s="352"/>
      <c r="O949" s="352"/>
      <c r="P949" s="352"/>
      <c r="Q949" s="352"/>
      <c r="R949" s="352"/>
    </row>
    <row r="950" ht="32.25" customHeight="1">
      <c r="A950" s="58"/>
      <c r="B950" s="149"/>
      <c r="C950" s="58"/>
      <c r="D950" s="58"/>
      <c r="E950" s="58"/>
      <c r="F950" s="58"/>
      <c r="G950" s="58"/>
      <c r="H950" s="373"/>
      <c r="I950" s="352"/>
      <c r="J950" s="352"/>
      <c r="K950" s="352"/>
      <c r="L950" s="352"/>
      <c r="M950" s="352"/>
      <c r="N950" s="352"/>
      <c r="O950" s="352"/>
      <c r="P950" s="352"/>
      <c r="Q950" s="352"/>
      <c r="R950" s="352"/>
    </row>
    <row r="951" ht="32.25" customHeight="1">
      <c r="A951" s="58"/>
      <c r="B951" s="149"/>
      <c r="C951" s="58"/>
      <c r="D951" s="58"/>
      <c r="E951" s="58"/>
      <c r="F951" s="58"/>
      <c r="G951" s="58"/>
      <c r="H951" s="373"/>
      <c r="I951" s="352"/>
      <c r="J951" s="352"/>
      <c r="K951" s="352"/>
      <c r="L951" s="352"/>
      <c r="M951" s="352"/>
      <c r="N951" s="352"/>
      <c r="O951" s="352"/>
      <c r="P951" s="352"/>
      <c r="Q951" s="352"/>
      <c r="R951" s="352"/>
    </row>
    <row r="952" ht="32.25" customHeight="1">
      <c r="A952" s="58"/>
      <c r="B952" s="149"/>
      <c r="C952" s="58"/>
      <c r="D952" s="58"/>
      <c r="E952" s="58"/>
      <c r="F952" s="58"/>
      <c r="G952" s="58"/>
      <c r="H952" s="373"/>
      <c r="I952" s="352"/>
      <c r="J952" s="352"/>
      <c r="K952" s="352"/>
      <c r="L952" s="352"/>
      <c r="M952" s="352"/>
      <c r="N952" s="352"/>
      <c r="O952" s="352"/>
      <c r="P952" s="352"/>
      <c r="Q952" s="352"/>
      <c r="R952" s="352"/>
    </row>
    <row r="953" ht="32.25" customHeight="1">
      <c r="A953" s="58"/>
      <c r="B953" s="149"/>
      <c r="C953" s="58"/>
      <c r="D953" s="58"/>
      <c r="E953" s="58"/>
      <c r="F953" s="58"/>
      <c r="G953" s="58"/>
      <c r="H953" s="373"/>
      <c r="I953" s="352"/>
      <c r="J953" s="352"/>
      <c r="K953" s="352"/>
      <c r="L953" s="352"/>
      <c r="M953" s="352"/>
      <c r="N953" s="352"/>
      <c r="O953" s="352"/>
      <c r="P953" s="352"/>
      <c r="Q953" s="352"/>
      <c r="R953" s="352"/>
    </row>
    <row r="954" ht="32.25" customHeight="1">
      <c r="A954" s="58"/>
      <c r="B954" s="149"/>
      <c r="C954" s="58"/>
      <c r="D954" s="58"/>
      <c r="E954" s="58"/>
      <c r="F954" s="58"/>
      <c r="G954" s="58"/>
      <c r="H954" s="373"/>
      <c r="I954" s="352"/>
      <c r="J954" s="352"/>
      <c r="K954" s="352"/>
      <c r="L954" s="352"/>
      <c r="M954" s="352"/>
      <c r="N954" s="352"/>
      <c r="O954" s="352"/>
      <c r="P954" s="352"/>
      <c r="Q954" s="352"/>
      <c r="R954" s="352"/>
    </row>
    <row r="955" ht="32.25" customHeight="1">
      <c r="A955" s="58"/>
      <c r="B955" s="149"/>
      <c r="C955" s="58"/>
      <c r="D955" s="58"/>
      <c r="E955" s="58"/>
      <c r="F955" s="58"/>
      <c r="G955" s="58"/>
      <c r="H955" s="373"/>
      <c r="I955" s="352"/>
      <c r="J955" s="352"/>
      <c r="K955" s="352"/>
      <c r="L955" s="352"/>
      <c r="M955" s="352"/>
      <c r="N955" s="352"/>
      <c r="O955" s="352"/>
      <c r="P955" s="352"/>
      <c r="Q955" s="352"/>
      <c r="R955" s="352"/>
    </row>
    <row r="956" ht="32.25" customHeight="1">
      <c r="A956" s="58"/>
      <c r="B956" s="149"/>
      <c r="C956" s="58"/>
      <c r="D956" s="58"/>
      <c r="E956" s="58"/>
      <c r="F956" s="58"/>
      <c r="G956" s="58"/>
      <c r="H956" s="373"/>
      <c r="I956" s="352"/>
      <c r="J956" s="352"/>
      <c r="K956" s="352"/>
      <c r="L956" s="352"/>
      <c r="M956" s="352"/>
      <c r="N956" s="352"/>
      <c r="O956" s="352"/>
      <c r="P956" s="352"/>
      <c r="Q956" s="352"/>
      <c r="R956" s="352"/>
    </row>
    <row r="957" ht="32.25" customHeight="1">
      <c r="A957" s="58"/>
      <c r="B957" s="149"/>
      <c r="C957" s="58"/>
      <c r="D957" s="58"/>
      <c r="E957" s="58"/>
      <c r="F957" s="58"/>
      <c r="G957" s="58"/>
      <c r="H957" s="373"/>
      <c r="I957" s="352"/>
      <c r="J957" s="352"/>
      <c r="K957" s="352"/>
      <c r="L957" s="352"/>
      <c r="M957" s="352"/>
      <c r="N957" s="352"/>
      <c r="O957" s="352"/>
      <c r="P957" s="352"/>
      <c r="Q957" s="352"/>
      <c r="R957" s="352"/>
    </row>
    <row r="958" ht="32.25" customHeight="1">
      <c r="A958" s="58"/>
      <c r="B958" s="149"/>
      <c r="C958" s="58"/>
      <c r="D958" s="58"/>
      <c r="E958" s="58"/>
      <c r="F958" s="58"/>
      <c r="G958" s="58"/>
      <c r="H958" s="373"/>
      <c r="I958" s="352"/>
      <c r="J958" s="352"/>
      <c r="K958" s="352"/>
      <c r="L958" s="352"/>
      <c r="M958" s="352"/>
      <c r="N958" s="352"/>
      <c r="O958" s="352"/>
      <c r="P958" s="352"/>
      <c r="Q958" s="352"/>
      <c r="R958" s="352"/>
    </row>
    <row r="959" ht="32.25" customHeight="1">
      <c r="A959" s="58"/>
      <c r="B959" s="149"/>
      <c r="C959" s="58"/>
      <c r="D959" s="58"/>
      <c r="E959" s="58"/>
      <c r="F959" s="58"/>
      <c r="G959" s="58"/>
      <c r="H959" s="373"/>
      <c r="I959" s="352"/>
      <c r="J959" s="352"/>
      <c r="K959" s="352"/>
      <c r="L959" s="352"/>
      <c r="M959" s="352"/>
      <c r="N959" s="352"/>
      <c r="O959" s="352"/>
      <c r="P959" s="352"/>
      <c r="Q959" s="352"/>
      <c r="R959" s="352"/>
    </row>
    <row r="960" ht="32.25" customHeight="1">
      <c r="A960" s="58"/>
      <c r="B960" s="149"/>
      <c r="C960" s="58"/>
      <c r="D960" s="58"/>
      <c r="E960" s="58"/>
      <c r="F960" s="58"/>
      <c r="G960" s="58"/>
      <c r="H960" s="373"/>
      <c r="I960" s="352"/>
      <c r="J960" s="352"/>
      <c r="K960" s="352"/>
      <c r="L960" s="352"/>
      <c r="M960" s="352"/>
      <c r="N960" s="352"/>
      <c r="O960" s="352"/>
      <c r="P960" s="352"/>
      <c r="Q960" s="352"/>
      <c r="R960" s="352"/>
    </row>
    <row r="961" ht="32.25" customHeight="1">
      <c r="A961" s="58"/>
      <c r="B961" s="149"/>
      <c r="C961" s="58"/>
      <c r="D961" s="58"/>
      <c r="E961" s="58"/>
      <c r="F961" s="58"/>
      <c r="G961" s="58"/>
      <c r="H961" s="373"/>
      <c r="I961" s="352"/>
      <c r="J961" s="352"/>
      <c r="K961" s="352"/>
      <c r="L961" s="352"/>
      <c r="M961" s="352"/>
      <c r="N961" s="352"/>
      <c r="O961" s="352"/>
      <c r="P961" s="352"/>
      <c r="Q961" s="352"/>
      <c r="R961" s="352"/>
    </row>
    <row r="962" ht="32.25" customHeight="1">
      <c r="A962" s="58"/>
      <c r="B962" s="149"/>
      <c r="C962" s="58"/>
      <c r="D962" s="58"/>
      <c r="E962" s="58"/>
      <c r="F962" s="58"/>
      <c r="G962" s="58"/>
      <c r="H962" s="373"/>
      <c r="I962" s="352"/>
      <c r="J962" s="352"/>
      <c r="K962" s="352"/>
      <c r="L962" s="352"/>
      <c r="M962" s="352"/>
      <c r="N962" s="352"/>
      <c r="O962" s="352"/>
      <c r="P962" s="352"/>
      <c r="Q962" s="352"/>
      <c r="R962" s="352"/>
    </row>
    <row r="963" ht="32.25" customHeight="1">
      <c r="A963" s="58"/>
      <c r="B963" s="149"/>
      <c r="C963" s="58"/>
      <c r="D963" s="58"/>
      <c r="E963" s="58"/>
      <c r="F963" s="58"/>
      <c r="G963" s="58"/>
      <c r="H963" s="373"/>
      <c r="I963" s="352"/>
      <c r="J963" s="352"/>
      <c r="K963" s="352"/>
      <c r="L963" s="352"/>
      <c r="M963" s="352"/>
      <c r="N963" s="352"/>
      <c r="O963" s="352"/>
      <c r="P963" s="352"/>
      <c r="Q963" s="352"/>
      <c r="R963" s="352"/>
    </row>
    <row r="964" ht="32.25" customHeight="1">
      <c r="A964" s="58"/>
      <c r="B964" s="149"/>
      <c r="C964" s="58"/>
      <c r="D964" s="58"/>
      <c r="E964" s="58"/>
      <c r="F964" s="58"/>
      <c r="G964" s="58"/>
      <c r="H964" s="373"/>
      <c r="I964" s="352"/>
      <c r="J964" s="352"/>
      <c r="K964" s="352"/>
      <c r="L964" s="352"/>
      <c r="M964" s="352"/>
      <c r="N964" s="352"/>
      <c r="O964" s="352"/>
      <c r="P964" s="352"/>
      <c r="Q964" s="352"/>
      <c r="R964" s="352"/>
    </row>
    <row r="965" ht="32.25" customHeight="1">
      <c r="A965" s="58"/>
      <c r="B965" s="149"/>
      <c r="C965" s="58"/>
      <c r="D965" s="58"/>
      <c r="E965" s="58"/>
      <c r="F965" s="58"/>
      <c r="G965" s="58"/>
      <c r="H965" s="373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</row>
    <row r="966" ht="32.25" customHeight="1">
      <c r="A966" s="58"/>
      <c r="B966" s="149"/>
      <c r="C966" s="58"/>
      <c r="D966" s="58"/>
      <c r="E966" s="58"/>
      <c r="F966" s="58"/>
      <c r="G966" s="58"/>
      <c r="H966" s="373"/>
      <c r="I966" s="352"/>
      <c r="J966" s="352"/>
      <c r="K966" s="352"/>
      <c r="L966" s="352"/>
      <c r="M966" s="352"/>
      <c r="N966" s="352"/>
      <c r="O966" s="352"/>
      <c r="P966" s="352"/>
      <c r="Q966" s="352"/>
      <c r="R966" s="352"/>
    </row>
    <row r="967" ht="32.25" customHeight="1">
      <c r="A967" s="58"/>
      <c r="B967" s="149"/>
      <c r="C967" s="58"/>
      <c r="D967" s="58"/>
      <c r="E967" s="58"/>
      <c r="F967" s="58"/>
      <c r="G967" s="58"/>
      <c r="H967" s="373"/>
      <c r="I967" s="352"/>
      <c r="J967" s="352"/>
      <c r="K967" s="352"/>
      <c r="L967" s="352"/>
      <c r="M967" s="352"/>
      <c r="N967" s="352"/>
      <c r="O967" s="352"/>
      <c r="P967" s="352"/>
      <c r="Q967" s="352"/>
      <c r="R967" s="352"/>
    </row>
    <row r="968" ht="32.25" customHeight="1">
      <c r="A968" s="58"/>
      <c r="B968" s="149"/>
      <c r="C968" s="58"/>
      <c r="D968" s="58"/>
      <c r="E968" s="58"/>
      <c r="F968" s="58"/>
      <c r="G968" s="58"/>
      <c r="H968" s="373"/>
      <c r="I968" s="352"/>
      <c r="J968" s="352"/>
      <c r="K968" s="352"/>
      <c r="L968" s="352"/>
      <c r="M968" s="352"/>
      <c r="N968" s="352"/>
      <c r="O968" s="352"/>
      <c r="P968" s="352"/>
      <c r="Q968" s="352"/>
      <c r="R968" s="352"/>
    </row>
    <row r="969" ht="32.25" customHeight="1">
      <c r="A969" s="58"/>
      <c r="B969" s="149"/>
      <c r="C969" s="58"/>
      <c r="D969" s="58"/>
      <c r="E969" s="58"/>
      <c r="F969" s="58"/>
      <c r="G969" s="58"/>
      <c r="H969" s="373"/>
      <c r="I969" s="352"/>
      <c r="J969" s="352"/>
      <c r="K969" s="352"/>
      <c r="L969" s="352"/>
      <c r="M969" s="352"/>
      <c r="N969" s="352"/>
      <c r="O969" s="352"/>
      <c r="P969" s="352"/>
      <c r="Q969" s="352"/>
      <c r="R969" s="352"/>
    </row>
    <row r="970" ht="32.25" customHeight="1">
      <c r="A970" s="58"/>
      <c r="B970" s="149"/>
      <c r="C970" s="58"/>
      <c r="D970" s="58"/>
      <c r="E970" s="58"/>
      <c r="F970" s="58"/>
      <c r="G970" s="58"/>
      <c r="H970" s="373"/>
      <c r="I970" s="352"/>
      <c r="J970" s="352"/>
      <c r="K970" s="352"/>
      <c r="L970" s="352"/>
      <c r="M970" s="352"/>
      <c r="N970" s="352"/>
      <c r="O970" s="352"/>
      <c r="P970" s="352"/>
      <c r="Q970" s="352"/>
      <c r="R970" s="352"/>
    </row>
    <row r="971" ht="32.25" customHeight="1">
      <c r="A971" s="58"/>
      <c r="B971" s="149"/>
      <c r="C971" s="58"/>
      <c r="D971" s="58"/>
      <c r="E971" s="58"/>
      <c r="F971" s="58"/>
      <c r="G971" s="58"/>
      <c r="H971" s="373"/>
      <c r="I971" s="352"/>
      <c r="J971" s="352"/>
      <c r="K971" s="352"/>
      <c r="L971" s="352"/>
      <c r="M971" s="352"/>
      <c r="N971" s="352"/>
      <c r="O971" s="352"/>
      <c r="P971" s="352"/>
      <c r="Q971" s="352"/>
      <c r="R971" s="352"/>
    </row>
    <row r="972" ht="32.25" customHeight="1">
      <c r="A972" s="58"/>
      <c r="B972" s="149"/>
      <c r="C972" s="58"/>
      <c r="D972" s="58"/>
      <c r="E972" s="58"/>
      <c r="F972" s="58"/>
      <c r="G972" s="58"/>
      <c r="H972" s="373"/>
      <c r="I972" s="352"/>
      <c r="J972" s="352"/>
      <c r="K972" s="352"/>
      <c r="L972" s="352"/>
      <c r="M972" s="352"/>
      <c r="N972" s="352"/>
      <c r="O972" s="352"/>
      <c r="P972" s="352"/>
      <c r="Q972" s="352"/>
      <c r="R972" s="352"/>
    </row>
    <row r="973" ht="32.25" customHeight="1">
      <c r="A973" s="58"/>
      <c r="B973" s="149"/>
      <c r="C973" s="58"/>
      <c r="D973" s="58"/>
      <c r="E973" s="58"/>
      <c r="F973" s="58"/>
      <c r="G973" s="58"/>
      <c r="H973" s="373"/>
      <c r="I973" s="352"/>
      <c r="J973" s="352"/>
      <c r="K973" s="352"/>
      <c r="L973" s="352"/>
      <c r="M973" s="352"/>
      <c r="N973" s="352"/>
      <c r="O973" s="352"/>
      <c r="P973" s="352"/>
      <c r="Q973" s="352"/>
      <c r="R973" s="352"/>
    </row>
    <row r="974" ht="32.25" customHeight="1">
      <c r="A974" s="58"/>
      <c r="B974" s="149"/>
      <c r="C974" s="58"/>
      <c r="D974" s="58"/>
      <c r="E974" s="58"/>
      <c r="F974" s="58"/>
      <c r="G974" s="58"/>
      <c r="H974" s="373"/>
      <c r="I974" s="352"/>
      <c r="J974" s="352"/>
      <c r="K974" s="352"/>
      <c r="L974" s="352"/>
      <c r="M974" s="352"/>
      <c r="N974" s="352"/>
      <c r="O974" s="352"/>
      <c r="P974" s="352"/>
      <c r="Q974" s="352"/>
      <c r="R974" s="352"/>
    </row>
    <row r="975" ht="32.25" customHeight="1">
      <c r="A975" s="58"/>
      <c r="B975" s="149"/>
      <c r="C975" s="58"/>
      <c r="D975" s="58"/>
      <c r="E975" s="58"/>
      <c r="F975" s="58"/>
      <c r="G975" s="58"/>
      <c r="H975" s="373"/>
      <c r="I975" s="352"/>
      <c r="J975" s="352"/>
      <c r="K975" s="352"/>
      <c r="L975" s="352"/>
      <c r="M975" s="352"/>
      <c r="N975" s="352"/>
      <c r="O975" s="352"/>
      <c r="P975" s="352"/>
      <c r="Q975" s="352"/>
      <c r="R975" s="352"/>
    </row>
    <row r="976" ht="32.25" customHeight="1">
      <c r="A976" s="58"/>
      <c r="B976" s="149"/>
      <c r="C976" s="58"/>
      <c r="D976" s="58"/>
      <c r="E976" s="58"/>
      <c r="F976" s="58"/>
      <c r="G976" s="58"/>
      <c r="H976" s="373"/>
      <c r="I976" s="352"/>
      <c r="J976" s="352"/>
      <c r="K976" s="352"/>
      <c r="L976" s="352"/>
      <c r="M976" s="352"/>
      <c r="N976" s="352"/>
      <c r="O976" s="352"/>
      <c r="P976" s="352"/>
      <c r="Q976" s="352"/>
      <c r="R976" s="352"/>
    </row>
    <row r="977" ht="32.25" customHeight="1">
      <c r="A977" s="58"/>
      <c r="B977" s="149"/>
      <c r="C977" s="58"/>
      <c r="D977" s="58"/>
      <c r="E977" s="58"/>
      <c r="F977" s="58"/>
      <c r="G977" s="58"/>
      <c r="H977" s="373"/>
      <c r="I977" s="352"/>
      <c r="J977" s="352"/>
      <c r="K977" s="352"/>
      <c r="L977" s="352"/>
      <c r="M977" s="352"/>
      <c r="N977" s="352"/>
      <c r="O977" s="352"/>
      <c r="P977" s="352"/>
      <c r="Q977" s="352"/>
      <c r="R977" s="352"/>
    </row>
    <row r="978" ht="32.25" customHeight="1">
      <c r="A978" s="58"/>
      <c r="B978" s="149"/>
      <c r="C978" s="58"/>
      <c r="D978" s="58"/>
      <c r="E978" s="58"/>
      <c r="F978" s="58"/>
      <c r="G978" s="58"/>
      <c r="H978" s="373"/>
      <c r="I978" s="352"/>
      <c r="J978" s="352"/>
      <c r="K978" s="352"/>
      <c r="L978" s="352"/>
      <c r="M978" s="352"/>
      <c r="N978" s="352"/>
      <c r="O978" s="352"/>
      <c r="P978" s="352"/>
      <c r="Q978" s="352"/>
      <c r="R978" s="352"/>
    </row>
    <row r="979" ht="32.25" customHeight="1">
      <c r="A979" s="58"/>
      <c r="B979" s="149"/>
      <c r="C979" s="58"/>
      <c r="D979" s="58"/>
      <c r="E979" s="58"/>
      <c r="F979" s="58"/>
      <c r="G979" s="58"/>
      <c r="H979" s="373"/>
      <c r="I979" s="352"/>
      <c r="J979" s="352"/>
      <c r="K979" s="352"/>
      <c r="L979" s="352"/>
      <c r="M979" s="352"/>
      <c r="N979" s="352"/>
      <c r="O979" s="352"/>
      <c r="P979" s="352"/>
      <c r="Q979" s="352"/>
      <c r="R979" s="352"/>
    </row>
    <row r="980" ht="32.25" customHeight="1">
      <c r="A980" s="58"/>
      <c r="B980" s="149"/>
      <c r="C980" s="58"/>
      <c r="D980" s="58"/>
      <c r="E980" s="58"/>
      <c r="F980" s="58"/>
      <c r="G980" s="58"/>
      <c r="H980" s="373"/>
      <c r="I980" s="352"/>
      <c r="J980" s="352"/>
      <c r="K980" s="352"/>
      <c r="L980" s="352"/>
      <c r="M980" s="352"/>
      <c r="N980" s="352"/>
      <c r="O980" s="352"/>
      <c r="P980" s="352"/>
      <c r="Q980" s="352"/>
      <c r="R980" s="352"/>
    </row>
    <row r="981" ht="32.25" customHeight="1">
      <c r="A981" s="58"/>
      <c r="B981" s="149"/>
      <c r="C981" s="58"/>
      <c r="D981" s="58"/>
      <c r="E981" s="58"/>
      <c r="F981" s="58"/>
      <c r="G981" s="58"/>
      <c r="H981" s="373"/>
      <c r="I981" s="352"/>
      <c r="J981" s="352"/>
      <c r="K981" s="352"/>
      <c r="L981" s="352"/>
      <c r="M981" s="352"/>
      <c r="N981" s="352"/>
      <c r="O981" s="352"/>
      <c r="P981" s="352"/>
      <c r="Q981" s="352"/>
      <c r="R981" s="352"/>
    </row>
    <row r="982" ht="32.25" customHeight="1">
      <c r="A982" s="58"/>
      <c r="B982" s="149"/>
      <c r="C982" s="58"/>
      <c r="D982" s="58"/>
      <c r="E982" s="58"/>
      <c r="F982" s="58"/>
      <c r="G982" s="58"/>
      <c r="H982" s="373"/>
      <c r="I982" s="352"/>
      <c r="J982" s="352"/>
      <c r="K982" s="352"/>
      <c r="L982" s="352"/>
      <c r="M982" s="352"/>
      <c r="N982" s="352"/>
      <c r="O982" s="352"/>
      <c r="P982" s="352"/>
      <c r="Q982" s="352"/>
      <c r="R982" s="352"/>
    </row>
    <row r="983" ht="32.25" customHeight="1">
      <c r="A983" s="58"/>
      <c r="B983" s="149"/>
      <c r="C983" s="58"/>
      <c r="D983" s="58"/>
      <c r="E983" s="58"/>
      <c r="F983" s="58"/>
      <c r="G983" s="58"/>
      <c r="H983" s="373"/>
      <c r="I983" s="352"/>
      <c r="J983" s="352"/>
      <c r="K983" s="352"/>
      <c r="L983" s="352"/>
      <c r="M983" s="352"/>
      <c r="N983" s="352"/>
      <c r="O983" s="352"/>
      <c r="P983" s="352"/>
      <c r="Q983" s="352"/>
      <c r="R983" s="352"/>
    </row>
    <row r="984" ht="32.25" customHeight="1">
      <c r="A984" s="58"/>
      <c r="B984" s="149"/>
      <c r="C984" s="58"/>
      <c r="D984" s="58"/>
      <c r="E984" s="58"/>
      <c r="F984" s="58"/>
      <c r="G984" s="58"/>
      <c r="H984" s="373"/>
      <c r="I984" s="352"/>
      <c r="J984" s="352"/>
      <c r="K984" s="352"/>
      <c r="L984" s="352"/>
      <c r="M984" s="352"/>
      <c r="N984" s="352"/>
      <c r="O984" s="352"/>
      <c r="P984" s="352"/>
      <c r="Q984" s="352"/>
      <c r="R984" s="352"/>
    </row>
    <row r="985" ht="32.25" customHeight="1">
      <c r="A985" s="58"/>
      <c r="B985" s="149"/>
      <c r="C985" s="58"/>
      <c r="D985" s="58"/>
      <c r="E985" s="58"/>
      <c r="F985" s="58"/>
      <c r="G985" s="58"/>
      <c r="H985" s="373"/>
      <c r="I985" s="352"/>
      <c r="J985" s="352"/>
      <c r="K985" s="352"/>
      <c r="L985" s="352"/>
      <c r="M985" s="352"/>
      <c r="N985" s="352"/>
      <c r="O985" s="352"/>
      <c r="P985" s="352"/>
      <c r="Q985" s="352"/>
      <c r="R985" s="352"/>
    </row>
    <row r="986" ht="32.25" customHeight="1">
      <c r="A986" s="58"/>
      <c r="B986" s="149"/>
      <c r="C986" s="58"/>
      <c r="D986" s="58"/>
      <c r="E986" s="58"/>
      <c r="F986" s="58"/>
      <c r="G986" s="58"/>
      <c r="H986" s="373"/>
      <c r="I986" s="352"/>
      <c r="J986" s="352"/>
      <c r="K986" s="352"/>
      <c r="L986" s="352"/>
      <c r="M986" s="352"/>
      <c r="N986" s="352"/>
      <c r="O986" s="352"/>
      <c r="P986" s="352"/>
      <c r="Q986" s="352"/>
      <c r="R986" s="352"/>
    </row>
    <row r="987" ht="32.25" customHeight="1">
      <c r="A987" s="58"/>
      <c r="B987" s="149"/>
      <c r="C987" s="58"/>
      <c r="D987" s="58"/>
      <c r="E987" s="58"/>
      <c r="F987" s="58"/>
      <c r="G987" s="58"/>
      <c r="H987" s="373"/>
      <c r="I987" s="352"/>
      <c r="J987" s="352"/>
      <c r="K987" s="352"/>
      <c r="L987" s="352"/>
      <c r="M987" s="352"/>
      <c r="N987" s="352"/>
      <c r="O987" s="352"/>
      <c r="P987" s="352"/>
      <c r="Q987" s="352"/>
      <c r="R987" s="352"/>
    </row>
    <row r="988" ht="32.25" customHeight="1">
      <c r="A988" s="58"/>
      <c r="B988" s="149"/>
      <c r="C988" s="58"/>
      <c r="D988" s="58"/>
      <c r="E988" s="58"/>
      <c r="F988" s="58"/>
      <c r="G988" s="58"/>
      <c r="H988" s="373"/>
      <c r="I988" s="352"/>
      <c r="J988" s="352"/>
      <c r="K988" s="352"/>
      <c r="L988" s="352"/>
      <c r="M988" s="352"/>
      <c r="N988" s="352"/>
      <c r="O988" s="352"/>
      <c r="P988" s="352"/>
      <c r="Q988" s="352"/>
      <c r="R988" s="352"/>
    </row>
    <row r="989" ht="32.25" customHeight="1">
      <c r="A989" s="58"/>
      <c r="B989" s="149"/>
      <c r="C989" s="58"/>
      <c r="D989" s="58"/>
      <c r="E989" s="58"/>
      <c r="F989" s="58"/>
      <c r="G989" s="58"/>
      <c r="H989" s="373"/>
      <c r="I989" s="352"/>
      <c r="J989" s="352"/>
      <c r="K989" s="352"/>
      <c r="L989" s="352"/>
      <c r="M989" s="352"/>
      <c r="N989" s="352"/>
      <c r="O989" s="352"/>
      <c r="P989" s="352"/>
      <c r="Q989" s="352"/>
      <c r="R989" s="352"/>
    </row>
    <row r="990" ht="32.25" customHeight="1">
      <c r="A990" s="58"/>
      <c r="B990" s="149"/>
      <c r="C990" s="58"/>
      <c r="D990" s="58"/>
      <c r="E990" s="58"/>
      <c r="F990" s="58"/>
      <c r="G990" s="58"/>
      <c r="H990" s="373"/>
      <c r="I990" s="352"/>
      <c r="J990" s="352"/>
      <c r="K990" s="352"/>
      <c r="L990" s="352"/>
      <c r="M990" s="352"/>
      <c r="N990" s="352"/>
      <c r="O990" s="352"/>
      <c r="P990" s="352"/>
      <c r="Q990" s="352"/>
      <c r="R990" s="352"/>
    </row>
    <row r="991" ht="32.25" customHeight="1">
      <c r="A991" s="58"/>
      <c r="B991" s="149"/>
      <c r="C991" s="58"/>
      <c r="D991" s="58"/>
      <c r="E991" s="58"/>
      <c r="F991" s="58"/>
      <c r="G991" s="58"/>
      <c r="H991" s="373"/>
      <c r="I991" s="352"/>
      <c r="J991" s="352"/>
      <c r="K991" s="352"/>
      <c r="L991" s="352"/>
      <c r="M991" s="352"/>
      <c r="N991" s="352"/>
      <c r="O991" s="352"/>
      <c r="P991" s="352"/>
      <c r="Q991" s="352"/>
      <c r="R991" s="352"/>
    </row>
    <row r="992" ht="32.25" customHeight="1">
      <c r="A992" s="58"/>
      <c r="B992" s="149"/>
      <c r="C992" s="58"/>
      <c r="D992" s="58"/>
      <c r="E992" s="58"/>
      <c r="F992" s="58"/>
      <c r="G992" s="58"/>
      <c r="H992" s="373"/>
      <c r="I992" s="352"/>
      <c r="J992" s="352"/>
      <c r="K992" s="352"/>
      <c r="L992" s="352"/>
      <c r="M992" s="352"/>
      <c r="N992" s="352"/>
      <c r="O992" s="352"/>
      <c r="P992" s="352"/>
      <c r="Q992" s="352"/>
      <c r="R992" s="352"/>
    </row>
    <row r="993" ht="32.25" customHeight="1">
      <c r="A993" s="58"/>
      <c r="B993" s="149"/>
      <c r="C993" s="58"/>
      <c r="D993" s="58"/>
      <c r="E993" s="58"/>
      <c r="F993" s="58"/>
      <c r="G993" s="58"/>
      <c r="H993" s="373"/>
      <c r="I993" s="352"/>
      <c r="J993" s="352"/>
      <c r="K993" s="352"/>
      <c r="L993" s="352"/>
      <c r="M993" s="352"/>
      <c r="N993" s="352"/>
      <c r="O993" s="352"/>
      <c r="P993" s="352"/>
      <c r="Q993" s="352"/>
      <c r="R993" s="352"/>
    </row>
    <row r="994" ht="32.25" customHeight="1">
      <c r="A994" s="58"/>
      <c r="B994" s="149"/>
      <c r="C994" s="58"/>
      <c r="D994" s="58"/>
      <c r="E994" s="58"/>
      <c r="F994" s="58"/>
      <c r="G994" s="58"/>
      <c r="H994" s="373"/>
      <c r="I994" s="352"/>
      <c r="J994" s="352"/>
      <c r="K994" s="352"/>
      <c r="L994" s="352"/>
      <c r="M994" s="352"/>
      <c r="N994" s="352"/>
      <c r="O994" s="352"/>
      <c r="P994" s="352"/>
      <c r="Q994" s="352"/>
      <c r="R994" s="352"/>
    </row>
    <row r="995" ht="32.25" customHeight="1">
      <c r="A995" s="58"/>
      <c r="B995" s="149"/>
      <c r="C995" s="58"/>
      <c r="D995" s="58"/>
      <c r="E995" s="58"/>
      <c r="F995" s="58"/>
      <c r="G995" s="58"/>
      <c r="H995" s="373"/>
      <c r="I995" s="352"/>
      <c r="J995" s="352"/>
      <c r="K995" s="352"/>
      <c r="L995" s="352"/>
      <c r="M995" s="352"/>
      <c r="N995" s="352"/>
      <c r="O995" s="352"/>
      <c r="P995" s="352"/>
      <c r="Q995" s="352"/>
      <c r="R995" s="352"/>
    </row>
    <row r="996" ht="32.25" customHeight="1">
      <c r="A996" s="58"/>
      <c r="B996" s="149"/>
      <c r="C996" s="58"/>
      <c r="D996" s="58"/>
      <c r="E996" s="58"/>
      <c r="F996" s="58"/>
      <c r="G996" s="58"/>
      <c r="H996" s="373"/>
      <c r="I996" s="352"/>
      <c r="J996" s="352"/>
      <c r="K996" s="352"/>
      <c r="L996" s="352"/>
      <c r="M996" s="352"/>
      <c r="N996" s="352"/>
      <c r="O996" s="352"/>
      <c r="P996" s="352"/>
      <c r="Q996" s="352"/>
      <c r="R996" s="352"/>
    </row>
    <row r="997" ht="32.25" customHeight="1">
      <c r="A997" s="58"/>
      <c r="B997" s="149"/>
      <c r="C997" s="58"/>
      <c r="D997" s="58"/>
      <c r="E997" s="58"/>
      <c r="F997" s="58"/>
      <c r="G997" s="58"/>
      <c r="H997" s="373"/>
      <c r="I997" s="352"/>
      <c r="J997" s="352"/>
      <c r="K997" s="352"/>
      <c r="L997" s="352"/>
      <c r="M997" s="352"/>
      <c r="N997" s="352"/>
      <c r="O997" s="352"/>
      <c r="P997" s="352"/>
      <c r="Q997" s="352"/>
      <c r="R997" s="352"/>
    </row>
    <row r="998" ht="32.25" customHeight="1">
      <c r="A998" s="58"/>
      <c r="B998" s="149"/>
      <c r="C998" s="58"/>
      <c r="D998" s="58"/>
      <c r="E998" s="58"/>
      <c r="F998" s="58"/>
      <c r="G998" s="58"/>
      <c r="H998" s="373"/>
      <c r="I998" s="352"/>
      <c r="J998" s="352"/>
      <c r="K998" s="352"/>
      <c r="L998" s="352"/>
      <c r="M998" s="352"/>
      <c r="N998" s="352"/>
      <c r="O998" s="352"/>
      <c r="P998" s="352"/>
      <c r="Q998" s="352"/>
      <c r="R998" s="352"/>
    </row>
    <row r="999" ht="32.25" customHeight="1">
      <c r="A999" s="58"/>
      <c r="B999" s="149"/>
      <c r="C999" s="58"/>
      <c r="D999" s="58"/>
      <c r="E999" s="58"/>
      <c r="F999" s="58"/>
      <c r="G999" s="58"/>
      <c r="H999" s="373"/>
      <c r="I999" s="352"/>
      <c r="J999" s="352"/>
      <c r="K999" s="352"/>
      <c r="L999" s="352"/>
      <c r="M999" s="352"/>
      <c r="N999" s="352"/>
      <c r="O999" s="352"/>
      <c r="P999" s="352"/>
      <c r="Q999" s="352"/>
      <c r="R999" s="352"/>
    </row>
    <row r="1000" ht="32.25" customHeight="1">
      <c r="A1000" s="58"/>
      <c r="B1000" s="149"/>
      <c r="C1000" s="58"/>
      <c r="D1000" s="58"/>
      <c r="E1000" s="58"/>
      <c r="F1000" s="58"/>
      <c r="G1000" s="58"/>
      <c r="H1000" s="373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</row>
    <row r="1001" ht="32.25" customHeight="1">
      <c r="A1001" s="58"/>
      <c r="B1001" s="149"/>
      <c r="C1001" s="58"/>
      <c r="D1001" s="58"/>
      <c r="E1001" s="58"/>
      <c r="F1001" s="58"/>
      <c r="G1001" s="58"/>
      <c r="H1001" s="373"/>
      <c r="I1001" s="352"/>
      <c r="J1001" s="352"/>
      <c r="K1001" s="352"/>
      <c r="L1001" s="352"/>
      <c r="M1001" s="352"/>
      <c r="N1001" s="352"/>
      <c r="O1001" s="352"/>
      <c r="P1001" s="352"/>
      <c r="Q1001" s="352"/>
      <c r="R1001" s="352"/>
    </row>
    <row r="1002" ht="32.25" customHeight="1">
      <c r="A1002" s="58"/>
      <c r="B1002" s="149"/>
      <c r="C1002" s="58"/>
      <c r="D1002" s="58"/>
      <c r="E1002" s="58"/>
      <c r="F1002" s="58"/>
      <c r="G1002" s="58"/>
      <c r="H1002" s="373"/>
      <c r="I1002" s="352"/>
      <c r="J1002" s="352"/>
      <c r="K1002" s="352"/>
      <c r="L1002" s="352"/>
      <c r="M1002" s="352"/>
      <c r="N1002" s="352"/>
      <c r="O1002" s="352"/>
      <c r="P1002" s="352"/>
      <c r="Q1002" s="352"/>
      <c r="R1002" s="352"/>
    </row>
    <row r="1003" ht="32.25" customHeight="1">
      <c r="A1003" s="58"/>
      <c r="B1003" s="149"/>
      <c r="C1003" s="58"/>
      <c r="D1003" s="58"/>
      <c r="E1003" s="58"/>
      <c r="F1003" s="58"/>
      <c r="G1003" s="58"/>
      <c r="H1003" s="373"/>
      <c r="I1003" s="352"/>
      <c r="J1003" s="352"/>
      <c r="K1003" s="352"/>
      <c r="L1003" s="352"/>
      <c r="M1003" s="352"/>
      <c r="N1003" s="352"/>
      <c r="O1003" s="352"/>
      <c r="P1003" s="352"/>
      <c r="Q1003" s="352"/>
      <c r="R1003" s="352"/>
    </row>
    <row r="1004" ht="32.25" customHeight="1">
      <c r="A1004" s="58"/>
      <c r="B1004" s="149"/>
      <c r="C1004" s="58"/>
      <c r="D1004" s="58"/>
      <c r="E1004" s="58"/>
      <c r="F1004" s="58"/>
      <c r="G1004" s="58"/>
      <c r="H1004" s="373"/>
      <c r="I1004" s="352"/>
      <c r="J1004" s="352"/>
      <c r="K1004" s="352"/>
      <c r="L1004" s="352"/>
      <c r="M1004" s="352"/>
      <c r="N1004" s="352"/>
      <c r="O1004" s="352"/>
      <c r="P1004" s="352"/>
      <c r="Q1004" s="352"/>
      <c r="R1004" s="352"/>
    </row>
    <row r="1005" ht="32.25" customHeight="1">
      <c r="A1005" s="58"/>
      <c r="B1005" s="149"/>
      <c r="C1005" s="58"/>
      <c r="D1005" s="58"/>
      <c r="E1005" s="58"/>
      <c r="F1005" s="58"/>
      <c r="G1005" s="58"/>
      <c r="H1005" s="373"/>
      <c r="I1005" s="352"/>
      <c r="J1005" s="352"/>
      <c r="K1005" s="352"/>
      <c r="L1005" s="352"/>
      <c r="M1005" s="352"/>
      <c r="N1005" s="352"/>
      <c r="O1005" s="352"/>
      <c r="P1005" s="352"/>
      <c r="Q1005" s="352"/>
      <c r="R1005" s="352"/>
    </row>
    <row r="1006" ht="32.25" customHeight="1">
      <c r="A1006" s="58"/>
      <c r="B1006" s="149"/>
      <c r="C1006" s="58"/>
      <c r="D1006" s="58"/>
      <c r="E1006" s="58"/>
      <c r="F1006" s="58"/>
      <c r="G1006" s="58"/>
      <c r="H1006" s="373"/>
      <c r="I1006" s="352"/>
      <c r="J1006" s="352"/>
      <c r="K1006" s="352"/>
      <c r="L1006" s="352"/>
      <c r="M1006" s="352"/>
      <c r="N1006" s="352"/>
      <c r="O1006" s="352"/>
      <c r="P1006" s="352"/>
      <c r="Q1006" s="352"/>
      <c r="R1006" s="352"/>
    </row>
    <row r="1007" ht="32.25" customHeight="1">
      <c r="A1007" s="58"/>
      <c r="B1007" s="149"/>
      <c r="C1007" s="58"/>
      <c r="D1007" s="58"/>
      <c r="E1007" s="58"/>
      <c r="F1007" s="58"/>
      <c r="G1007" s="58"/>
      <c r="H1007" s="373"/>
      <c r="I1007" s="352"/>
      <c r="J1007" s="352"/>
      <c r="K1007" s="352"/>
      <c r="L1007" s="352"/>
      <c r="M1007" s="352"/>
      <c r="N1007" s="352"/>
      <c r="O1007" s="352"/>
      <c r="P1007" s="352"/>
      <c r="Q1007" s="352"/>
      <c r="R1007" s="352"/>
    </row>
    <row r="1008" ht="32.25" customHeight="1">
      <c r="A1008" s="58"/>
      <c r="B1008" s="149"/>
      <c r="C1008" s="58"/>
      <c r="D1008" s="58"/>
      <c r="E1008" s="58"/>
      <c r="F1008" s="58"/>
      <c r="G1008" s="58"/>
      <c r="H1008" s="373"/>
      <c r="I1008" s="352"/>
      <c r="J1008" s="352"/>
      <c r="K1008" s="352"/>
      <c r="L1008" s="352"/>
      <c r="M1008" s="352"/>
      <c r="N1008" s="352"/>
      <c r="O1008" s="352"/>
      <c r="P1008" s="352"/>
      <c r="Q1008" s="352"/>
      <c r="R1008" s="352"/>
    </row>
    <row r="1009" ht="32.25" customHeight="1">
      <c r="A1009" s="58"/>
      <c r="B1009" s="149"/>
      <c r="C1009" s="58"/>
      <c r="D1009" s="58"/>
      <c r="E1009" s="58"/>
      <c r="F1009" s="58"/>
      <c r="G1009" s="58"/>
      <c r="H1009" s="373"/>
      <c r="I1009" s="352"/>
      <c r="J1009" s="352"/>
      <c r="K1009" s="352"/>
      <c r="L1009" s="352"/>
      <c r="M1009" s="352"/>
      <c r="N1009" s="352"/>
      <c r="O1009" s="352"/>
      <c r="P1009" s="352"/>
      <c r="Q1009" s="352"/>
      <c r="R1009" s="352"/>
    </row>
    <row r="1010" ht="32.25" customHeight="1">
      <c r="A1010" s="58"/>
      <c r="B1010" s="149"/>
      <c r="C1010" s="58"/>
      <c r="D1010" s="58"/>
      <c r="E1010" s="58"/>
      <c r="F1010" s="58"/>
      <c r="G1010" s="58"/>
      <c r="H1010" s="373"/>
      <c r="I1010" s="352"/>
      <c r="J1010" s="352"/>
      <c r="K1010" s="352"/>
      <c r="L1010" s="352"/>
      <c r="M1010" s="352"/>
      <c r="N1010" s="352"/>
      <c r="O1010" s="352"/>
      <c r="P1010" s="352"/>
      <c r="Q1010" s="352"/>
      <c r="R1010" s="352"/>
    </row>
    <row r="1011" ht="32.25" customHeight="1">
      <c r="A1011" s="58"/>
      <c r="B1011" s="149"/>
      <c r="C1011" s="58"/>
      <c r="D1011" s="58"/>
      <c r="E1011" s="58"/>
      <c r="F1011" s="58"/>
      <c r="G1011" s="58"/>
      <c r="H1011" s="373"/>
      <c r="I1011" s="352"/>
      <c r="J1011" s="352"/>
      <c r="K1011" s="352"/>
      <c r="L1011" s="352"/>
      <c r="M1011" s="352"/>
      <c r="N1011" s="352"/>
      <c r="O1011" s="352"/>
      <c r="P1011" s="352"/>
      <c r="Q1011" s="352"/>
      <c r="R1011" s="352"/>
    </row>
    <row r="1012" ht="32.25" customHeight="1">
      <c r="A1012" s="58"/>
      <c r="B1012" s="149"/>
      <c r="C1012" s="58"/>
      <c r="D1012" s="58"/>
      <c r="E1012" s="58"/>
      <c r="F1012" s="58"/>
      <c r="G1012" s="58"/>
      <c r="H1012" s="373"/>
      <c r="I1012" s="352"/>
      <c r="J1012" s="352"/>
      <c r="K1012" s="352"/>
      <c r="L1012" s="352"/>
      <c r="M1012" s="352"/>
      <c r="N1012" s="352"/>
      <c r="O1012" s="352"/>
      <c r="P1012" s="352"/>
      <c r="Q1012" s="352"/>
      <c r="R1012" s="352"/>
    </row>
    <row r="1013" ht="32.25" customHeight="1">
      <c r="A1013" s="58"/>
      <c r="B1013" s="149"/>
      <c r="C1013" s="58"/>
      <c r="D1013" s="58"/>
      <c r="E1013" s="58"/>
      <c r="F1013" s="58"/>
      <c r="G1013" s="58"/>
      <c r="H1013" s="373"/>
      <c r="I1013" s="352"/>
      <c r="J1013" s="352"/>
      <c r="K1013" s="352"/>
      <c r="L1013" s="352"/>
      <c r="M1013" s="352"/>
      <c r="N1013" s="352"/>
      <c r="O1013" s="352"/>
      <c r="P1013" s="352"/>
      <c r="Q1013" s="352"/>
      <c r="R1013" s="352"/>
    </row>
    <row r="1014" ht="32.25" customHeight="1">
      <c r="A1014" s="58"/>
      <c r="B1014" s="149"/>
      <c r="C1014" s="58"/>
      <c r="D1014" s="58"/>
      <c r="E1014" s="58"/>
      <c r="F1014" s="58"/>
      <c r="G1014" s="58"/>
      <c r="H1014" s="373"/>
      <c r="I1014" s="352"/>
      <c r="J1014" s="352"/>
      <c r="K1014" s="352"/>
      <c r="L1014" s="352"/>
      <c r="M1014" s="352"/>
      <c r="N1014" s="352"/>
      <c r="O1014" s="352"/>
      <c r="P1014" s="352"/>
      <c r="Q1014" s="352"/>
      <c r="R1014" s="352"/>
    </row>
    <row r="1015" ht="32.25" customHeight="1">
      <c r="A1015" s="58"/>
      <c r="B1015" s="149"/>
      <c r="C1015" s="58"/>
      <c r="D1015" s="58"/>
      <c r="E1015" s="58"/>
      <c r="F1015" s="58"/>
      <c r="G1015" s="58"/>
      <c r="H1015" s="373"/>
      <c r="I1015" s="352"/>
      <c r="J1015" s="352"/>
      <c r="K1015" s="352"/>
      <c r="L1015" s="352"/>
      <c r="M1015" s="352"/>
      <c r="N1015" s="352"/>
      <c r="O1015" s="352"/>
      <c r="P1015" s="352"/>
      <c r="Q1015" s="352"/>
      <c r="R1015" s="352"/>
    </row>
    <row r="1016" ht="32.25" customHeight="1">
      <c r="A1016" s="58"/>
      <c r="B1016" s="149"/>
      <c r="C1016" s="58"/>
      <c r="D1016" s="58"/>
      <c r="E1016" s="58"/>
      <c r="F1016" s="58"/>
      <c r="G1016" s="58"/>
      <c r="H1016" s="373"/>
      <c r="I1016" s="352"/>
      <c r="J1016" s="352"/>
      <c r="K1016" s="352"/>
      <c r="L1016" s="352"/>
      <c r="M1016" s="352"/>
      <c r="N1016" s="352"/>
      <c r="O1016" s="352"/>
      <c r="P1016" s="352"/>
      <c r="Q1016" s="352"/>
      <c r="R1016" s="352"/>
    </row>
    <row r="1017" ht="32.25" customHeight="1">
      <c r="A1017" s="58"/>
      <c r="B1017" s="149"/>
      <c r="C1017" s="58"/>
      <c r="D1017" s="58"/>
      <c r="E1017" s="58"/>
      <c r="F1017" s="58"/>
      <c r="G1017" s="58"/>
      <c r="H1017" s="373"/>
      <c r="I1017" s="352"/>
      <c r="J1017" s="352"/>
      <c r="K1017" s="352"/>
      <c r="L1017" s="352"/>
      <c r="M1017" s="352"/>
      <c r="N1017" s="352"/>
      <c r="O1017" s="352"/>
      <c r="P1017" s="352"/>
      <c r="Q1017" s="352"/>
      <c r="R1017" s="352"/>
    </row>
    <row r="1018" ht="32.25" customHeight="1">
      <c r="A1018" s="58"/>
      <c r="B1018" s="149"/>
      <c r="C1018" s="58"/>
      <c r="D1018" s="58"/>
      <c r="E1018" s="58"/>
      <c r="F1018" s="58"/>
      <c r="G1018" s="58"/>
      <c r="H1018" s="373"/>
      <c r="I1018" s="352"/>
      <c r="J1018" s="352"/>
      <c r="K1018" s="352"/>
      <c r="L1018" s="352"/>
      <c r="M1018" s="352"/>
      <c r="N1018" s="352"/>
      <c r="O1018" s="352"/>
      <c r="P1018" s="352"/>
      <c r="Q1018" s="352"/>
      <c r="R1018" s="352"/>
    </row>
    <row r="1019" ht="32.25" customHeight="1">
      <c r="A1019" s="58"/>
      <c r="B1019" s="149"/>
      <c r="C1019" s="58"/>
      <c r="D1019" s="58"/>
      <c r="E1019" s="58"/>
      <c r="F1019" s="58"/>
      <c r="G1019" s="58"/>
      <c r="H1019" s="373"/>
      <c r="I1019" s="352"/>
      <c r="J1019" s="352"/>
      <c r="K1019" s="352"/>
      <c r="L1019" s="352"/>
      <c r="M1019" s="352"/>
      <c r="N1019" s="352"/>
      <c r="O1019" s="352"/>
      <c r="P1019" s="352"/>
      <c r="Q1019" s="352"/>
      <c r="R1019" s="352"/>
    </row>
    <row r="1020" ht="32.25" customHeight="1">
      <c r="A1020" s="58"/>
      <c r="B1020" s="149"/>
      <c r="C1020" s="58"/>
      <c r="D1020" s="58"/>
      <c r="E1020" s="58"/>
      <c r="F1020" s="58"/>
      <c r="G1020" s="58"/>
      <c r="H1020" s="373"/>
      <c r="I1020" s="352"/>
      <c r="J1020" s="352"/>
      <c r="K1020" s="352"/>
      <c r="L1020" s="352"/>
      <c r="M1020" s="352"/>
      <c r="N1020" s="352"/>
      <c r="O1020" s="352"/>
      <c r="P1020" s="352"/>
      <c r="Q1020" s="352"/>
      <c r="R1020" s="352"/>
    </row>
    <row r="1021" ht="32.25" customHeight="1">
      <c r="A1021" s="58"/>
      <c r="B1021" s="149"/>
      <c r="C1021" s="58"/>
      <c r="D1021" s="58"/>
      <c r="E1021" s="58"/>
      <c r="F1021" s="58"/>
      <c r="G1021" s="58"/>
      <c r="H1021" s="373"/>
      <c r="I1021" s="352"/>
      <c r="J1021" s="352"/>
      <c r="K1021" s="352"/>
      <c r="L1021" s="352"/>
      <c r="M1021" s="352"/>
      <c r="N1021" s="352"/>
      <c r="O1021" s="352"/>
      <c r="P1021" s="352"/>
      <c r="Q1021" s="352"/>
      <c r="R1021" s="352"/>
    </row>
    <row r="1022" ht="32.25" customHeight="1">
      <c r="A1022" s="58"/>
      <c r="B1022" s="149"/>
      <c r="C1022" s="58"/>
      <c r="D1022" s="58"/>
      <c r="E1022" s="58"/>
      <c r="F1022" s="58"/>
      <c r="G1022" s="58"/>
      <c r="H1022" s="373"/>
      <c r="I1022" s="352"/>
      <c r="J1022" s="352"/>
      <c r="K1022" s="352"/>
      <c r="L1022" s="352"/>
      <c r="M1022" s="352"/>
      <c r="N1022" s="352"/>
      <c r="O1022" s="352"/>
      <c r="P1022" s="352"/>
      <c r="Q1022" s="352"/>
      <c r="R1022" s="352"/>
    </row>
    <row r="1023" ht="32.25" customHeight="1">
      <c r="A1023" s="58"/>
      <c r="B1023" s="149"/>
      <c r="C1023" s="58"/>
      <c r="D1023" s="58"/>
      <c r="E1023" s="58"/>
      <c r="F1023" s="58"/>
      <c r="G1023" s="58"/>
      <c r="H1023" s="373"/>
      <c r="I1023" s="352"/>
      <c r="J1023" s="352"/>
      <c r="K1023" s="352"/>
      <c r="L1023" s="352"/>
      <c r="M1023" s="352"/>
      <c r="N1023" s="352"/>
      <c r="O1023" s="352"/>
      <c r="P1023" s="352"/>
      <c r="Q1023" s="352"/>
      <c r="R1023" s="352"/>
    </row>
    <row r="1024" ht="32.25" customHeight="1">
      <c r="A1024" s="58"/>
      <c r="B1024" s="149"/>
      <c r="C1024" s="58"/>
      <c r="D1024" s="58"/>
      <c r="E1024" s="58"/>
      <c r="F1024" s="58"/>
      <c r="G1024" s="58"/>
      <c r="H1024" s="373"/>
      <c r="I1024" s="352"/>
      <c r="J1024" s="352"/>
      <c r="K1024" s="352"/>
      <c r="L1024" s="352"/>
      <c r="M1024" s="352"/>
      <c r="N1024" s="352"/>
      <c r="O1024" s="352"/>
      <c r="P1024" s="352"/>
      <c r="Q1024" s="352"/>
      <c r="R1024" s="352"/>
    </row>
    <row r="1025" ht="32.25" customHeight="1">
      <c r="A1025" s="58"/>
      <c r="B1025" s="149"/>
      <c r="C1025" s="58"/>
      <c r="D1025" s="58"/>
      <c r="E1025" s="58"/>
      <c r="F1025" s="58"/>
      <c r="G1025" s="58"/>
      <c r="H1025" s="373"/>
      <c r="I1025" s="352"/>
      <c r="J1025" s="352"/>
      <c r="K1025" s="352"/>
      <c r="L1025" s="352"/>
      <c r="M1025" s="352"/>
      <c r="N1025" s="352"/>
      <c r="O1025" s="352"/>
      <c r="P1025" s="352"/>
      <c r="Q1025" s="352"/>
      <c r="R1025" s="352"/>
    </row>
    <row r="1026" ht="32.25" customHeight="1">
      <c r="A1026" s="58"/>
      <c r="B1026" s="149"/>
      <c r="C1026" s="58"/>
      <c r="D1026" s="58"/>
      <c r="E1026" s="58"/>
      <c r="F1026" s="58"/>
      <c r="G1026" s="58"/>
      <c r="H1026" s="373"/>
      <c r="I1026" s="352"/>
      <c r="J1026" s="352"/>
      <c r="K1026" s="352"/>
      <c r="L1026" s="352"/>
      <c r="M1026" s="352"/>
      <c r="N1026" s="352"/>
      <c r="O1026" s="352"/>
      <c r="P1026" s="352"/>
      <c r="Q1026" s="352"/>
      <c r="R1026" s="352"/>
    </row>
    <row r="1027" ht="32.25" customHeight="1">
      <c r="A1027" s="58"/>
      <c r="B1027" s="149"/>
      <c r="C1027" s="58"/>
      <c r="D1027" s="58"/>
      <c r="E1027" s="58"/>
      <c r="F1027" s="58"/>
      <c r="G1027" s="58"/>
      <c r="H1027" s="373"/>
      <c r="I1027" s="352"/>
      <c r="J1027" s="352"/>
      <c r="K1027" s="352"/>
      <c r="L1027" s="352"/>
      <c r="M1027" s="352"/>
      <c r="N1027" s="352"/>
      <c r="O1027" s="352"/>
      <c r="P1027" s="352"/>
      <c r="Q1027" s="352"/>
      <c r="R1027" s="352"/>
    </row>
    <row r="1028" ht="32.25" customHeight="1">
      <c r="A1028" s="58"/>
      <c r="B1028" s="149"/>
      <c r="C1028" s="58"/>
      <c r="D1028" s="58"/>
      <c r="E1028" s="58"/>
      <c r="F1028" s="58"/>
      <c r="G1028" s="58"/>
      <c r="H1028" s="373"/>
      <c r="I1028" s="352"/>
      <c r="J1028" s="352"/>
      <c r="K1028" s="352"/>
      <c r="L1028" s="352"/>
      <c r="M1028" s="352"/>
      <c r="N1028" s="352"/>
      <c r="O1028" s="352"/>
      <c r="P1028" s="352"/>
      <c r="Q1028" s="352"/>
      <c r="R1028" s="352"/>
    </row>
    <row r="1029" ht="32.25" customHeight="1">
      <c r="A1029" s="58"/>
      <c r="B1029" s="149"/>
      <c r="C1029" s="58"/>
      <c r="D1029" s="58"/>
      <c r="E1029" s="58"/>
      <c r="F1029" s="58"/>
      <c r="G1029" s="58"/>
      <c r="H1029" s="373"/>
      <c r="I1029" s="352"/>
      <c r="J1029" s="352"/>
      <c r="K1029" s="352"/>
      <c r="L1029" s="352"/>
      <c r="M1029" s="352"/>
      <c r="N1029" s="352"/>
      <c r="O1029" s="352"/>
      <c r="P1029" s="352"/>
      <c r="Q1029" s="352"/>
      <c r="R1029" s="352"/>
    </row>
    <row r="1030" ht="32.25" customHeight="1">
      <c r="A1030" s="58"/>
      <c r="B1030" s="149"/>
      <c r="C1030" s="58"/>
      <c r="D1030" s="58"/>
      <c r="E1030" s="58"/>
      <c r="F1030" s="58"/>
      <c r="G1030" s="58"/>
      <c r="H1030" s="373"/>
      <c r="I1030" s="352"/>
      <c r="J1030" s="352"/>
      <c r="K1030" s="352"/>
      <c r="L1030" s="352"/>
      <c r="M1030" s="352"/>
      <c r="N1030" s="352"/>
      <c r="O1030" s="352"/>
      <c r="P1030" s="352"/>
      <c r="Q1030" s="352"/>
      <c r="R1030" s="352"/>
    </row>
    <row r="1031" ht="32.25" customHeight="1">
      <c r="A1031" s="58"/>
      <c r="B1031" s="149"/>
      <c r="C1031" s="58"/>
      <c r="D1031" s="58"/>
      <c r="E1031" s="58"/>
      <c r="F1031" s="58"/>
      <c r="G1031" s="58"/>
      <c r="H1031" s="373"/>
      <c r="I1031" s="352"/>
      <c r="J1031" s="352"/>
      <c r="K1031" s="352"/>
      <c r="L1031" s="352"/>
      <c r="M1031" s="352"/>
      <c r="N1031" s="352"/>
      <c r="O1031" s="352"/>
      <c r="P1031" s="352"/>
      <c r="Q1031" s="352"/>
      <c r="R1031" s="352"/>
    </row>
    <row r="1032" ht="32.25" customHeight="1">
      <c r="A1032" s="58"/>
      <c r="B1032" s="149"/>
      <c r="C1032" s="58"/>
      <c r="D1032" s="58"/>
      <c r="E1032" s="58"/>
      <c r="F1032" s="58"/>
      <c r="G1032" s="58"/>
      <c r="H1032" s="373"/>
      <c r="I1032" s="352"/>
      <c r="J1032" s="352"/>
      <c r="K1032" s="352"/>
      <c r="L1032" s="352"/>
      <c r="M1032" s="352"/>
      <c r="N1032" s="352"/>
      <c r="O1032" s="352"/>
      <c r="P1032" s="352"/>
      <c r="Q1032" s="352"/>
      <c r="R1032" s="352"/>
    </row>
    <row r="1033" ht="32.25" customHeight="1">
      <c r="A1033" s="58"/>
      <c r="B1033" s="149"/>
      <c r="C1033" s="58"/>
      <c r="D1033" s="58"/>
      <c r="E1033" s="58"/>
      <c r="F1033" s="58"/>
      <c r="G1033" s="58"/>
      <c r="H1033" s="373"/>
      <c r="I1033" s="352"/>
      <c r="J1033" s="352"/>
      <c r="K1033" s="352"/>
      <c r="L1033" s="352"/>
      <c r="M1033" s="352"/>
      <c r="N1033" s="352"/>
      <c r="O1033" s="352"/>
      <c r="P1033" s="352"/>
      <c r="Q1033" s="352"/>
      <c r="R1033" s="352"/>
    </row>
    <row r="1034" ht="32.25" customHeight="1">
      <c r="A1034" s="58"/>
      <c r="B1034" s="149"/>
      <c r="C1034" s="58"/>
      <c r="D1034" s="58"/>
      <c r="E1034" s="58"/>
      <c r="F1034" s="58"/>
      <c r="G1034" s="58"/>
      <c r="H1034" s="373"/>
      <c r="I1034" s="352"/>
      <c r="J1034" s="352"/>
      <c r="K1034" s="352"/>
      <c r="L1034" s="352"/>
      <c r="M1034" s="352"/>
      <c r="N1034" s="352"/>
      <c r="O1034" s="352"/>
      <c r="P1034" s="352"/>
      <c r="Q1034" s="352"/>
      <c r="R1034" s="352"/>
    </row>
    <row r="1035" ht="32.25" customHeight="1">
      <c r="A1035" s="58"/>
      <c r="B1035" s="149"/>
      <c r="C1035" s="58"/>
      <c r="D1035" s="58"/>
      <c r="E1035" s="58"/>
      <c r="F1035" s="58"/>
      <c r="G1035" s="58"/>
      <c r="H1035" s="373"/>
      <c r="I1035" s="352"/>
      <c r="J1035" s="352"/>
      <c r="K1035" s="352"/>
      <c r="L1035" s="352"/>
      <c r="M1035" s="352"/>
      <c r="N1035" s="352"/>
      <c r="O1035" s="352"/>
      <c r="P1035" s="352"/>
      <c r="Q1035" s="352"/>
      <c r="R1035" s="352"/>
    </row>
    <row r="1036" ht="32.25" customHeight="1">
      <c r="A1036" s="58"/>
      <c r="B1036" s="149"/>
      <c r="C1036" s="58"/>
      <c r="D1036" s="58"/>
      <c r="E1036" s="58"/>
      <c r="F1036" s="58"/>
      <c r="G1036" s="58"/>
      <c r="H1036" s="373"/>
      <c r="I1036" s="352"/>
      <c r="J1036" s="352"/>
      <c r="K1036" s="352"/>
      <c r="L1036" s="352"/>
      <c r="M1036" s="352"/>
      <c r="N1036" s="352"/>
      <c r="O1036" s="352"/>
      <c r="P1036" s="352"/>
      <c r="Q1036" s="352"/>
      <c r="R1036" s="352"/>
    </row>
    <row r="1037" ht="32.25" customHeight="1">
      <c r="A1037" s="58"/>
      <c r="B1037" s="149"/>
      <c r="C1037" s="58"/>
      <c r="D1037" s="58"/>
      <c r="E1037" s="58"/>
      <c r="F1037" s="58"/>
      <c r="G1037" s="58"/>
      <c r="H1037" s="373"/>
      <c r="I1037" s="352"/>
      <c r="J1037" s="352"/>
      <c r="K1037" s="352"/>
      <c r="L1037" s="352"/>
      <c r="M1037" s="352"/>
      <c r="N1037" s="352"/>
      <c r="O1037" s="352"/>
      <c r="P1037" s="352"/>
      <c r="Q1037" s="352"/>
      <c r="R1037" s="352"/>
    </row>
    <row r="1038" ht="32.25" customHeight="1">
      <c r="A1038" s="58"/>
      <c r="B1038" s="149"/>
      <c r="C1038" s="58"/>
      <c r="D1038" s="58"/>
      <c r="E1038" s="58"/>
      <c r="F1038" s="58"/>
      <c r="G1038" s="58"/>
      <c r="H1038" s="373"/>
      <c r="I1038" s="352"/>
      <c r="J1038" s="352"/>
      <c r="K1038" s="352"/>
      <c r="L1038" s="352"/>
      <c r="M1038" s="352"/>
      <c r="N1038" s="352"/>
      <c r="O1038" s="352"/>
      <c r="P1038" s="352"/>
      <c r="Q1038" s="352"/>
      <c r="R1038" s="352"/>
    </row>
    <row r="1039" ht="32.25" customHeight="1">
      <c r="A1039" s="58"/>
      <c r="B1039" s="149"/>
      <c r="C1039" s="58"/>
      <c r="D1039" s="58"/>
      <c r="E1039" s="58"/>
      <c r="F1039" s="58"/>
      <c r="G1039" s="58"/>
      <c r="H1039" s="373"/>
      <c r="I1039" s="352"/>
      <c r="J1039" s="352"/>
      <c r="K1039" s="352"/>
      <c r="L1039" s="352"/>
      <c r="M1039" s="352"/>
      <c r="N1039" s="352"/>
      <c r="O1039" s="352"/>
      <c r="P1039" s="352"/>
      <c r="Q1039" s="352"/>
      <c r="R1039" s="352"/>
    </row>
    <row r="1040" ht="32.25" customHeight="1">
      <c r="A1040" s="58"/>
      <c r="B1040" s="149"/>
      <c r="C1040" s="58"/>
      <c r="D1040" s="58"/>
      <c r="E1040" s="58"/>
      <c r="F1040" s="58"/>
      <c r="G1040" s="58"/>
      <c r="H1040" s="373"/>
      <c r="I1040" s="352"/>
      <c r="J1040" s="352"/>
      <c r="K1040" s="352"/>
      <c r="L1040" s="352"/>
      <c r="M1040" s="352"/>
      <c r="N1040" s="352"/>
      <c r="O1040" s="352"/>
      <c r="P1040" s="352"/>
      <c r="Q1040" s="352"/>
      <c r="R1040" s="352"/>
    </row>
    <row r="1041" ht="32.25" customHeight="1">
      <c r="A1041" s="58"/>
      <c r="B1041" s="149"/>
      <c r="C1041" s="58"/>
      <c r="D1041" s="58"/>
      <c r="E1041" s="58"/>
      <c r="F1041" s="58"/>
      <c r="G1041" s="58"/>
      <c r="H1041" s="373"/>
      <c r="I1041" s="352"/>
      <c r="J1041" s="352"/>
      <c r="K1041" s="352"/>
      <c r="L1041" s="352"/>
      <c r="M1041" s="352"/>
      <c r="N1041" s="352"/>
      <c r="O1041" s="352"/>
      <c r="P1041" s="352"/>
      <c r="Q1041" s="352"/>
      <c r="R1041" s="352"/>
    </row>
    <row r="1042" ht="32.25" customHeight="1">
      <c r="A1042" s="58"/>
      <c r="B1042" s="149"/>
      <c r="C1042" s="58"/>
      <c r="D1042" s="58"/>
      <c r="E1042" s="58"/>
      <c r="F1042" s="58"/>
      <c r="G1042" s="58"/>
      <c r="H1042" s="373"/>
      <c r="I1042" s="352"/>
      <c r="J1042" s="352"/>
      <c r="K1042" s="352"/>
      <c r="L1042" s="352"/>
      <c r="M1042" s="352"/>
      <c r="N1042" s="352"/>
      <c r="O1042" s="352"/>
      <c r="P1042" s="352"/>
      <c r="Q1042" s="352"/>
      <c r="R1042" s="352"/>
    </row>
    <row r="1043" ht="32.25" customHeight="1">
      <c r="A1043" s="58"/>
      <c r="B1043" s="149"/>
      <c r="C1043" s="58"/>
      <c r="D1043" s="58"/>
      <c r="E1043" s="58"/>
      <c r="F1043" s="58"/>
      <c r="G1043" s="58"/>
      <c r="H1043" s="373"/>
      <c r="I1043" s="352"/>
      <c r="J1043" s="352"/>
      <c r="K1043" s="352"/>
      <c r="L1043" s="352"/>
      <c r="M1043" s="352"/>
      <c r="N1043" s="352"/>
      <c r="O1043" s="352"/>
      <c r="P1043" s="352"/>
      <c r="Q1043" s="352"/>
      <c r="R1043" s="352"/>
    </row>
    <row r="1044" ht="32.25" customHeight="1">
      <c r="A1044" s="58"/>
      <c r="B1044" s="149"/>
      <c r="C1044" s="58"/>
      <c r="D1044" s="58"/>
      <c r="E1044" s="58"/>
      <c r="F1044" s="58"/>
      <c r="G1044" s="58"/>
      <c r="H1044" s="373"/>
      <c r="I1044" s="352"/>
      <c r="J1044" s="352"/>
      <c r="K1044" s="352"/>
      <c r="L1044" s="352"/>
      <c r="M1044" s="352"/>
      <c r="N1044" s="352"/>
      <c r="O1044" s="352"/>
      <c r="P1044" s="352"/>
      <c r="Q1044" s="352"/>
      <c r="R1044" s="352"/>
    </row>
    <row r="1045" ht="32.25" customHeight="1">
      <c r="A1045" s="58"/>
      <c r="B1045" s="149"/>
      <c r="C1045" s="58"/>
      <c r="D1045" s="58"/>
      <c r="E1045" s="58"/>
      <c r="F1045" s="58"/>
      <c r="G1045" s="58"/>
      <c r="H1045" s="373"/>
      <c r="I1045" s="352"/>
      <c r="J1045" s="352"/>
      <c r="K1045" s="352"/>
      <c r="L1045" s="352"/>
      <c r="M1045" s="352"/>
      <c r="N1045" s="352"/>
      <c r="O1045" s="352"/>
      <c r="P1045" s="352"/>
      <c r="Q1045" s="352"/>
      <c r="R1045" s="352"/>
    </row>
    <row r="1046" ht="32.25" customHeight="1">
      <c r="A1046" s="58"/>
      <c r="B1046" s="149"/>
      <c r="C1046" s="58"/>
      <c r="D1046" s="58"/>
      <c r="E1046" s="58"/>
      <c r="F1046" s="58"/>
      <c r="G1046" s="58"/>
      <c r="H1046" s="373"/>
      <c r="I1046" s="352"/>
      <c r="J1046" s="352"/>
      <c r="K1046" s="352"/>
      <c r="L1046" s="352"/>
      <c r="M1046" s="352"/>
      <c r="N1046" s="352"/>
      <c r="O1046" s="352"/>
      <c r="P1046" s="352"/>
      <c r="Q1046" s="352"/>
      <c r="R1046" s="352"/>
    </row>
    <row r="1047" ht="32.25" customHeight="1">
      <c r="A1047" s="58"/>
      <c r="B1047" s="149"/>
      <c r="C1047" s="58"/>
      <c r="D1047" s="58"/>
      <c r="E1047" s="58"/>
      <c r="F1047" s="58"/>
      <c r="G1047" s="58"/>
      <c r="H1047" s="373"/>
      <c r="I1047" s="352"/>
      <c r="J1047" s="352"/>
      <c r="K1047" s="352"/>
      <c r="L1047" s="352"/>
      <c r="M1047" s="352"/>
      <c r="N1047" s="352"/>
      <c r="O1047" s="352"/>
      <c r="P1047" s="352"/>
      <c r="Q1047" s="352"/>
      <c r="R1047" s="352"/>
    </row>
    <row r="1048" ht="32.25" customHeight="1">
      <c r="A1048" s="58"/>
      <c r="B1048" s="149"/>
      <c r="C1048" s="58"/>
      <c r="D1048" s="58"/>
      <c r="E1048" s="58"/>
      <c r="F1048" s="58"/>
      <c r="G1048" s="58"/>
      <c r="H1048" s="373"/>
      <c r="I1048" s="352"/>
      <c r="J1048" s="352"/>
      <c r="K1048" s="352"/>
      <c r="L1048" s="352"/>
      <c r="M1048" s="352"/>
      <c r="N1048" s="352"/>
      <c r="O1048" s="352"/>
      <c r="P1048" s="352"/>
      <c r="Q1048" s="352"/>
      <c r="R1048" s="352"/>
    </row>
    <row r="1049" ht="32.25" customHeight="1">
      <c r="A1049" s="58"/>
      <c r="B1049" s="149"/>
      <c r="C1049" s="58"/>
      <c r="D1049" s="58"/>
      <c r="E1049" s="58"/>
      <c r="F1049" s="58"/>
      <c r="G1049" s="58"/>
      <c r="H1049" s="373"/>
      <c r="I1049" s="352"/>
      <c r="J1049" s="352"/>
      <c r="K1049" s="352"/>
      <c r="L1049" s="352"/>
      <c r="M1049" s="352"/>
      <c r="N1049" s="352"/>
      <c r="O1049" s="352"/>
      <c r="P1049" s="352"/>
      <c r="Q1049" s="352"/>
      <c r="R1049" s="352"/>
    </row>
    <row r="1050" ht="32.25" customHeight="1">
      <c r="A1050" s="58"/>
      <c r="B1050" s="149"/>
      <c r="C1050" s="58"/>
      <c r="D1050" s="58"/>
      <c r="E1050" s="58"/>
      <c r="F1050" s="58"/>
      <c r="G1050" s="58"/>
      <c r="H1050" s="373"/>
      <c r="I1050" s="352"/>
      <c r="J1050" s="352"/>
      <c r="K1050" s="352"/>
      <c r="L1050" s="352"/>
      <c r="M1050" s="352"/>
      <c r="N1050" s="352"/>
      <c r="O1050" s="352"/>
      <c r="P1050" s="352"/>
      <c r="Q1050" s="352"/>
      <c r="R1050" s="352"/>
    </row>
    <row r="1051" ht="32.25" customHeight="1">
      <c r="A1051" s="58"/>
      <c r="B1051" s="149"/>
      <c r="C1051" s="58"/>
      <c r="D1051" s="58"/>
      <c r="E1051" s="58"/>
      <c r="F1051" s="58"/>
      <c r="G1051" s="58"/>
      <c r="H1051" s="373"/>
      <c r="I1051" s="352"/>
      <c r="J1051" s="352"/>
      <c r="K1051" s="352"/>
      <c r="L1051" s="352"/>
      <c r="M1051" s="352"/>
      <c r="N1051" s="352"/>
      <c r="O1051" s="352"/>
      <c r="P1051" s="352"/>
      <c r="Q1051" s="352"/>
      <c r="R1051" s="352"/>
    </row>
    <row r="1052" ht="32.25" customHeight="1">
      <c r="A1052" s="58"/>
      <c r="B1052" s="149"/>
      <c r="C1052" s="58"/>
      <c r="D1052" s="58"/>
      <c r="E1052" s="58"/>
      <c r="F1052" s="58"/>
      <c r="G1052" s="58"/>
      <c r="H1052" s="373"/>
      <c r="I1052" s="352"/>
      <c r="J1052" s="352"/>
      <c r="K1052" s="352"/>
      <c r="L1052" s="352"/>
      <c r="M1052" s="352"/>
      <c r="N1052" s="352"/>
      <c r="O1052" s="352"/>
      <c r="P1052" s="352"/>
      <c r="Q1052" s="352"/>
      <c r="R1052" s="352"/>
    </row>
    <row r="1053" ht="32.25" customHeight="1">
      <c r="A1053" s="58"/>
      <c r="B1053" s="149"/>
      <c r="C1053" s="58"/>
      <c r="D1053" s="58"/>
      <c r="E1053" s="58"/>
      <c r="F1053" s="58"/>
      <c r="G1053" s="58"/>
      <c r="H1053" s="373"/>
      <c r="I1053" s="352"/>
      <c r="J1053" s="352"/>
      <c r="K1053" s="352"/>
      <c r="L1053" s="352"/>
      <c r="M1053" s="352"/>
      <c r="N1053" s="352"/>
      <c r="O1053" s="352"/>
      <c r="P1053" s="352"/>
      <c r="Q1053" s="352"/>
      <c r="R1053" s="352"/>
    </row>
    <row r="1054" ht="32.25" customHeight="1">
      <c r="A1054" s="58"/>
      <c r="B1054" s="149"/>
      <c r="C1054" s="58"/>
      <c r="D1054" s="58"/>
      <c r="E1054" s="58"/>
      <c r="F1054" s="58"/>
      <c r="G1054" s="58"/>
      <c r="H1054" s="373"/>
      <c r="I1054" s="352"/>
      <c r="J1054" s="352"/>
      <c r="K1054" s="352"/>
      <c r="L1054" s="352"/>
      <c r="M1054" s="352"/>
      <c r="N1054" s="352"/>
      <c r="O1054" s="352"/>
      <c r="P1054" s="352"/>
      <c r="Q1054" s="352"/>
      <c r="R1054" s="352"/>
    </row>
    <row r="1055" ht="32.25" customHeight="1">
      <c r="A1055" s="58"/>
      <c r="B1055" s="149"/>
      <c r="C1055" s="58"/>
      <c r="D1055" s="58"/>
      <c r="E1055" s="58"/>
      <c r="F1055" s="58"/>
      <c r="G1055" s="58"/>
      <c r="H1055" s="373"/>
      <c r="I1055" s="352"/>
      <c r="J1055" s="352"/>
      <c r="K1055" s="352"/>
      <c r="L1055" s="352"/>
      <c r="M1055" s="352"/>
      <c r="N1055" s="352"/>
      <c r="O1055" s="352"/>
      <c r="P1055" s="352"/>
      <c r="Q1055" s="352"/>
      <c r="R1055" s="352"/>
    </row>
    <row r="1056" ht="32.25" customHeight="1">
      <c r="A1056" s="58"/>
      <c r="B1056" s="149"/>
      <c r="C1056" s="58"/>
      <c r="D1056" s="58"/>
      <c r="E1056" s="58"/>
      <c r="F1056" s="58"/>
      <c r="G1056" s="58"/>
      <c r="H1056" s="373"/>
      <c r="I1056" s="352"/>
      <c r="J1056" s="352"/>
      <c r="K1056" s="352"/>
      <c r="L1056" s="352"/>
      <c r="M1056" s="352"/>
      <c r="N1056" s="352"/>
      <c r="O1056" s="352"/>
      <c r="P1056" s="352"/>
      <c r="Q1056" s="352"/>
      <c r="R1056" s="352"/>
    </row>
    <row r="1057" ht="32.25" customHeight="1">
      <c r="A1057" s="58"/>
      <c r="B1057" s="149"/>
      <c r="C1057" s="58"/>
      <c r="D1057" s="58"/>
      <c r="E1057" s="58"/>
      <c r="F1057" s="58"/>
      <c r="G1057" s="58"/>
      <c r="H1057" s="373"/>
      <c r="I1057" s="352"/>
      <c r="J1057" s="352"/>
      <c r="K1057" s="352"/>
      <c r="L1057" s="352"/>
      <c r="M1057" s="352"/>
      <c r="N1057" s="352"/>
      <c r="O1057" s="352"/>
      <c r="P1057" s="352"/>
      <c r="Q1057" s="352"/>
      <c r="R1057" s="352"/>
    </row>
    <row r="1058" ht="32.25" customHeight="1">
      <c r="A1058" s="58"/>
      <c r="B1058" s="149"/>
      <c r="C1058" s="58"/>
      <c r="D1058" s="58"/>
      <c r="E1058" s="58"/>
      <c r="F1058" s="58"/>
      <c r="G1058" s="58"/>
      <c r="H1058" s="373"/>
      <c r="I1058" s="352"/>
      <c r="J1058" s="352"/>
      <c r="K1058" s="352"/>
      <c r="L1058" s="352"/>
      <c r="M1058" s="352"/>
      <c r="N1058" s="352"/>
      <c r="O1058" s="352"/>
      <c r="P1058" s="352"/>
      <c r="Q1058" s="352"/>
      <c r="R1058" s="352"/>
    </row>
    <row r="1059" ht="32.25" customHeight="1">
      <c r="A1059" s="58"/>
      <c r="B1059" s="149"/>
      <c r="C1059" s="58"/>
      <c r="D1059" s="58"/>
      <c r="E1059" s="58"/>
      <c r="F1059" s="58"/>
      <c r="G1059" s="58"/>
      <c r="H1059" s="373"/>
      <c r="I1059" s="352"/>
      <c r="J1059" s="352"/>
      <c r="K1059" s="352"/>
      <c r="L1059" s="352"/>
      <c r="M1059" s="352"/>
      <c r="N1059" s="352"/>
      <c r="O1059" s="352"/>
      <c r="P1059" s="352"/>
      <c r="Q1059" s="352"/>
      <c r="R1059" s="352"/>
    </row>
    <row r="1060" ht="32.25" customHeight="1">
      <c r="A1060" s="58"/>
      <c r="B1060" s="149"/>
      <c r="C1060" s="58"/>
      <c r="D1060" s="58"/>
      <c r="E1060" s="58"/>
      <c r="F1060" s="58"/>
      <c r="G1060" s="58"/>
      <c r="H1060" s="373"/>
      <c r="I1060" s="352"/>
      <c r="J1060" s="352"/>
      <c r="K1060" s="352"/>
      <c r="L1060" s="352"/>
      <c r="M1060" s="352"/>
      <c r="N1060" s="352"/>
      <c r="O1060" s="352"/>
      <c r="P1060" s="352"/>
      <c r="Q1060" s="352"/>
      <c r="R1060" s="352"/>
    </row>
    <row r="1061" ht="32.25" customHeight="1">
      <c r="A1061" s="58"/>
      <c r="B1061" s="149"/>
      <c r="C1061" s="58"/>
      <c r="D1061" s="58"/>
      <c r="E1061" s="58"/>
      <c r="F1061" s="58"/>
      <c r="G1061" s="58"/>
      <c r="H1061" s="373"/>
      <c r="I1061" s="352"/>
      <c r="J1061" s="352"/>
      <c r="K1061" s="352"/>
      <c r="L1061" s="352"/>
      <c r="M1061" s="352"/>
      <c r="N1061" s="352"/>
      <c r="O1061" s="352"/>
      <c r="P1061" s="352"/>
      <c r="Q1061" s="352"/>
      <c r="R1061" s="352"/>
    </row>
    <row r="1062" ht="32.25" customHeight="1">
      <c r="A1062" s="58"/>
      <c r="B1062" s="149"/>
      <c r="C1062" s="58"/>
      <c r="D1062" s="58"/>
      <c r="E1062" s="58"/>
      <c r="F1062" s="58"/>
      <c r="G1062" s="58"/>
      <c r="H1062" s="373"/>
      <c r="I1062" s="352"/>
      <c r="J1062" s="352"/>
      <c r="K1062" s="352"/>
      <c r="L1062" s="352"/>
      <c r="M1062" s="352"/>
      <c r="N1062" s="352"/>
      <c r="O1062" s="352"/>
      <c r="P1062" s="352"/>
      <c r="Q1062" s="352"/>
      <c r="R1062" s="352"/>
    </row>
    <row r="1063" ht="32.25" customHeight="1">
      <c r="A1063" s="58"/>
      <c r="B1063" s="149"/>
      <c r="C1063" s="58"/>
      <c r="D1063" s="58"/>
      <c r="E1063" s="58"/>
      <c r="F1063" s="58"/>
      <c r="G1063" s="58"/>
      <c r="H1063" s="373"/>
      <c r="I1063" s="352"/>
      <c r="J1063" s="352"/>
      <c r="K1063" s="352"/>
      <c r="L1063" s="352"/>
      <c r="M1063" s="352"/>
      <c r="N1063" s="352"/>
      <c r="O1063" s="352"/>
      <c r="P1063" s="352"/>
      <c r="Q1063" s="352"/>
      <c r="R1063" s="352"/>
    </row>
    <row r="1064" ht="32.25" customHeight="1">
      <c r="A1064" s="58"/>
      <c r="B1064" s="149"/>
      <c r="C1064" s="58"/>
      <c r="D1064" s="58"/>
      <c r="E1064" s="58"/>
      <c r="F1064" s="58"/>
      <c r="G1064" s="58"/>
      <c r="H1064" s="373"/>
      <c r="I1064" s="352"/>
      <c r="J1064" s="352"/>
      <c r="K1064" s="352"/>
      <c r="L1064" s="352"/>
      <c r="M1064" s="352"/>
      <c r="N1064" s="352"/>
      <c r="O1064" s="352"/>
      <c r="P1064" s="352"/>
      <c r="Q1064" s="352"/>
      <c r="R1064" s="352"/>
    </row>
    <row r="1065" ht="32.25" customHeight="1">
      <c r="A1065" s="58"/>
      <c r="B1065" s="149"/>
      <c r="C1065" s="58"/>
      <c r="D1065" s="58"/>
      <c r="E1065" s="58"/>
      <c r="F1065" s="58"/>
      <c r="G1065" s="58"/>
      <c r="H1065" s="373"/>
      <c r="I1065" s="352"/>
      <c r="J1065" s="352"/>
      <c r="K1065" s="352"/>
      <c r="L1065" s="352"/>
      <c r="M1065" s="352"/>
      <c r="N1065" s="352"/>
      <c r="O1065" s="352"/>
      <c r="P1065" s="352"/>
      <c r="Q1065" s="352"/>
      <c r="R1065" s="352"/>
    </row>
    <row r="1066" ht="32.25" customHeight="1">
      <c r="A1066" s="58"/>
      <c r="B1066" s="149"/>
      <c r="C1066" s="58"/>
      <c r="D1066" s="58"/>
      <c r="E1066" s="58"/>
      <c r="F1066" s="58"/>
      <c r="G1066" s="58"/>
      <c r="H1066" s="373"/>
      <c r="I1066" s="352"/>
      <c r="J1066" s="352"/>
      <c r="K1066" s="352"/>
      <c r="L1066" s="352"/>
      <c r="M1066" s="352"/>
      <c r="N1066" s="352"/>
      <c r="O1066" s="352"/>
      <c r="P1066" s="352"/>
      <c r="Q1066" s="352"/>
      <c r="R1066" s="352"/>
    </row>
    <row r="1067" ht="32.25" customHeight="1">
      <c r="A1067" s="58"/>
      <c r="B1067" s="149"/>
      <c r="C1067" s="58"/>
      <c r="D1067" s="58"/>
      <c r="E1067" s="58"/>
      <c r="F1067" s="58"/>
      <c r="G1067" s="58"/>
      <c r="H1067" s="373"/>
      <c r="I1067" s="352"/>
      <c r="J1067" s="352"/>
      <c r="K1067" s="352"/>
      <c r="L1067" s="352"/>
      <c r="M1067" s="352"/>
      <c r="N1067" s="352"/>
      <c r="O1067" s="352"/>
      <c r="P1067" s="352"/>
      <c r="Q1067" s="352"/>
      <c r="R1067" s="352"/>
    </row>
    <row r="1068" ht="32.25" customHeight="1">
      <c r="A1068" s="58"/>
      <c r="B1068" s="149"/>
      <c r="C1068" s="58"/>
      <c r="D1068" s="58"/>
      <c r="E1068" s="58"/>
      <c r="F1068" s="58"/>
      <c r="G1068" s="58"/>
      <c r="H1068" s="373"/>
      <c r="I1068" s="352"/>
      <c r="J1068" s="352"/>
      <c r="K1068" s="352"/>
      <c r="L1068" s="352"/>
      <c r="M1068" s="352"/>
      <c r="N1068" s="352"/>
      <c r="O1068" s="352"/>
      <c r="P1068" s="352"/>
      <c r="Q1068" s="352"/>
      <c r="R1068" s="352"/>
    </row>
    <row r="1069" ht="32.25" customHeight="1">
      <c r="A1069" s="58"/>
      <c r="B1069" s="149"/>
      <c r="C1069" s="58"/>
      <c r="D1069" s="58"/>
      <c r="E1069" s="58"/>
      <c r="F1069" s="58"/>
      <c r="G1069" s="58"/>
      <c r="H1069" s="373"/>
      <c r="I1069" s="352"/>
      <c r="J1069" s="352"/>
      <c r="K1069" s="352"/>
      <c r="L1069" s="352"/>
      <c r="M1069" s="352"/>
      <c r="N1069" s="352"/>
      <c r="O1069" s="352"/>
      <c r="P1069" s="352"/>
      <c r="Q1069" s="352"/>
      <c r="R1069" s="352"/>
    </row>
    <row r="1070" ht="32.25" customHeight="1">
      <c r="A1070" s="58"/>
      <c r="B1070" s="149"/>
      <c r="C1070" s="58"/>
      <c r="D1070" s="58"/>
      <c r="E1070" s="58"/>
      <c r="F1070" s="58"/>
      <c r="G1070" s="58"/>
      <c r="H1070" s="373"/>
      <c r="I1070" s="352"/>
      <c r="J1070" s="352"/>
      <c r="K1070" s="352"/>
      <c r="L1070" s="352"/>
      <c r="M1070" s="352"/>
      <c r="N1070" s="352"/>
      <c r="O1070" s="352"/>
      <c r="P1070" s="352"/>
      <c r="Q1070" s="352"/>
      <c r="R1070" s="352"/>
    </row>
    <row r="1071" ht="32.25" customHeight="1">
      <c r="A1071" s="58"/>
      <c r="B1071" s="149"/>
      <c r="C1071" s="58"/>
      <c r="D1071" s="58"/>
      <c r="E1071" s="58"/>
      <c r="F1071" s="58"/>
      <c r="G1071" s="58"/>
      <c r="H1071" s="373"/>
      <c r="I1071" s="352"/>
      <c r="J1071" s="352"/>
      <c r="K1071" s="352"/>
      <c r="L1071" s="352"/>
      <c r="M1071" s="352"/>
      <c r="N1071" s="352"/>
      <c r="O1071" s="352"/>
      <c r="P1071" s="352"/>
      <c r="Q1071" s="352"/>
      <c r="R1071" s="352"/>
    </row>
    <row r="1072" ht="32.25" customHeight="1">
      <c r="A1072" s="58"/>
      <c r="B1072" s="149"/>
      <c r="C1072" s="58"/>
      <c r="D1072" s="58"/>
      <c r="E1072" s="58"/>
      <c r="F1072" s="58"/>
      <c r="G1072" s="58"/>
      <c r="H1072" s="373"/>
      <c r="I1072" s="352"/>
      <c r="J1072" s="352"/>
      <c r="K1072" s="352"/>
      <c r="L1072" s="352"/>
      <c r="M1072" s="352"/>
      <c r="N1072" s="352"/>
      <c r="O1072" s="352"/>
      <c r="P1072" s="352"/>
      <c r="Q1072" s="352"/>
      <c r="R1072" s="352"/>
    </row>
    <row r="1073" ht="32.25" customHeight="1">
      <c r="A1073" s="58"/>
      <c r="B1073" s="149"/>
      <c r="C1073" s="58"/>
      <c r="D1073" s="58"/>
      <c r="E1073" s="58"/>
      <c r="F1073" s="58"/>
      <c r="G1073" s="58"/>
      <c r="H1073" s="373"/>
      <c r="I1073" s="352"/>
      <c r="J1073" s="352"/>
      <c r="K1073" s="352"/>
      <c r="L1073" s="352"/>
      <c r="M1073" s="352"/>
      <c r="N1073" s="352"/>
      <c r="O1073" s="352"/>
      <c r="P1073" s="352"/>
      <c r="Q1073" s="352"/>
      <c r="R1073" s="352"/>
    </row>
    <row r="1074" ht="32.25" customHeight="1">
      <c r="A1074" s="58"/>
      <c r="B1074" s="149"/>
      <c r="C1074" s="58"/>
      <c r="D1074" s="58"/>
      <c r="E1074" s="58"/>
      <c r="F1074" s="58"/>
      <c r="G1074" s="58"/>
      <c r="H1074" s="373"/>
      <c r="I1074" s="352"/>
      <c r="J1074" s="352"/>
      <c r="K1074" s="352"/>
      <c r="L1074" s="352"/>
      <c r="M1074" s="352"/>
      <c r="N1074" s="352"/>
      <c r="O1074" s="352"/>
      <c r="P1074" s="352"/>
      <c r="Q1074" s="352"/>
      <c r="R1074" s="352"/>
    </row>
    <row r="1075" ht="32.25" customHeight="1">
      <c r="A1075" s="58"/>
      <c r="B1075" s="149"/>
      <c r="C1075" s="58"/>
      <c r="D1075" s="58"/>
      <c r="E1075" s="58"/>
      <c r="F1075" s="58"/>
      <c r="G1075" s="58"/>
      <c r="H1075" s="373"/>
      <c r="I1075" s="352"/>
      <c r="J1075" s="352"/>
      <c r="K1075" s="352"/>
      <c r="L1075" s="352"/>
      <c r="M1075" s="352"/>
      <c r="N1075" s="352"/>
      <c r="O1075" s="352"/>
      <c r="P1075" s="352"/>
      <c r="Q1075" s="352"/>
      <c r="R1075" s="352"/>
    </row>
    <row r="1076" ht="32.25" customHeight="1">
      <c r="A1076" s="58"/>
      <c r="B1076" s="149"/>
      <c r="C1076" s="58"/>
      <c r="D1076" s="58"/>
      <c r="E1076" s="58"/>
      <c r="F1076" s="58"/>
      <c r="G1076" s="58"/>
      <c r="H1076" s="373"/>
      <c r="I1076" s="352"/>
      <c r="J1076" s="352"/>
      <c r="K1076" s="352"/>
      <c r="L1076" s="352"/>
      <c r="M1076" s="352"/>
      <c r="N1076" s="352"/>
      <c r="O1076" s="352"/>
      <c r="P1076" s="352"/>
      <c r="Q1076" s="352"/>
      <c r="R1076" s="352"/>
    </row>
    <row r="1077" ht="32.25" customHeight="1">
      <c r="A1077" s="58"/>
      <c r="B1077" s="149"/>
      <c r="C1077" s="58"/>
      <c r="D1077" s="58"/>
      <c r="E1077" s="58"/>
      <c r="F1077" s="58"/>
      <c r="G1077" s="58"/>
      <c r="H1077" s="373"/>
      <c r="I1077" s="352"/>
      <c r="J1077" s="352"/>
      <c r="K1077" s="352"/>
      <c r="L1077" s="352"/>
      <c r="M1077" s="352"/>
      <c r="N1077" s="352"/>
      <c r="O1077" s="352"/>
      <c r="P1077" s="352"/>
      <c r="Q1077" s="352"/>
      <c r="R1077" s="352"/>
    </row>
    <row r="1078" ht="32.25" customHeight="1">
      <c r="A1078" s="58"/>
      <c r="B1078" s="149"/>
      <c r="C1078" s="58"/>
      <c r="D1078" s="58"/>
      <c r="E1078" s="58"/>
      <c r="F1078" s="58"/>
      <c r="G1078" s="58"/>
      <c r="H1078" s="373"/>
      <c r="I1078" s="352"/>
      <c r="J1078" s="352"/>
      <c r="K1078" s="352"/>
      <c r="L1078" s="352"/>
      <c r="M1078" s="352"/>
      <c r="N1078" s="352"/>
      <c r="O1078" s="352"/>
      <c r="P1078" s="352"/>
      <c r="Q1078" s="352"/>
      <c r="R1078" s="352"/>
    </row>
    <row r="1079" ht="32.25" customHeight="1">
      <c r="A1079" s="58"/>
      <c r="B1079" s="149"/>
      <c r="C1079" s="58"/>
      <c r="D1079" s="58"/>
      <c r="E1079" s="58"/>
      <c r="F1079" s="58"/>
      <c r="G1079" s="58"/>
      <c r="H1079" s="373"/>
      <c r="I1079" s="352"/>
      <c r="J1079" s="352"/>
      <c r="K1079" s="352"/>
      <c r="L1079" s="352"/>
      <c r="M1079" s="352"/>
      <c r="N1079" s="352"/>
      <c r="O1079" s="352"/>
      <c r="P1079" s="352"/>
      <c r="Q1079" s="352"/>
      <c r="R1079" s="352"/>
    </row>
    <row r="1080" ht="32.25" customHeight="1">
      <c r="A1080" s="58"/>
      <c r="B1080" s="149"/>
      <c r="C1080" s="58"/>
      <c r="D1080" s="58"/>
      <c r="E1080" s="58"/>
      <c r="F1080" s="58"/>
      <c r="G1080" s="58"/>
      <c r="H1080" s="373"/>
      <c r="I1080" s="352"/>
      <c r="J1080" s="352"/>
      <c r="K1080" s="352"/>
      <c r="L1080" s="352"/>
      <c r="M1080" s="352"/>
      <c r="N1080" s="352"/>
      <c r="O1080" s="352"/>
      <c r="P1080" s="352"/>
      <c r="Q1080" s="352"/>
      <c r="R1080" s="352"/>
    </row>
    <row r="1081" ht="32.25" customHeight="1">
      <c r="A1081" s="58"/>
      <c r="B1081" s="149"/>
      <c r="C1081" s="58"/>
      <c r="D1081" s="58"/>
      <c r="E1081" s="58"/>
      <c r="F1081" s="58"/>
      <c r="G1081" s="58"/>
      <c r="H1081" s="373"/>
      <c r="I1081" s="352"/>
      <c r="J1081" s="352"/>
      <c r="K1081" s="352"/>
      <c r="L1081" s="352"/>
      <c r="M1081" s="352"/>
      <c r="N1081" s="352"/>
      <c r="O1081" s="352"/>
      <c r="P1081" s="352"/>
      <c r="Q1081" s="352"/>
      <c r="R1081" s="352"/>
    </row>
    <row r="1082" ht="32.25" customHeight="1">
      <c r="A1082" s="58"/>
      <c r="B1082" s="149"/>
      <c r="C1082" s="58"/>
      <c r="D1082" s="58"/>
      <c r="E1082" s="58"/>
      <c r="F1082" s="58"/>
      <c r="G1082" s="58"/>
      <c r="H1082" s="373"/>
      <c r="I1082" s="352"/>
      <c r="J1082" s="352"/>
      <c r="K1082" s="352"/>
      <c r="L1082" s="352"/>
      <c r="M1082" s="352"/>
      <c r="N1082" s="352"/>
      <c r="O1082" s="352"/>
      <c r="P1082" s="352"/>
      <c r="Q1082" s="352"/>
      <c r="R1082" s="352"/>
    </row>
    <row r="1083" ht="32.25" customHeight="1">
      <c r="A1083" s="58"/>
      <c r="B1083" s="149"/>
      <c r="C1083" s="58"/>
      <c r="D1083" s="58"/>
      <c r="E1083" s="58"/>
      <c r="F1083" s="58"/>
      <c r="G1083" s="58"/>
      <c r="H1083" s="373"/>
      <c r="I1083" s="352"/>
      <c r="J1083" s="352"/>
      <c r="K1083" s="352"/>
      <c r="L1083" s="352"/>
      <c r="M1083" s="352"/>
      <c r="N1083" s="352"/>
      <c r="O1083" s="352"/>
      <c r="P1083" s="352"/>
      <c r="Q1083" s="352"/>
      <c r="R1083" s="352"/>
    </row>
    <row r="1084" ht="32.25" customHeight="1">
      <c r="A1084" s="58"/>
      <c r="B1084" s="149"/>
      <c r="C1084" s="58"/>
      <c r="D1084" s="58"/>
      <c r="E1084" s="58"/>
      <c r="F1084" s="58"/>
      <c r="G1084" s="58"/>
      <c r="H1084" s="373"/>
      <c r="I1084" s="352"/>
      <c r="J1084" s="352"/>
      <c r="K1084" s="352"/>
      <c r="L1084" s="352"/>
      <c r="M1084" s="352"/>
      <c r="N1084" s="352"/>
      <c r="O1084" s="352"/>
      <c r="P1084" s="352"/>
      <c r="Q1084" s="352"/>
      <c r="R1084" s="352"/>
    </row>
    <row r="1085" ht="32.25" customHeight="1">
      <c r="A1085" s="58"/>
      <c r="B1085" s="149"/>
      <c r="C1085" s="58"/>
      <c r="D1085" s="58"/>
      <c r="E1085" s="58"/>
      <c r="F1085" s="58"/>
      <c r="G1085" s="58"/>
      <c r="H1085" s="373"/>
      <c r="I1085" s="352"/>
      <c r="J1085" s="352"/>
      <c r="K1085" s="352"/>
      <c r="L1085" s="352"/>
      <c r="M1085" s="352"/>
      <c r="N1085" s="352"/>
      <c r="O1085" s="352"/>
      <c r="P1085" s="352"/>
      <c r="Q1085" s="352"/>
      <c r="R1085" s="352"/>
    </row>
    <row r="1086" ht="32.25" customHeight="1">
      <c r="A1086" s="58"/>
      <c r="B1086" s="149"/>
      <c r="C1086" s="58"/>
      <c r="D1086" s="58"/>
      <c r="E1086" s="58"/>
      <c r="F1086" s="58"/>
      <c r="G1086" s="58"/>
      <c r="H1086" s="373"/>
      <c r="I1086" s="352"/>
      <c r="J1086" s="352"/>
      <c r="K1086" s="352"/>
      <c r="L1086" s="352"/>
      <c r="M1086" s="352"/>
      <c r="N1086" s="352"/>
      <c r="O1086" s="352"/>
      <c r="P1086" s="352"/>
      <c r="Q1086" s="352"/>
      <c r="R1086" s="352"/>
    </row>
    <row r="1087" ht="32.25" customHeight="1">
      <c r="A1087" s="58"/>
      <c r="B1087" s="149"/>
      <c r="C1087" s="58"/>
      <c r="D1087" s="58"/>
      <c r="E1087" s="58"/>
      <c r="F1087" s="58"/>
      <c r="G1087" s="58"/>
      <c r="H1087" s="373"/>
      <c r="I1087" s="352"/>
      <c r="J1087" s="352"/>
      <c r="K1087" s="352"/>
      <c r="L1087" s="352"/>
      <c r="M1087" s="352"/>
      <c r="N1087" s="352"/>
      <c r="O1087" s="352"/>
      <c r="P1087" s="352"/>
      <c r="Q1087" s="352"/>
      <c r="R1087" s="352"/>
    </row>
    <row r="1088" ht="32.25" customHeight="1">
      <c r="A1088" s="58"/>
      <c r="B1088" s="149"/>
      <c r="C1088" s="58"/>
      <c r="D1088" s="58"/>
      <c r="E1088" s="58"/>
      <c r="F1088" s="58"/>
      <c r="G1088" s="58"/>
      <c r="H1088" s="373"/>
      <c r="I1088" s="352"/>
      <c r="J1088" s="352"/>
      <c r="K1088" s="352"/>
      <c r="L1088" s="352"/>
      <c r="M1088" s="352"/>
      <c r="N1088" s="352"/>
      <c r="O1088" s="352"/>
      <c r="P1088" s="352"/>
      <c r="Q1088" s="352"/>
      <c r="R1088" s="352"/>
    </row>
    <row r="1089" ht="32.25" customHeight="1">
      <c r="A1089" s="58"/>
      <c r="B1089" s="149"/>
      <c r="C1089" s="58"/>
      <c r="D1089" s="58"/>
      <c r="E1089" s="58"/>
      <c r="F1089" s="58"/>
      <c r="G1089" s="58"/>
      <c r="H1089" s="373"/>
      <c r="I1089" s="352"/>
      <c r="J1089" s="352"/>
      <c r="K1089" s="352"/>
      <c r="L1089" s="352"/>
      <c r="M1089" s="352"/>
      <c r="N1089" s="352"/>
      <c r="O1089" s="352"/>
      <c r="P1089" s="352"/>
      <c r="Q1089" s="352"/>
      <c r="R1089" s="352"/>
    </row>
    <row r="1090" ht="32.25" customHeight="1">
      <c r="A1090" s="58"/>
      <c r="B1090" s="149"/>
      <c r="C1090" s="58"/>
      <c r="D1090" s="58"/>
      <c r="E1090" s="58"/>
      <c r="F1090" s="58"/>
      <c r="G1090" s="58"/>
      <c r="H1090" s="373"/>
      <c r="I1090" s="352"/>
      <c r="J1090" s="352"/>
      <c r="K1090" s="352"/>
      <c r="L1090" s="352"/>
      <c r="M1090" s="352"/>
      <c r="N1090" s="352"/>
      <c r="O1090" s="352"/>
      <c r="P1090" s="352"/>
      <c r="Q1090" s="352"/>
      <c r="R1090" s="352"/>
    </row>
    <row r="1091" ht="32.25" customHeight="1">
      <c r="A1091" s="58"/>
      <c r="B1091" s="149"/>
      <c r="C1091" s="58"/>
      <c r="D1091" s="58"/>
      <c r="E1091" s="58"/>
      <c r="F1091" s="58"/>
      <c r="G1091" s="58"/>
      <c r="H1091" s="373"/>
      <c r="I1091" s="352"/>
      <c r="J1091" s="352"/>
      <c r="K1091" s="352"/>
      <c r="L1091" s="352"/>
      <c r="M1091" s="352"/>
      <c r="N1091" s="352"/>
      <c r="O1091" s="352"/>
      <c r="P1091" s="352"/>
      <c r="Q1091" s="352"/>
      <c r="R1091" s="352"/>
    </row>
    <row r="1092" ht="32.25" customHeight="1">
      <c r="A1092" s="58"/>
      <c r="B1092" s="149"/>
      <c r="C1092" s="58"/>
      <c r="D1092" s="58"/>
      <c r="E1092" s="58"/>
      <c r="F1092" s="58"/>
      <c r="G1092" s="58"/>
      <c r="H1092" s="373"/>
      <c r="I1092" s="352"/>
      <c r="J1092" s="352"/>
      <c r="K1092" s="352"/>
      <c r="L1092" s="352"/>
      <c r="M1092" s="352"/>
      <c r="N1092" s="352"/>
      <c r="O1092" s="352"/>
      <c r="P1092" s="352"/>
      <c r="Q1092" s="352"/>
      <c r="R1092" s="352"/>
    </row>
    <row r="1093" ht="32.25" customHeight="1">
      <c r="A1093" s="58"/>
      <c r="B1093" s="149"/>
      <c r="C1093" s="58"/>
      <c r="D1093" s="58"/>
      <c r="E1093" s="58"/>
      <c r="F1093" s="58"/>
      <c r="G1093" s="58"/>
      <c r="H1093" s="373"/>
      <c r="I1093" s="352"/>
      <c r="J1093" s="352"/>
      <c r="K1093" s="352"/>
      <c r="L1093" s="352"/>
      <c r="M1093" s="352"/>
      <c r="N1093" s="352"/>
      <c r="O1093" s="352"/>
      <c r="P1093" s="352"/>
      <c r="Q1093" s="352"/>
      <c r="R1093" s="352"/>
    </row>
    <row r="1094" ht="32.25" customHeight="1">
      <c r="A1094" s="58"/>
      <c r="B1094" s="149"/>
      <c r="C1094" s="58"/>
      <c r="D1094" s="58"/>
      <c r="E1094" s="58"/>
      <c r="F1094" s="58"/>
      <c r="G1094" s="58"/>
      <c r="H1094" s="373"/>
      <c r="I1094" s="352"/>
      <c r="J1094" s="352"/>
      <c r="K1094" s="352"/>
      <c r="L1094" s="352"/>
      <c r="M1094" s="352"/>
      <c r="N1094" s="352"/>
      <c r="O1094" s="352"/>
      <c r="P1094" s="352"/>
      <c r="Q1094" s="352"/>
      <c r="R1094" s="352"/>
    </row>
    <row r="1095" ht="32.25" customHeight="1">
      <c r="A1095" s="58"/>
      <c r="B1095" s="149"/>
      <c r="C1095" s="58"/>
      <c r="D1095" s="58"/>
      <c r="E1095" s="58"/>
      <c r="F1095" s="58"/>
      <c r="G1095" s="58"/>
      <c r="H1095" s="373"/>
      <c r="I1095" s="352"/>
      <c r="J1095" s="352"/>
      <c r="K1095" s="352"/>
      <c r="L1095" s="352"/>
      <c r="M1095" s="352"/>
      <c r="N1095" s="352"/>
      <c r="O1095" s="352"/>
      <c r="P1095" s="352"/>
      <c r="Q1095" s="352"/>
      <c r="R1095" s="352"/>
    </row>
    <row r="1096" ht="32.25" customHeight="1">
      <c r="A1096" s="58"/>
      <c r="B1096" s="149"/>
      <c r="C1096" s="58"/>
      <c r="D1096" s="58"/>
      <c r="E1096" s="58"/>
      <c r="F1096" s="58"/>
      <c r="G1096" s="58"/>
      <c r="H1096" s="373"/>
      <c r="I1096" s="352"/>
      <c r="J1096" s="352"/>
      <c r="K1096" s="352"/>
      <c r="L1096" s="352"/>
      <c r="M1096" s="352"/>
      <c r="N1096" s="352"/>
      <c r="O1096" s="352"/>
      <c r="P1096" s="352"/>
      <c r="Q1096" s="352"/>
      <c r="R1096" s="352"/>
    </row>
    <row r="1097" ht="32.25" customHeight="1">
      <c r="A1097" s="58"/>
      <c r="B1097" s="149"/>
      <c r="C1097" s="58"/>
      <c r="D1097" s="58"/>
      <c r="E1097" s="58"/>
      <c r="F1097" s="58"/>
      <c r="G1097" s="58"/>
      <c r="H1097" s="373"/>
      <c r="I1097" s="352"/>
      <c r="J1097" s="352"/>
      <c r="K1097" s="352"/>
      <c r="L1097" s="352"/>
      <c r="M1097" s="352"/>
      <c r="N1097" s="352"/>
      <c r="O1097" s="352"/>
      <c r="P1097" s="352"/>
      <c r="Q1097" s="352"/>
      <c r="R1097" s="352"/>
    </row>
    <row r="1098" ht="32.25" customHeight="1">
      <c r="A1098" s="58"/>
      <c r="B1098" s="149"/>
      <c r="C1098" s="58"/>
      <c r="D1098" s="58"/>
      <c r="E1098" s="58"/>
      <c r="F1098" s="58"/>
      <c r="G1098" s="58"/>
      <c r="H1098" s="373"/>
      <c r="I1098" s="352"/>
      <c r="J1098" s="352"/>
      <c r="K1098" s="352"/>
      <c r="L1098" s="352"/>
      <c r="M1098" s="352"/>
      <c r="N1098" s="352"/>
      <c r="O1098" s="352"/>
      <c r="P1098" s="352"/>
      <c r="Q1098" s="352"/>
      <c r="R1098" s="352"/>
    </row>
    <row r="1099" ht="32.25" customHeight="1">
      <c r="A1099" s="58"/>
      <c r="B1099" s="149"/>
      <c r="C1099" s="58"/>
      <c r="D1099" s="58"/>
      <c r="E1099" s="58"/>
      <c r="F1099" s="58"/>
      <c r="G1099" s="58"/>
      <c r="H1099" s="373"/>
      <c r="I1099" s="352"/>
      <c r="J1099" s="352"/>
      <c r="K1099" s="352"/>
      <c r="L1099" s="352"/>
      <c r="M1099" s="352"/>
      <c r="N1099" s="352"/>
      <c r="O1099" s="352"/>
      <c r="P1099" s="352"/>
      <c r="Q1099" s="352"/>
      <c r="R1099" s="352"/>
    </row>
    <row r="1100" ht="32.25" customHeight="1">
      <c r="A1100" s="58"/>
      <c r="B1100" s="149"/>
      <c r="C1100" s="58"/>
      <c r="D1100" s="58"/>
      <c r="E1100" s="58"/>
      <c r="F1100" s="58"/>
      <c r="G1100" s="58"/>
      <c r="H1100" s="373"/>
      <c r="I1100" s="352"/>
      <c r="J1100" s="352"/>
      <c r="K1100" s="352"/>
      <c r="L1100" s="352"/>
      <c r="M1100" s="352"/>
      <c r="N1100" s="352"/>
      <c r="O1100" s="352"/>
      <c r="P1100" s="352"/>
      <c r="Q1100" s="352"/>
      <c r="R1100" s="352"/>
    </row>
    <row r="1101" ht="32.25" customHeight="1">
      <c r="A1101" s="58"/>
      <c r="B1101" s="149"/>
      <c r="C1101" s="58"/>
      <c r="D1101" s="58"/>
      <c r="E1101" s="58"/>
      <c r="F1101" s="58"/>
      <c r="G1101" s="58"/>
      <c r="H1101" s="373"/>
      <c r="I1101" s="352"/>
      <c r="J1101" s="352"/>
      <c r="K1101" s="352"/>
      <c r="L1101" s="352"/>
      <c r="M1101" s="352"/>
      <c r="N1101" s="352"/>
      <c r="O1101" s="352"/>
      <c r="P1101" s="352"/>
      <c r="Q1101" s="352"/>
      <c r="R1101" s="352"/>
    </row>
    <row r="1102" ht="32.25" customHeight="1">
      <c r="A1102" s="58"/>
      <c r="B1102" s="149"/>
      <c r="C1102" s="58"/>
      <c r="D1102" s="58"/>
      <c r="E1102" s="58"/>
      <c r="F1102" s="58"/>
      <c r="G1102" s="58"/>
      <c r="H1102" s="373"/>
      <c r="I1102" s="352"/>
      <c r="J1102" s="352"/>
      <c r="K1102" s="352"/>
      <c r="L1102" s="352"/>
      <c r="M1102" s="352"/>
      <c r="N1102" s="352"/>
      <c r="O1102" s="352"/>
      <c r="P1102" s="352"/>
      <c r="Q1102" s="352"/>
      <c r="R1102" s="352"/>
    </row>
    <row r="1103" ht="32.25" customHeight="1">
      <c r="A1103" s="58"/>
      <c r="B1103" s="149"/>
      <c r="C1103" s="58"/>
      <c r="D1103" s="58"/>
      <c r="E1103" s="58"/>
      <c r="F1103" s="58"/>
      <c r="G1103" s="58"/>
      <c r="H1103" s="373"/>
      <c r="I1103" s="352"/>
      <c r="J1103" s="352"/>
      <c r="K1103" s="352"/>
      <c r="L1103" s="352"/>
      <c r="M1103" s="352"/>
      <c r="N1103" s="352"/>
      <c r="O1103" s="352"/>
      <c r="P1103" s="352"/>
      <c r="Q1103" s="352"/>
      <c r="R1103" s="352"/>
    </row>
    <row r="1104" ht="32.25" customHeight="1">
      <c r="A1104" s="58"/>
      <c r="B1104" s="149"/>
      <c r="C1104" s="58"/>
      <c r="D1104" s="58"/>
      <c r="E1104" s="58"/>
      <c r="F1104" s="58"/>
      <c r="G1104" s="58"/>
      <c r="H1104" s="373"/>
      <c r="I1104" s="352"/>
      <c r="J1104" s="352"/>
      <c r="K1104" s="352"/>
      <c r="L1104" s="352"/>
      <c r="M1104" s="352"/>
      <c r="N1104" s="352"/>
      <c r="O1104" s="352"/>
      <c r="P1104" s="352"/>
      <c r="Q1104" s="352"/>
      <c r="R1104" s="352"/>
    </row>
    <row r="1105" ht="32.25" customHeight="1">
      <c r="A1105" s="58"/>
      <c r="B1105" s="149"/>
      <c r="C1105" s="58"/>
      <c r="D1105" s="58"/>
      <c r="E1105" s="58"/>
      <c r="F1105" s="58"/>
      <c r="G1105" s="58"/>
      <c r="H1105" s="373"/>
      <c r="I1105" s="352"/>
      <c r="J1105" s="352"/>
      <c r="K1105" s="352"/>
      <c r="L1105" s="352"/>
      <c r="M1105" s="352"/>
      <c r="N1105" s="352"/>
      <c r="O1105" s="352"/>
      <c r="P1105" s="352"/>
      <c r="Q1105" s="352"/>
      <c r="R1105" s="352"/>
    </row>
    <row r="1106" ht="32.25" customHeight="1">
      <c r="A1106" s="58"/>
      <c r="B1106" s="149"/>
      <c r="C1106" s="58"/>
      <c r="D1106" s="58"/>
      <c r="E1106" s="58"/>
      <c r="F1106" s="58"/>
      <c r="G1106" s="58"/>
      <c r="H1106" s="373"/>
      <c r="I1106" s="352"/>
      <c r="J1106" s="352"/>
      <c r="K1106" s="352"/>
      <c r="L1106" s="352"/>
      <c r="M1106" s="352"/>
      <c r="N1106" s="352"/>
      <c r="O1106" s="352"/>
      <c r="P1106" s="352"/>
      <c r="Q1106" s="352"/>
      <c r="R1106" s="352"/>
    </row>
    <row r="1107" ht="32.25" customHeight="1">
      <c r="A1107" s="58"/>
      <c r="B1107" s="149"/>
      <c r="C1107" s="58"/>
      <c r="D1107" s="58"/>
      <c r="E1107" s="58"/>
      <c r="F1107" s="58"/>
      <c r="G1107" s="58"/>
      <c r="H1107" s="373"/>
      <c r="I1107" s="352"/>
      <c r="J1107" s="352"/>
      <c r="K1107" s="352"/>
      <c r="L1107" s="352"/>
      <c r="M1107" s="352"/>
      <c r="N1107" s="352"/>
      <c r="O1107" s="352"/>
      <c r="P1107" s="352"/>
      <c r="Q1107" s="352"/>
      <c r="R1107" s="352"/>
    </row>
    <row r="1108" ht="32.25" customHeight="1">
      <c r="A1108" s="58"/>
      <c r="B1108" s="149"/>
      <c r="C1108" s="58"/>
      <c r="D1108" s="58"/>
      <c r="E1108" s="58"/>
      <c r="F1108" s="58"/>
      <c r="G1108" s="58"/>
      <c r="H1108" s="373"/>
      <c r="I1108" s="352"/>
      <c r="J1108" s="352"/>
      <c r="K1108" s="352"/>
      <c r="L1108" s="352"/>
      <c r="M1108" s="352"/>
      <c r="N1108" s="352"/>
      <c r="O1108" s="352"/>
      <c r="P1108" s="352"/>
      <c r="Q1108" s="352"/>
      <c r="R1108" s="352"/>
    </row>
    <row r="1109" ht="32.25" customHeight="1">
      <c r="A1109" s="58"/>
      <c r="B1109" s="149"/>
      <c r="C1109" s="58"/>
      <c r="D1109" s="58"/>
      <c r="E1109" s="58"/>
      <c r="F1109" s="58"/>
      <c r="G1109" s="58"/>
      <c r="H1109" s="373"/>
      <c r="I1109" s="352"/>
      <c r="J1109" s="352"/>
      <c r="K1109" s="352"/>
      <c r="L1109" s="352"/>
      <c r="M1109" s="352"/>
      <c r="N1109" s="352"/>
      <c r="O1109" s="352"/>
      <c r="P1109" s="352"/>
      <c r="Q1109" s="352"/>
      <c r="R1109" s="352"/>
    </row>
    <row r="1110" ht="32.25" customHeight="1">
      <c r="A1110" s="58"/>
      <c r="B1110" s="149"/>
      <c r="C1110" s="58"/>
      <c r="D1110" s="58"/>
      <c r="E1110" s="58"/>
      <c r="F1110" s="58"/>
      <c r="G1110" s="58"/>
      <c r="H1110" s="373"/>
      <c r="I1110" s="352"/>
      <c r="J1110" s="352"/>
      <c r="K1110" s="352"/>
      <c r="L1110" s="352"/>
      <c r="M1110" s="352"/>
      <c r="N1110" s="352"/>
      <c r="O1110" s="352"/>
      <c r="P1110" s="352"/>
      <c r="Q1110" s="352"/>
      <c r="R1110" s="352"/>
    </row>
    <row r="1111" ht="32.25" customHeight="1">
      <c r="A1111" s="58"/>
      <c r="B1111" s="149"/>
      <c r="C1111" s="58"/>
      <c r="D1111" s="58"/>
      <c r="E1111" s="58"/>
      <c r="F1111" s="58"/>
      <c r="G1111" s="58"/>
      <c r="H1111" s="373"/>
      <c r="I1111" s="352"/>
      <c r="J1111" s="352"/>
      <c r="K1111" s="352"/>
      <c r="L1111" s="352"/>
      <c r="M1111" s="352"/>
      <c r="N1111" s="352"/>
      <c r="O1111" s="352"/>
      <c r="P1111" s="352"/>
      <c r="Q1111" s="352"/>
      <c r="R1111" s="352"/>
    </row>
    <row r="1112" ht="32.25" customHeight="1">
      <c r="A1112" s="58"/>
      <c r="B1112" s="149"/>
      <c r="C1112" s="58"/>
      <c r="D1112" s="58"/>
      <c r="E1112" s="58"/>
      <c r="F1112" s="58"/>
      <c r="G1112" s="58"/>
      <c r="H1112" s="373"/>
      <c r="I1112" s="352"/>
      <c r="J1112" s="352"/>
      <c r="K1112" s="352"/>
      <c r="L1112" s="352"/>
      <c r="M1112" s="352"/>
      <c r="N1112" s="352"/>
      <c r="O1112" s="352"/>
      <c r="P1112" s="352"/>
      <c r="Q1112" s="352"/>
      <c r="R1112" s="352"/>
    </row>
    <row r="1113" ht="32.25" customHeight="1">
      <c r="A1113" s="58"/>
      <c r="B1113" s="149"/>
      <c r="C1113" s="58"/>
      <c r="D1113" s="58"/>
      <c r="E1113" s="58"/>
      <c r="F1113" s="58"/>
      <c r="G1113" s="58"/>
      <c r="H1113" s="373"/>
      <c r="I1113" s="352"/>
      <c r="J1113" s="352"/>
      <c r="K1113" s="352"/>
      <c r="L1113" s="352"/>
      <c r="M1113" s="352"/>
      <c r="N1113" s="352"/>
      <c r="O1113" s="352"/>
      <c r="P1113" s="352"/>
      <c r="Q1113" s="352"/>
      <c r="R1113" s="352"/>
    </row>
    <row r="1114" ht="32.25" customHeight="1">
      <c r="A1114" s="58"/>
      <c r="B1114" s="149"/>
      <c r="C1114" s="58"/>
      <c r="D1114" s="58"/>
      <c r="E1114" s="58"/>
      <c r="F1114" s="58"/>
      <c r="G1114" s="58"/>
      <c r="H1114" s="373"/>
      <c r="I1114" s="352"/>
      <c r="J1114" s="352"/>
      <c r="K1114" s="352"/>
      <c r="L1114" s="352"/>
      <c r="M1114" s="352"/>
      <c r="N1114" s="352"/>
      <c r="O1114" s="352"/>
      <c r="P1114" s="352"/>
      <c r="Q1114" s="352"/>
      <c r="R1114" s="352"/>
    </row>
    <row r="1115" ht="32.25" customHeight="1">
      <c r="A1115" s="58"/>
      <c r="B1115" s="149"/>
      <c r="C1115" s="58"/>
      <c r="D1115" s="58"/>
      <c r="E1115" s="58"/>
      <c r="F1115" s="58"/>
      <c r="G1115" s="58"/>
      <c r="H1115" s="373"/>
      <c r="I1115" s="352"/>
      <c r="J1115" s="352"/>
      <c r="K1115" s="352"/>
      <c r="L1115" s="352"/>
      <c r="M1115" s="352"/>
      <c r="N1115" s="352"/>
      <c r="O1115" s="352"/>
      <c r="P1115" s="352"/>
      <c r="Q1115" s="352"/>
      <c r="R1115" s="352"/>
    </row>
    <row r="1116" ht="32.25" customHeight="1">
      <c r="A1116" s="58"/>
      <c r="B1116" s="149"/>
      <c r="C1116" s="58"/>
      <c r="D1116" s="58"/>
      <c r="E1116" s="58"/>
      <c r="F1116" s="58"/>
      <c r="G1116" s="58"/>
      <c r="H1116" s="373"/>
      <c r="I1116" s="352"/>
      <c r="J1116" s="352"/>
      <c r="K1116" s="352"/>
      <c r="L1116" s="352"/>
      <c r="M1116" s="352"/>
      <c r="N1116" s="352"/>
      <c r="O1116" s="352"/>
      <c r="P1116" s="352"/>
      <c r="Q1116" s="352"/>
      <c r="R1116" s="352"/>
    </row>
    <row r="1117" ht="32.25" customHeight="1">
      <c r="A1117" s="58"/>
      <c r="B1117" s="149"/>
      <c r="C1117" s="58"/>
      <c r="D1117" s="58"/>
      <c r="E1117" s="58"/>
      <c r="F1117" s="58"/>
      <c r="G1117" s="58"/>
      <c r="H1117" s="373"/>
      <c r="I1117" s="352"/>
      <c r="J1117" s="352"/>
      <c r="K1117" s="352"/>
      <c r="L1117" s="352"/>
      <c r="M1117" s="352"/>
      <c r="N1117" s="352"/>
      <c r="O1117" s="352"/>
      <c r="P1117" s="352"/>
      <c r="Q1117" s="352"/>
      <c r="R1117" s="352"/>
    </row>
    <row r="1118" ht="32.25" customHeight="1">
      <c r="A1118" s="58"/>
      <c r="B1118" s="149"/>
      <c r="C1118" s="58"/>
      <c r="D1118" s="58"/>
      <c r="E1118" s="58"/>
      <c r="F1118" s="58"/>
      <c r="G1118" s="58"/>
      <c r="H1118" s="373"/>
      <c r="I1118" s="352"/>
      <c r="J1118" s="352"/>
      <c r="K1118" s="352"/>
      <c r="L1118" s="352"/>
      <c r="M1118" s="352"/>
      <c r="N1118" s="352"/>
      <c r="O1118" s="352"/>
      <c r="P1118" s="352"/>
      <c r="Q1118" s="352"/>
      <c r="R1118" s="352"/>
    </row>
    <row r="1119" ht="32.25" customHeight="1">
      <c r="A1119" s="58"/>
      <c r="B1119" s="149"/>
      <c r="C1119" s="58"/>
      <c r="D1119" s="58"/>
      <c r="E1119" s="58"/>
      <c r="F1119" s="58"/>
      <c r="G1119" s="58"/>
      <c r="H1119" s="373"/>
      <c r="I1119" s="352"/>
      <c r="J1119" s="352"/>
      <c r="K1119" s="352"/>
      <c r="L1119" s="352"/>
      <c r="M1119" s="352"/>
      <c r="N1119" s="352"/>
      <c r="O1119" s="352"/>
      <c r="P1119" s="352"/>
      <c r="Q1119" s="352"/>
      <c r="R1119" s="352"/>
    </row>
    <row r="1120" ht="32.25" customHeight="1">
      <c r="A1120" s="58"/>
      <c r="B1120" s="149"/>
      <c r="C1120" s="58"/>
      <c r="D1120" s="58"/>
      <c r="E1120" s="58"/>
      <c r="F1120" s="58"/>
      <c r="G1120" s="58"/>
      <c r="H1120" s="373"/>
      <c r="I1120" s="352"/>
      <c r="J1120" s="352"/>
      <c r="K1120" s="352"/>
      <c r="L1120" s="352"/>
      <c r="M1120" s="352"/>
      <c r="N1120" s="352"/>
      <c r="O1120" s="352"/>
      <c r="P1120" s="352"/>
      <c r="Q1120" s="352"/>
      <c r="R1120" s="352"/>
    </row>
    <row r="1121" ht="32.25" customHeight="1">
      <c r="A1121" s="58"/>
      <c r="B1121" s="149"/>
      <c r="C1121" s="58"/>
      <c r="D1121" s="58"/>
      <c r="E1121" s="58"/>
      <c r="F1121" s="58"/>
      <c r="G1121" s="58"/>
      <c r="H1121" s="373"/>
      <c r="I1121" s="352"/>
      <c r="J1121" s="352"/>
      <c r="K1121" s="352"/>
      <c r="L1121" s="352"/>
      <c r="M1121" s="352"/>
      <c r="N1121" s="352"/>
      <c r="O1121" s="352"/>
      <c r="P1121" s="352"/>
      <c r="Q1121" s="352"/>
      <c r="R1121" s="352"/>
    </row>
    <row r="1122" ht="32.25" customHeight="1">
      <c r="A1122" s="58"/>
      <c r="B1122" s="149"/>
      <c r="C1122" s="58"/>
      <c r="D1122" s="58"/>
      <c r="E1122" s="58"/>
      <c r="F1122" s="58"/>
      <c r="G1122" s="58"/>
      <c r="H1122" s="373"/>
      <c r="I1122" s="352"/>
      <c r="J1122" s="352"/>
      <c r="K1122" s="352"/>
      <c r="L1122" s="352"/>
      <c r="M1122" s="352"/>
      <c r="N1122" s="352"/>
      <c r="O1122" s="352"/>
      <c r="P1122" s="352"/>
      <c r="Q1122" s="352"/>
      <c r="R1122" s="352"/>
    </row>
    <row r="1123" ht="32.25" customHeight="1">
      <c r="A1123" s="58"/>
      <c r="B1123" s="149"/>
      <c r="C1123" s="58"/>
      <c r="D1123" s="58"/>
      <c r="E1123" s="58"/>
      <c r="F1123" s="58"/>
      <c r="G1123" s="58"/>
      <c r="H1123" s="373"/>
      <c r="I1123" s="352"/>
      <c r="J1123" s="352"/>
      <c r="K1123" s="352"/>
      <c r="L1123" s="352"/>
      <c r="M1123" s="352"/>
      <c r="N1123" s="352"/>
      <c r="O1123" s="352"/>
      <c r="P1123" s="352"/>
      <c r="Q1123" s="352"/>
      <c r="R1123" s="352"/>
    </row>
    <row r="1124" ht="32.25" customHeight="1">
      <c r="A1124" s="58"/>
      <c r="B1124" s="149"/>
      <c r="C1124" s="58"/>
      <c r="D1124" s="58"/>
      <c r="E1124" s="58"/>
      <c r="F1124" s="58"/>
      <c r="G1124" s="58"/>
      <c r="H1124" s="373"/>
      <c r="I1124" s="352"/>
      <c r="J1124" s="352"/>
      <c r="K1124" s="352"/>
      <c r="L1124" s="352"/>
      <c r="M1124" s="352"/>
      <c r="N1124" s="352"/>
      <c r="O1124" s="352"/>
      <c r="P1124" s="352"/>
      <c r="Q1124" s="352"/>
      <c r="R1124" s="352"/>
    </row>
    <row r="1125" ht="32.25" customHeight="1">
      <c r="A1125" s="58"/>
      <c r="B1125" s="149"/>
      <c r="C1125" s="58"/>
      <c r="D1125" s="58"/>
      <c r="E1125" s="58"/>
      <c r="F1125" s="58"/>
      <c r="G1125" s="58"/>
      <c r="H1125" s="373"/>
      <c r="I1125" s="352"/>
      <c r="J1125" s="352"/>
      <c r="K1125" s="352"/>
      <c r="L1125" s="352"/>
      <c r="M1125" s="352"/>
      <c r="N1125" s="352"/>
      <c r="O1125" s="352"/>
      <c r="P1125" s="352"/>
      <c r="Q1125" s="352"/>
      <c r="R1125" s="352"/>
    </row>
    <row r="1126" ht="32.25" customHeight="1">
      <c r="A1126" s="58"/>
      <c r="B1126" s="149"/>
      <c r="C1126" s="58"/>
      <c r="D1126" s="58"/>
      <c r="E1126" s="58"/>
      <c r="F1126" s="58"/>
      <c r="G1126" s="58"/>
      <c r="H1126" s="373"/>
      <c r="I1126" s="352"/>
      <c r="J1126" s="352"/>
      <c r="K1126" s="352"/>
      <c r="L1126" s="352"/>
      <c r="M1126" s="352"/>
      <c r="N1126" s="352"/>
      <c r="O1126" s="352"/>
      <c r="P1126" s="352"/>
      <c r="Q1126" s="352"/>
      <c r="R1126" s="352"/>
    </row>
    <row r="1127" ht="32.25" customHeight="1">
      <c r="A1127" s="58"/>
      <c r="B1127" s="149"/>
      <c r="C1127" s="58"/>
      <c r="D1127" s="58"/>
      <c r="E1127" s="58"/>
      <c r="F1127" s="58"/>
      <c r="G1127" s="58"/>
      <c r="H1127" s="373"/>
      <c r="I1127" s="352"/>
      <c r="J1127" s="352"/>
      <c r="K1127" s="352"/>
      <c r="L1127" s="352"/>
      <c r="M1127" s="352"/>
      <c r="N1127" s="352"/>
      <c r="O1127" s="352"/>
      <c r="P1127" s="352"/>
      <c r="Q1127" s="352"/>
      <c r="R1127" s="352"/>
    </row>
    <row r="1128" ht="32.25" customHeight="1">
      <c r="A1128" s="58"/>
      <c r="B1128" s="149"/>
      <c r="C1128" s="58"/>
      <c r="D1128" s="58"/>
      <c r="E1128" s="58"/>
      <c r="F1128" s="58"/>
      <c r="G1128" s="58"/>
      <c r="H1128" s="373"/>
      <c r="I1128" s="352"/>
      <c r="J1128" s="352"/>
      <c r="K1128" s="352"/>
      <c r="L1128" s="352"/>
      <c r="M1128" s="352"/>
      <c r="N1128" s="352"/>
      <c r="O1128" s="352"/>
      <c r="P1128" s="352"/>
      <c r="Q1128" s="352"/>
      <c r="R1128" s="352"/>
    </row>
    <row r="1129" ht="32.25" customHeight="1">
      <c r="A1129" s="58"/>
      <c r="B1129" s="149"/>
      <c r="C1129" s="58"/>
      <c r="D1129" s="58"/>
      <c r="E1129" s="58"/>
      <c r="F1129" s="58"/>
      <c r="G1129" s="58"/>
      <c r="H1129" s="373"/>
      <c r="I1129" s="352"/>
      <c r="J1129" s="352"/>
      <c r="K1129" s="352"/>
      <c r="L1129" s="352"/>
      <c r="M1129" s="352"/>
      <c r="N1129" s="352"/>
      <c r="O1129" s="352"/>
      <c r="P1129" s="352"/>
      <c r="Q1129" s="352"/>
      <c r="R1129" s="352"/>
    </row>
    <row r="1130" ht="32.25" customHeight="1">
      <c r="A1130" s="58"/>
      <c r="B1130" s="149"/>
      <c r="C1130" s="58"/>
      <c r="D1130" s="58"/>
      <c r="E1130" s="58"/>
      <c r="F1130" s="58"/>
      <c r="G1130" s="58"/>
      <c r="H1130" s="373"/>
      <c r="I1130" s="352"/>
      <c r="J1130" s="352"/>
      <c r="K1130" s="352"/>
      <c r="L1130" s="352"/>
      <c r="M1130" s="352"/>
      <c r="N1130" s="352"/>
      <c r="O1130" s="352"/>
      <c r="P1130" s="352"/>
      <c r="Q1130" s="352"/>
      <c r="R1130" s="352"/>
    </row>
    <row r="1131" ht="32.25" customHeight="1">
      <c r="A1131" s="58"/>
      <c r="B1131" s="149"/>
      <c r="C1131" s="58"/>
      <c r="D1131" s="58"/>
      <c r="E1131" s="58"/>
      <c r="F1131" s="58"/>
      <c r="G1131" s="58"/>
      <c r="H1131" s="373"/>
      <c r="I1131" s="352"/>
      <c r="J1131" s="352"/>
      <c r="K1131" s="352"/>
      <c r="L1131" s="352"/>
      <c r="M1131" s="352"/>
      <c r="N1131" s="352"/>
      <c r="O1131" s="352"/>
      <c r="P1131" s="352"/>
      <c r="Q1131" s="352"/>
      <c r="R1131" s="352"/>
    </row>
    <row r="1132" ht="32.25" customHeight="1">
      <c r="A1132" s="58"/>
      <c r="B1132" s="149"/>
      <c r="C1132" s="58"/>
      <c r="D1132" s="58"/>
      <c r="E1132" s="58"/>
      <c r="F1132" s="58"/>
      <c r="G1132" s="58"/>
      <c r="H1132" s="373"/>
      <c r="I1132" s="352"/>
      <c r="J1132" s="352"/>
      <c r="K1132" s="352"/>
      <c r="L1132" s="352"/>
      <c r="M1132" s="352"/>
      <c r="N1132" s="352"/>
      <c r="O1132" s="352"/>
      <c r="P1132" s="352"/>
      <c r="Q1132" s="352"/>
      <c r="R1132" s="352"/>
    </row>
    <row r="1133" ht="32.25" customHeight="1">
      <c r="A1133" s="58"/>
      <c r="B1133" s="149"/>
      <c r="C1133" s="58"/>
      <c r="D1133" s="58"/>
      <c r="E1133" s="58"/>
      <c r="F1133" s="58"/>
      <c r="G1133" s="58"/>
      <c r="H1133" s="373"/>
      <c r="I1133" s="352"/>
      <c r="J1133" s="352"/>
      <c r="K1133" s="352"/>
      <c r="L1133" s="352"/>
      <c r="M1133" s="352"/>
      <c r="N1133" s="352"/>
      <c r="O1133" s="352"/>
      <c r="P1133" s="352"/>
      <c r="Q1133" s="352"/>
      <c r="R1133" s="352"/>
    </row>
    <row r="1134" ht="32.25" customHeight="1">
      <c r="A1134" s="58"/>
      <c r="B1134" s="149"/>
      <c r="C1134" s="58"/>
      <c r="D1134" s="58"/>
      <c r="E1134" s="58"/>
      <c r="F1134" s="58"/>
      <c r="G1134" s="58"/>
      <c r="H1134" s="373"/>
      <c r="I1134" s="352"/>
      <c r="J1134" s="352"/>
      <c r="K1134" s="352"/>
      <c r="L1134" s="352"/>
      <c r="M1134" s="352"/>
      <c r="N1134" s="352"/>
      <c r="O1134" s="352"/>
      <c r="P1134" s="352"/>
      <c r="Q1134" s="352"/>
      <c r="R1134" s="352"/>
    </row>
    <row r="1135" ht="32.25" customHeight="1">
      <c r="A1135" s="58"/>
      <c r="B1135" s="149"/>
      <c r="C1135" s="58"/>
      <c r="D1135" s="58"/>
      <c r="E1135" s="58"/>
      <c r="F1135" s="58"/>
      <c r="G1135" s="58"/>
      <c r="H1135" s="373"/>
      <c r="I1135" s="352"/>
      <c r="J1135" s="352"/>
      <c r="K1135" s="352"/>
      <c r="L1135" s="352"/>
      <c r="M1135" s="352"/>
      <c r="N1135" s="352"/>
      <c r="O1135" s="352"/>
      <c r="P1135" s="352"/>
      <c r="Q1135" s="352"/>
      <c r="R1135" s="352"/>
    </row>
    <row r="1136" ht="32.25" customHeight="1">
      <c r="A1136" s="58"/>
      <c r="B1136" s="149"/>
      <c r="C1136" s="58"/>
      <c r="D1136" s="58"/>
      <c r="E1136" s="58"/>
      <c r="F1136" s="58"/>
      <c r="G1136" s="58"/>
      <c r="H1136" s="373"/>
      <c r="I1136" s="352"/>
      <c r="J1136" s="352"/>
      <c r="K1136" s="352"/>
      <c r="L1136" s="352"/>
      <c r="M1136" s="352"/>
      <c r="N1136" s="352"/>
      <c r="O1136" s="352"/>
      <c r="P1136" s="352"/>
      <c r="Q1136" s="352"/>
      <c r="R1136" s="352"/>
    </row>
    <row r="1137" ht="32.25" customHeight="1">
      <c r="A1137" s="58"/>
      <c r="B1137" s="149"/>
      <c r="C1137" s="58"/>
      <c r="D1137" s="58"/>
      <c r="E1137" s="58"/>
      <c r="F1137" s="58"/>
      <c r="G1137" s="58"/>
      <c r="H1137" s="373"/>
      <c r="I1137" s="352"/>
      <c r="J1137" s="352"/>
      <c r="K1137" s="352"/>
      <c r="L1137" s="352"/>
      <c r="M1137" s="352"/>
      <c r="N1137" s="352"/>
      <c r="O1137" s="352"/>
      <c r="P1137" s="352"/>
      <c r="Q1137" s="352"/>
      <c r="R1137" s="352"/>
    </row>
    <row r="1138" ht="32.25" customHeight="1">
      <c r="A1138" s="58"/>
      <c r="B1138" s="149"/>
      <c r="C1138" s="58"/>
      <c r="D1138" s="58"/>
      <c r="E1138" s="58"/>
      <c r="F1138" s="58"/>
      <c r="G1138" s="58"/>
      <c r="H1138" s="373"/>
      <c r="I1138" s="352"/>
      <c r="J1138" s="352"/>
      <c r="K1138" s="352"/>
      <c r="L1138" s="352"/>
      <c r="M1138" s="352"/>
      <c r="N1138" s="352"/>
      <c r="O1138" s="352"/>
      <c r="P1138" s="352"/>
      <c r="Q1138" s="352"/>
      <c r="R1138" s="352"/>
    </row>
    <row r="1139" ht="32.25" customHeight="1">
      <c r="A1139" s="58"/>
      <c r="B1139" s="149"/>
      <c r="C1139" s="58"/>
      <c r="D1139" s="58"/>
      <c r="E1139" s="58"/>
      <c r="F1139" s="58"/>
      <c r="G1139" s="58"/>
      <c r="H1139" s="373"/>
      <c r="I1139" s="352"/>
      <c r="J1139" s="352"/>
      <c r="K1139" s="352"/>
      <c r="L1139" s="352"/>
      <c r="M1139" s="352"/>
      <c r="N1139" s="352"/>
      <c r="O1139" s="352"/>
      <c r="P1139" s="352"/>
      <c r="Q1139" s="352"/>
      <c r="R1139" s="352"/>
    </row>
    <row r="1140" ht="32.25" customHeight="1">
      <c r="A1140" s="58"/>
      <c r="B1140" s="149"/>
      <c r="C1140" s="58"/>
      <c r="D1140" s="58"/>
      <c r="E1140" s="58"/>
      <c r="F1140" s="58"/>
      <c r="G1140" s="58"/>
      <c r="H1140" s="373"/>
      <c r="I1140" s="352"/>
      <c r="J1140" s="352"/>
      <c r="K1140" s="352"/>
      <c r="L1140" s="352"/>
      <c r="M1140" s="352"/>
      <c r="N1140" s="352"/>
      <c r="O1140" s="352"/>
      <c r="P1140" s="352"/>
      <c r="Q1140" s="352"/>
      <c r="R1140" s="352"/>
    </row>
    <row r="1141" ht="32.25" customHeight="1">
      <c r="A1141" s="58"/>
      <c r="B1141" s="149"/>
      <c r="C1141" s="58"/>
      <c r="D1141" s="58"/>
      <c r="E1141" s="58"/>
      <c r="F1141" s="58"/>
      <c r="G1141" s="58"/>
      <c r="H1141" s="373"/>
      <c r="I1141" s="352"/>
      <c r="J1141" s="352"/>
      <c r="K1141" s="352"/>
      <c r="L1141" s="352"/>
      <c r="M1141" s="352"/>
      <c r="N1141" s="352"/>
      <c r="O1141" s="352"/>
      <c r="P1141" s="352"/>
      <c r="Q1141" s="352"/>
      <c r="R1141" s="352"/>
    </row>
    <row r="1142" ht="32.25" customHeight="1">
      <c r="A1142" s="58"/>
      <c r="B1142" s="149"/>
      <c r="C1142" s="58"/>
      <c r="D1142" s="58"/>
      <c r="E1142" s="58"/>
      <c r="F1142" s="58"/>
      <c r="G1142" s="58"/>
      <c r="H1142" s="373"/>
      <c r="I1142" s="352"/>
      <c r="J1142" s="352"/>
      <c r="K1142" s="352"/>
      <c r="L1142" s="352"/>
      <c r="M1142" s="352"/>
      <c r="N1142" s="352"/>
      <c r="O1142" s="352"/>
      <c r="P1142" s="352"/>
      <c r="Q1142" s="352"/>
      <c r="R1142" s="352"/>
    </row>
    <row r="1143" ht="32.25" customHeight="1">
      <c r="A1143" s="58"/>
      <c r="B1143" s="149"/>
      <c r="C1143" s="58"/>
      <c r="D1143" s="58"/>
      <c r="E1143" s="58"/>
      <c r="F1143" s="58"/>
      <c r="G1143" s="58"/>
      <c r="H1143" s="373"/>
      <c r="I1143" s="352"/>
      <c r="J1143" s="352"/>
      <c r="K1143" s="352"/>
      <c r="L1143" s="352"/>
      <c r="M1143" s="352"/>
      <c r="N1143" s="352"/>
      <c r="O1143" s="352"/>
      <c r="P1143" s="352"/>
      <c r="Q1143" s="352"/>
      <c r="R1143" s="352"/>
    </row>
    <row r="1144" ht="32.25" customHeight="1">
      <c r="A1144" s="58"/>
      <c r="B1144" s="149"/>
      <c r="C1144" s="58"/>
      <c r="D1144" s="58"/>
      <c r="E1144" s="58"/>
      <c r="F1144" s="58"/>
      <c r="G1144" s="58"/>
      <c r="H1144" s="373"/>
      <c r="I1144" s="352"/>
      <c r="J1144" s="352"/>
      <c r="K1144" s="352"/>
      <c r="L1144" s="352"/>
      <c r="M1144" s="352"/>
      <c r="N1144" s="352"/>
      <c r="O1144" s="352"/>
      <c r="P1144" s="352"/>
      <c r="Q1144" s="352"/>
      <c r="R1144" s="352"/>
    </row>
    <row r="1145" ht="32.25" customHeight="1">
      <c r="A1145" s="58"/>
      <c r="B1145" s="149"/>
      <c r="C1145" s="58"/>
      <c r="D1145" s="58"/>
      <c r="E1145" s="58"/>
      <c r="F1145" s="58"/>
      <c r="G1145" s="58"/>
      <c r="H1145" s="373"/>
      <c r="I1145" s="352"/>
      <c r="J1145" s="352"/>
      <c r="K1145" s="352"/>
      <c r="L1145" s="352"/>
      <c r="M1145" s="352"/>
      <c r="N1145" s="352"/>
      <c r="O1145" s="352"/>
      <c r="P1145" s="352"/>
      <c r="Q1145" s="352"/>
      <c r="R1145" s="352"/>
    </row>
    <row r="1146" ht="32.25" customHeight="1">
      <c r="A1146" s="58"/>
      <c r="B1146" s="149"/>
      <c r="C1146" s="58"/>
      <c r="D1146" s="58"/>
      <c r="E1146" s="58"/>
      <c r="F1146" s="58"/>
      <c r="G1146" s="58"/>
      <c r="H1146" s="373"/>
      <c r="I1146" s="352"/>
      <c r="J1146" s="352"/>
      <c r="K1146" s="352"/>
      <c r="L1146" s="352"/>
      <c r="M1146" s="352"/>
      <c r="N1146" s="352"/>
      <c r="O1146" s="352"/>
      <c r="P1146" s="352"/>
      <c r="Q1146" s="352"/>
      <c r="R1146" s="352"/>
    </row>
    <row r="1147" ht="32.25" customHeight="1">
      <c r="A1147" s="58"/>
      <c r="B1147" s="149"/>
      <c r="C1147" s="58"/>
      <c r="D1147" s="58"/>
      <c r="E1147" s="58"/>
      <c r="F1147" s="58"/>
      <c r="G1147" s="58"/>
      <c r="H1147" s="373"/>
      <c r="I1147" s="352"/>
      <c r="J1147" s="352"/>
      <c r="K1147" s="352"/>
      <c r="L1147" s="352"/>
      <c r="M1147" s="352"/>
      <c r="N1147" s="352"/>
      <c r="O1147" s="352"/>
      <c r="P1147" s="352"/>
      <c r="Q1147" s="352"/>
      <c r="R1147" s="352"/>
    </row>
    <row r="1148" ht="32.25" customHeight="1">
      <c r="A1148" s="58"/>
      <c r="B1148" s="149"/>
      <c r="C1148" s="58"/>
      <c r="D1148" s="58"/>
      <c r="E1148" s="58"/>
      <c r="F1148" s="58"/>
      <c r="G1148" s="58"/>
      <c r="H1148" s="373"/>
      <c r="I1148" s="352"/>
      <c r="J1148" s="352"/>
      <c r="K1148" s="352"/>
      <c r="L1148" s="352"/>
      <c r="M1148" s="352"/>
      <c r="N1148" s="352"/>
      <c r="O1148" s="352"/>
      <c r="P1148" s="352"/>
      <c r="Q1148" s="352"/>
      <c r="R1148" s="352"/>
    </row>
    <row r="1149" ht="32.25" customHeight="1">
      <c r="A1149" s="58"/>
      <c r="B1149" s="149"/>
      <c r="C1149" s="58"/>
      <c r="D1149" s="58"/>
      <c r="E1149" s="58"/>
      <c r="F1149" s="58"/>
      <c r="G1149" s="58"/>
      <c r="H1149" s="373"/>
      <c r="I1149" s="352"/>
      <c r="J1149" s="352"/>
      <c r="K1149" s="352"/>
      <c r="L1149" s="352"/>
      <c r="M1149" s="352"/>
      <c r="N1149" s="352"/>
      <c r="O1149" s="352"/>
      <c r="P1149" s="352"/>
      <c r="Q1149" s="352"/>
      <c r="R1149" s="352"/>
    </row>
    <row r="1150" ht="32.25" customHeight="1">
      <c r="A1150" s="58"/>
      <c r="B1150" s="149"/>
      <c r="C1150" s="58"/>
      <c r="D1150" s="58"/>
      <c r="E1150" s="58"/>
      <c r="F1150" s="58"/>
      <c r="G1150" s="58"/>
      <c r="H1150" s="373"/>
      <c r="I1150" s="352"/>
      <c r="J1150" s="352"/>
      <c r="K1150" s="352"/>
      <c r="L1150" s="352"/>
      <c r="M1150" s="352"/>
      <c r="N1150" s="352"/>
      <c r="O1150" s="352"/>
      <c r="P1150" s="352"/>
      <c r="Q1150" s="352"/>
      <c r="R1150" s="352"/>
    </row>
    <row r="1151" ht="32.25" customHeight="1">
      <c r="A1151" s="58"/>
      <c r="B1151" s="149"/>
      <c r="C1151" s="58"/>
      <c r="D1151" s="58"/>
      <c r="E1151" s="58"/>
      <c r="F1151" s="58"/>
      <c r="G1151" s="58"/>
      <c r="H1151" s="373"/>
      <c r="I1151" s="352"/>
      <c r="J1151" s="352"/>
      <c r="K1151" s="352"/>
      <c r="L1151" s="352"/>
      <c r="M1151" s="352"/>
      <c r="N1151" s="352"/>
      <c r="O1151" s="352"/>
      <c r="P1151" s="352"/>
      <c r="Q1151" s="352"/>
      <c r="R1151" s="352"/>
    </row>
    <row r="1152" ht="32.25" customHeight="1">
      <c r="A1152" s="58"/>
      <c r="B1152" s="149"/>
      <c r="C1152" s="58"/>
      <c r="D1152" s="58"/>
      <c r="E1152" s="58"/>
      <c r="F1152" s="58"/>
      <c r="G1152" s="58"/>
      <c r="H1152" s="373"/>
      <c r="I1152" s="352"/>
      <c r="J1152" s="352"/>
      <c r="K1152" s="352"/>
      <c r="L1152" s="352"/>
      <c r="M1152" s="352"/>
      <c r="N1152" s="352"/>
      <c r="O1152" s="352"/>
      <c r="P1152" s="352"/>
      <c r="Q1152" s="352"/>
      <c r="R1152" s="352"/>
    </row>
    <row r="1153" ht="32.25" customHeight="1">
      <c r="A1153" s="58"/>
      <c r="B1153" s="149"/>
      <c r="C1153" s="58"/>
      <c r="D1153" s="58"/>
      <c r="E1153" s="58"/>
      <c r="F1153" s="58"/>
      <c r="G1153" s="58"/>
      <c r="H1153" s="373"/>
      <c r="I1153" s="352"/>
      <c r="J1153" s="352"/>
      <c r="K1153" s="352"/>
      <c r="L1153" s="352"/>
      <c r="M1153" s="352"/>
      <c r="N1153" s="352"/>
      <c r="O1153" s="352"/>
      <c r="P1153" s="352"/>
      <c r="Q1153" s="352"/>
      <c r="R1153" s="352"/>
    </row>
    <row r="1154" ht="32.25" customHeight="1">
      <c r="A1154" s="58"/>
      <c r="B1154" s="149"/>
      <c r="C1154" s="58"/>
      <c r="D1154" s="58"/>
      <c r="E1154" s="58"/>
      <c r="F1154" s="58"/>
      <c r="G1154" s="58"/>
      <c r="H1154" s="373"/>
      <c r="I1154" s="352"/>
      <c r="J1154" s="352"/>
      <c r="K1154" s="352"/>
      <c r="L1154" s="352"/>
      <c r="M1154" s="352"/>
      <c r="N1154" s="352"/>
      <c r="O1154" s="352"/>
      <c r="P1154" s="352"/>
      <c r="Q1154" s="352"/>
      <c r="R1154" s="352"/>
    </row>
    <row r="1155" ht="32.25" customHeight="1">
      <c r="A1155" s="58"/>
      <c r="B1155" s="149"/>
      <c r="C1155" s="58"/>
      <c r="D1155" s="58"/>
      <c r="E1155" s="58"/>
      <c r="F1155" s="58"/>
      <c r="G1155" s="58"/>
      <c r="H1155" s="373"/>
      <c r="I1155" s="352"/>
      <c r="J1155" s="352"/>
      <c r="K1155" s="352"/>
      <c r="L1155" s="352"/>
      <c r="M1155" s="352"/>
      <c r="N1155" s="352"/>
      <c r="O1155" s="352"/>
      <c r="P1155" s="352"/>
      <c r="Q1155" s="352"/>
      <c r="R1155" s="352"/>
    </row>
    <row r="1156" ht="32.25" customHeight="1">
      <c r="A1156" s="58"/>
      <c r="B1156" s="149"/>
      <c r="C1156" s="58"/>
      <c r="D1156" s="58"/>
      <c r="E1156" s="58"/>
      <c r="F1156" s="58"/>
      <c r="G1156" s="58"/>
      <c r="H1156" s="373"/>
      <c r="I1156" s="352"/>
      <c r="J1156" s="352"/>
      <c r="K1156" s="352"/>
      <c r="L1156" s="352"/>
      <c r="M1156" s="352"/>
      <c r="N1156" s="352"/>
      <c r="O1156" s="352"/>
      <c r="P1156" s="352"/>
      <c r="Q1156" s="352"/>
      <c r="R1156" s="352"/>
    </row>
    <row r="1157" ht="32.25" customHeight="1">
      <c r="A1157" s="58"/>
      <c r="B1157" s="149"/>
      <c r="C1157" s="58"/>
      <c r="D1157" s="58"/>
      <c r="E1157" s="58"/>
      <c r="F1157" s="58"/>
      <c r="G1157" s="58"/>
      <c r="H1157" s="373"/>
      <c r="I1157" s="352"/>
      <c r="J1157" s="352"/>
      <c r="K1157" s="352"/>
      <c r="L1157" s="352"/>
      <c r="M1157" s="352"/>
      <c r="N1157" s="352"/>
      <c r="O1157" s="352"/>
      <c r="P1157" s="352"/>
      <c r="Q1157" s="352"/>
      <c r="R1157" s="352"/>
    </row>
    <row r="1158" ht="32.25" customHeight="1">
      <c r="A1158" s="58"/>
      <c r="B1158" s="149"/>
      <c r="C1158" s="58"/>
      <c r="D1158" s="58"/>
      <c r="E1158" s="58"/>
      <c r="F1158" s="58"/>
      <c r="G1158" s="58"/>
      <c r="H1158" s="373"/>
      <c r="I1158" s="352"/>
      <c r="J1158" s="352"/>
      <c r="K1158" s="352"/>
      <c r="L1158" s="352"/>
      <c r="M1158" s="352"/>
      <c r="N1158" s="352"/>
      <c r="O1158" s="352"/>
      <c r="P1158" s="352"/>
      <c r="Q1158" s="352"/>
      <c r="R1158" s="352"/>
    </row>
    <row r="1159" ht="32.25" customHeight="1">
      <c r="A1159" s="58"/>
      <c r="B1159" s="149"/>
      <c r="C1159" s="58"/>
      <c r="D1159" s="58"/>
      <c r="E1159" s="58"/>
      <c r="F1159" s="58"/>
      <c r="G1159" s="58"/>
      <c r="H1159" s="373"/>
      <c r="I1159" s="352"/>
      <c r="J1159" s="352"/>
      <c r="K1159" s="352"/>
      <c r="L1159" s="352"/>
      <c r="M1159" s="352"/>
      <c r="N1159" s="352"/>
      <c r="O1159" s="352"/>
      <c r="P1159" s="352"/>
      <c r="Q1159" s="352"/>
      <c r="R1159" s="352"/>
    </row>
    <row r="1160" ht="32.25" customHeight="1">
      <c r="A1160" s="58"/>
      <c r="B1160" s="149"/>
      <c r="C1160" s="58"/>
      <c r="D1160" s="58"/>
      <c r="E1160" s="58"/>
      <c r="F1160" s="58"/>
      <c r="G1160" s="58"/>
      <c r="H1160" s="373"/>
      <c r="I1160" s="352"/>
      <c r="J1160" s="352"/>
      <c r="K1160" s="352"/>
      <c r="L1160" s="352"/>
      <c r="M1160" s="352"/>
      <c r="N1160" s="352"/>
      <c r="O1160" s="352"/>
      <c r="P1160" s="352"/>
      <c r="Q1160" s="352"/>
      <c r="R1160" s="352"/>
    </row>
    <row r="1161" ht="32.25" customHeight="1">
      <c r="A1161" s="58"/>
      <c r="B1161" s="149"/>
      <c r="C1161" s="58"/>
      <c r="D1161" s="58"/>
      <c r="E1161" s="58"/>
      <c r="F1161" s="58"/>
      <c r="G1161" s="58"/>
      <c r="H1161" s="373"/>
      <c r="I1161" s="352"/>
      <c r="J1161" s="352"/>
      <c r="K1161" s="352"/>
      <c r="L1161" s="352"/>
      <c r="M1161" s="352"/>
      <c r="N1161" s="352"/>
      <c r="O1161" s="352"/>
      <c r="P1161" s="352"/>
      <c r="Q1161" s="352"/>
      <c r="R1161" s="352"/>
    </row>
    <row r="1162" ht="32.25" customHeight="1">
      <c r="A1162" s="58"/>
      <c r="B1162" s="149"/>
      <c r="C1162" s="58"/>
      <c r="D1162" s="58"/>
      <c r="E1162" s="58"/>
      <c r="F1162" s="58"/>
      <c r="G1162" s="58"/>
      <c r="H1162" s="373"/>
      <c r="I1162" s="352"/>
      <c r="J1162" s="352"/>
      <c r="K1162" s="352"/>
      <c r="L1162" s="352"/>
      <c r="M1162" s="352"/>
      <c r="N1162" s="352"/>
      <c r="O1162" s="352"/>
      <c r="P1162" s="352"/>
      <c r="Q1162" s="352"/>
      <c r="R1162" s="352"/>
    </row>
    <row r="1163" ht="32.25" customHeight="1">
      <c r="A1163" s="58"/>
      <c r="B1163" s="149"/>
      <c r="C1163" s="58"/>
      <c r="D1163" s="58"/>
      <c r="E1163" s="58"/>
      <c r="F1163" s="58"/>
      <c r="G1163" s="58"/>
      <c r="H1163" s="373"/>
      <c r="I1163" s="352"/>
      <c r="J1163" s="352"/>
      <c r="K1163" s="352"/>
      <c r="L1163" s="352"/>
      <c r="M1163" s="352"/>
      <c r="N1163" s="352"/>
      <c r="O1163" s="352"/>
      <c r="P1163" s="352"/>
      <c r="Q1163" s="352"/>
      <c r="R1163" s="352"/>
    </row>
    <row r="1164" ht="32.25" customHeight="1">
      <c r="A1164" s="58"/>
      <c r="B1164" s="149"/>
      <c r="C1164" s="58"/>
      <c r="D1164" s="58"/>
      <c r="E1164" s="58"/>
      <c r="F1164" s="58"/>
      <c r="G1164" s="58"/>
      <c r="H1164" s="373"/>
      <c r="I1164" s="352"/>
      <c r="J1164" s="352"/>
      <c r="K1164" s="352"/>
      <c r="L1164" s="352"/>
      <c r="M1164" s="352"/>
      <c r="N1164" s="352"/>
      <c r="O1164" s="352"/>
      <c r="P1164" s="352"/>
      <c r="Q1164" s="352"/>
      <c r="R1164" s="352"/>
    </row>
    <row r="1165" ht="32.25" customHeight="1">
      <c r="A1165" s="58"/>
      <c r="B1165" s="149"/>
      <c r="C1165" s="58"/>
      <c r="D1165" s="58"/>
      <c r="E1165" s="58"/>
      <c r="F1165" s="58"/>
      <c r="G1165" s="58"/>
      <c r="H1165" s="373"/>
      <c r="I1165" s="352"/>
      <c r="J1165" s="352"/>
      <c r="K1165" s="352"/>
      <c r="L1165" s="352"/>
      <c r="M1165" s="352"/>
      <c r="N1165" s="352"/>
      <c r="O1165" s="352"/>
      <c r="P1165" s="352"/>
      <c r="Q1165" s="352"/>
      <c r="R1165" s="352"/>
    </row>
    <row r="1166" ht="32.25" customHeight="1">
      <c r="A1166" s="58"/>
      <c r="B1166" s="149"/>
      <c r="C1166" s="58"/>
      <c r="D1166" s="58"/>
      <c r="E1166" s="58"/>
      <c r="F1166" s="58"/>
      <c r="G1166" s="58"/>
      <c r="H1166" s="373"/>
      <c r="I1166" s="352"/>
      <c r="J1166" s="352"/>
      <c r="K1166" s="352"/>
      <c r="L1166" s="352"/>
      <c r="M1166" s="352"/>
      <c r="N1166" s="352"/>
      <c r="O1166" s="352"/>
      <c r="P1166" s="352"/>
      <c r="Q1166" s="352"/>
      <c r="R1166" s="352"/>
    </row>
    <row r="1167" ht="32.25" customHeight="1">
      <c r="A1167" s="58"/>
      <c r="B1167" s="149"/>
      <c r="C1167" s="58"/>
      <c r="D1167" s="58"/>
      <c r="E1167" s="58"/>
      <c r="F1167" s="58"/>
      <c r="G1167" s="58"/>
      <c r="H1167" s="373"/>
      <c r="I1167" s="352"/>
      <c r="J1167" s="352"/>
      <c r="K1167" s="352"/>
      <c r="L1167" s="352"/>
      <c r="M1167" s="352"/>
      <c r="N1167" s="352"/>
      <c r="O1167" s="352"/>
      <c r="P1167" s="352"/>
      <c r="Q1167" s="352"/>
      <c r="R1167" s="352"/>
    </row>
    <row r="1168" ht="32.25" customHeight="1">
      <c r="A1168" s="58"/>
      <c r="B1168" s="149"/>
      <c r="C1168" s="58"/>
      <c r="D1168" s="58"/>
      <c r="E1168" s="58"/>
      <c r="F1168" s="58"/>
      <c r="G1168" s="58"/>
      <c r="H1168" s="373"/>
      <c r="I1168" s="352"/>
      <c r="J1168" s="352"/>
      <c r="K1168" s="352"/>
      <c r="L1168" s="352"/>
      <c r="M1168" s="352"/>
      <c r="N1168" s="352"/>
      <c r="O1168" s="352"/>
      <c r="P1168" s="352"/>
      <c r="Q1168" s="352"/>
      <c r="R1168" s="352"/>
    </row>
    <row r="1169" ht="32.25" customHeight="1">
      <c r="A1169" s="58"/>
      <c r="B1169" s="149"/>
      <c r="C1169" s="58"/>
      <c r="D1169" s="58"/>
      <c r="E1169" s="58"/>
      <c r="F1169" s="58"/>
      <c r="G1169" s="58"/>
      <c r="H1169" s="373"/>
      <c r="I1169" s="352"/>
      <c r="J1169" s="352"/>
      <c r="K1169" s="352"/>
      <c r="L1169" s="352"/>
      <c r="M1169" s="352"/>
      <c r="N1169" s="352"/>
      <c r="O1169" s="352"/>
      <c r="P1169" s="352"/>
      <c r="Q1169" s="352"/>
      <c r="R1169" s="352"/>
    </row>
    <row r="1170" ht="32.25" customHeight="1">
      <c r="A1170" s="58"/>
      <c r="B1170" s="149"/>
      <c r="C1170" s="58"/>
      <c r="D1170" s="58"/>
      <c r="E1170" s="58"/>
      <c r="F1170" s="58"/>
      <c r="G1170" s="58"/>
      <c r="H1170" s="373"/>
      <c r="I1170" s="352"/>
      <c r="J1170" s="352"/>
      <c r="K1170" s="352"/>
      <c r="L1170" s="352"/>
      <c r="M1170" s="352"/>
      <c r="N1170" s="352"/>
      <c r="O1170" s="352"/>
      <c r="P1170" s="352"/>
      <c r="Q1170" s="352"/>
      <c r="R1170" s="352"/>
    </row>
    <row r="1171" ht="32.25" customHeight="1">
      <c r="A1171" s="58"/>
      <c r="B1171" s="149"/>
      <c r="C1171" s="58"/>
      <c r="D1171" s="58"/>
      <c r="E1171" s="58"/>
      <c r="F1171" s="58"/>
      <c r="G1171" s="58"/>
      <c r="H1171" s="373"/>
      <c r="I1171" s="352"/>
      <c r="J1171" s="352"/>
      <c r="K1171" s="352"/>
      <c r="L1171" s="352"/>
      <c r="M1171" s="352"/>
      <c r="N1171" s="352"/>
      <c r="O1171" s="352"/>
      <c r="P1171" s="352"/>
      <c r="Q1171" s="352"/>
      <c r="R1171" s="352"/>
    </row>
    <row r="1172" ht="32.25" customHeight="1">
      <c r="A1172" s="58"/>
      <c r="B1172" s="149"/>
      <c r="C1172" s="58"/>
      <c r="D1172" s="58"/>
      <c r="E1172" s="58"/>
      <c r="F1172" s="58"/>
      <c r="G1172" s="58"/>
      <c r="H1172" s="373"/>
      <c r="I1172" s="352"/>
      <c r="J1172" s="352"/>
      <c r="K1172" s="352"/>
      <c r="L1172" s="352"/>
      <c r="M1172" s="352"/>
      <c r="N1172" s="352"/>
      <c r="O1172" s="352"/>
      <c r="P1172" s="352"/>
      <c r="Q1172" s="352"/>
      <c r="R1172" s="352"/>
    </row>
    <row r="1173" ht="32.25" customHeight="1">
      <c r="A1173" s="58"/>
      <c r="B1173" s="149"/>
      <c r="C1173" s="58"/>
      <c r="D1173" s="58"/>
      <c r="E1173" s="58"/>
      <c r="F1173" s="58"/>
      <c r="G1173" s="58"/>
      <c r="H1173" s="373"/>
      <c r="I1173" s="352"/>
      <c r="J1173" s="352"/>
      <c r="K1173" s="352"/>
      <c r="L1173" s="352"/>
      <c r="M1173" s="352"/>
      <c r="N1173" s="352"/>
      <c r="O1173" s="352"/>
      <c r="P1173" s="352"/>
      <c r="Q1173" s="352"/>
      <c r="R1173" s="352"/>
    </row>
    <row r="1174" ht="32.25" customHeight="1">
      <c r="A1174" s="58"/>
      <c r="B1174" s="149"/>
      <c r="C1174" s="58"/>
      <c r="D1174" s="58"/>
      <c r="E1174" s="58"/>
      <c r="F1174" s="58"/>
      <c r="G1174" s="58"/>
      <c r="H1174" s="373"/>
      <c r="I1174" s="352"/>
      <c r="J1174" s="352"/>
      <c r="K1174" s="352"/>
      <c r="L1174" s="352"/>
      <c r="M1174" s="352"/>
      <c r="N1174" s="352"/>
      <c r="O1174" s="352"/>
      <c r="P1174" s="352"/>
      <c r="Q1174" s="352"/>
      <c r="R1174" s="352"/>
    </row>
    <row r="1175" ht="32.25" customHeight="1">
      <c r="A1175" s="58"/>
      <c r="B1175" s="149"/>
      <c r="C1175" s="58"/>
      <c r="D1175" s="58"/>
      <c r="E1175" s="58"/>
      <c r="F1175" s="58"/>
      <c r="G1175" s="58"/>
      <c r="H1175" s="373"/>
      <c r="I1175" s="352"/>
      <c r="J1175" s="352"/>
      <c r="K1175" s="352"/>
      <c r="L1175" s="352"/>
      <c r="M1175" s="352"/>
      <c r="N1175" s="352"/>
      <c r="O1175" s="352"/>
      <c r="P1175" s="352"/>
      <c r="Q1175" s="352"/>
      <c r="R1175" s="352"/>
    </row>
    <row r="1176" ht="32.25" customHeight="1">
      <c r="A1176" s="58"/>
      <c r="B1176" s="149"/>
      <c r="C1176" s="58"/>
      <c r="D1176" s="58"/>
      <c r="E1176" s="58"/>
      <c r="F1176" s="58"/>
      <c r="G1176" s="58"/>
      <c r="H1176" s="373"/>
      <c r="I1176" s="352"/>
      <c r="J1176" s="352"/>
      <c r="K1176" s="352"/>
      <c r="L1176" s="352"/>
      <c r="M1176" s="352"/>
      <c r="N1176" s="352"/>
      <c r="O1176" s="352"/>
      <c r="P1176" s="352"/>
      <c r="Q1176" s="352"/>
      <c r="R1176" s="352"/>
    </row>
    <row r="1177" ht="32.25" customHeight="1">
      <c r="A1177" s="58"/>
      <c r="B1177" s="149"/>
      <c r="C1177" s="58"/>
      <c r="D1177" s="58"/>
      <c r="E1177" s="58"/>
      <c r="F1177" s="58"/>
      <c r="G1177" s="58"/>
      <c r="H1177" s="373"/>
      <c r="I1177" s="352"/>
      <c r="J1177" s="352"/>
      <c r="K1177" s="352"/>
      <c r="L1177" s="352"/>
      <c r="M1177" s="352"/>
      <c r="N1177" s="352"/>
      <c r="O1177" s="352"/>
      <c r="P1177" s="352"/>
      <c r="Q1177" s="352"/>
      <c r="R1177" s="352"/>
    </row>
    <row r="1178" ht="32.25" customHeight="1">
      <c r="A1178" s="58"/>
      <c r="B1178" s="149"/>
      <c r="C1178" s="58"/>
      <c r="D1178" s="58"/>
      <c r="E1178" s="58"/>
      <c r="F1178" s="58"/>
      <c r="G1178" s="58"/>
      <c r="H1178" s="373"/>
      <c r="I1178" s="352"/>
      <c r="J1178" s="352"/>
      <c r="K1178" s="352"/>
      <c r="L1178" s="352"/>
      <c r="M1178" s="352"/>
      <c r="N1178" s="352"/>
      <c r="O1178" s="352"/>
      <c r="P1178" s="352"/>
      <c r="Q1178" s="352"/>
      <c r="R1178" s="352"/>
    </row>
    <row r="1179" ht="32.25" customHeight="1">
      <c r="A1179" s="58"/>
      <c r="B1179" s="149"/>
      <c r="C1179" s="58"/>
      <c r="D1179" s="58"/>
      <c r="E1179" s="58"/>
      <c r="F1179" s="58"/>
      <c r="G1179" s="58"/>
      <c r="H1179" s="373"/>
      <c r="I1179" s="352"/>
      <c r="J1179" s="352"/>
      <c r="K1179" s="352"/>
      <c r="L1179" s="352"/>
      <c r="M1179" s="352"/>
      <c r="N1179" s="352"/>
      <c r="O1179" s="352"/>
      <c r="P1179" s="352"/>
      <c r="Q1179" s="352"/>
      <c r="R1179" s="352"/>
    </row>
    <row r="1180" ht="32.25" customHeight="1">
      <c r="A1180" s="58"/>
      <c r="B1180" s="149"/>
      <c r="C1180" s="58"/>
      <c r="D1180" s="58"/>
      <c r="E1180" s="58"/>
      <c r="F1180" s="58"/>
      <c r="G1180" s="58"/>
      <c r="H1180" s="373"/>
      <c r="I1180" s="352"/>
      <c r="J1180" s="352"/>
      <c r="K1180" s="352"/>
      <c r="L1180" s="352"/>
      <c r="M1180" s="352"/>
      <c r="N1180" s="352"/>
      <c r="O1180" s="352"/>
      <c r="P1180" s="352"/>
      <c r="Q1180" s="352"/>
      <c r="R1180" s="352"/>
    </row>
    <row r="1181" ht="32.25" customHeight="1">
      <c r="A1181" s="58"/>
      <c r="B1181" s="149"/>
      <c r="C1181" s="58"/>
      <c r="D1181" s="58"/>
      <c r="E1181" s="58"/>
      <c r="F1181" s="58"/>
      <c r="G1181" s="58"/>
      <c r="H1181" s="373"/>
      <c r="I1181" s="352"/>
      <c r="J1181" s="352"/>
      <c r="K1181" s="352"/>
      <c r="L1181" s="352"/>
      <c r="M1181" s="352"/>
      <c r="N1181" s="352"/>
      <c r="O1181" s="352"/>
      <c r="P1181" s="352"/>
      <c r="Q1181" s="352"/>
      <c r="R1181" s="352"/>
    </row>
    <row r="1182" ht="32.25" customHeight="1">
      <c r="A1182" s="58"/>
      <c r="B1182" s="149"/>
      <c r="C1182" s="58"/>
      <c r="D1182" s="58"/>
      <c r="E1182" s="58"/>
      <c r="F1182" s="58"/>
      <c r="G1182" s="58"/>
      <c r="H1182" s="373"/>
      <c r="I1182" s="352"/>
      <c r="J1182" s="352"/>
      <c r="K1182" s="352"/>
      <c r="L1182" s="352"/>
      <c r="M1182" s="352"/>
      <c r="N1182" s="352"/>
      <c r="O1182" s="352"/>
      <c r="P1182" s="352"/>
      <c r="Q1182" s="352"/>
      <c r="R1182" s="352"/>
    </row>
    <row r="1183" ht="32.25" customHeight="1">
      <c r="A1183" s="58"/>
      <c r="B1183" s="149"/>
      <c r="C1183" s="58"/>
      <c r="D1183" s="58"/>
      <c r="E1183" s="58"/>
      <c r="F1183" s="58"/>
      <c r="G1183" s="58"/>
      <c r="H1183" s="373"/>
      <c r="I1183" s="352"/>
      <c r="J1183" s="352"/>
      <c r="K1183" s="352"/>
      <c r="L1183" s="352"/>
      <c r="M1183" s="352"/>
      <c r="N1183" s="352"/>
      <c r="O1183" s="352"/>
      <c r="P1183" s="352"/>
      <c r="Q1183" s="352"/>
      <c r="R1183" s="352"/>
    </row>
    <row r="1184" ht="32.25" customHeight="1">
      <c r="A1184" s="58"/>
      <c r="B1184" s="149"/>
      <c r="C1184" s="58"/>
      <c r="D1184" s="58"/>
      <c r="E1184" s="58"/>
      <c r="F1184" s="58"/>
      <c r="G1184" s="58"/>
      <c r="H1184" s="373"/>
      <c r="I1184" s="352"/>
      <c r="J1184" s="352"/>
      <c r="K1184" s="352"/>
      <c r="L1184" s="352"/>
      <c r="M1184" s="352"/>
      <c r="N1184" s="352"/>
      <c r="O1184" s="352"/>
      <c r="P1184" s="352"/>
      <c r="Q1184" s="352"/>
      <c r="R1184" s="352"/>
    </row>
    <row r="1185" ht="32.25" customHeight="1">
      <c r="A1185" s="58"/>
      <c r="B1185" s="149"/>
      <c r="C1185" s="58"/>
      <c r="D1185" s="58"/>
      <c r="E1185" s="58"/>
      <c r="F1185" s="58"/>
      <c r="G1185" s="58"/>
      <c r="H1185" s="373"/>
      <c r="I1185" s="352"/>
      <c r="J1185" s="352"/>
      <c r="K1185" s="352"/>
      <c r="L1185" s="352"/>
      <c r="M1185" s="352"/>
      <c r="N1185" s="352"/>
      <c r="O1185" s="352"/>
      <c r="P1185" s="352"/>
      <c r="Q1185" s="352"/>
      <c r="R1185" s="352"/>
    </row>
    <row r="1186" ht="32.25" customHeight="1">
      <c r="A1186" s="58"/>
      <c r="B1186" s="149"/>
      <c r="C1186" s="58"/>
      <c r="D1186" s="58"/>
      <c r="E1186" s="58"/>
      <c r="F1186" s="58"/>
      <c r="G1186" s="58"/>
      <c r="H1186" s="373"/>
      <c r="I1186" s="352"/>
      <c r="J1186" s="352"/>
      <c r="K1186" s="352"/>
      <c r="L1186" s="352"/>
      <c r="M1186" s="352"/>
      <c r="N1186" s="352"/>
      <c r="O1186" s="352"/>
      <c r="P1186" s="352"/>
      <c r="Q1186" s="352"/>
      <c r="R1186" s="352"/>
    </row>
    <row r="1187" ht="32.25" customHeight="1">
      <c r="A1187" s="58"/>
      <c r="B1187" s="149"/>
      <c r="C1187" s="58"/>
      <c r="D1187" s="58"/>
      <c r="E1187" s="58"/>
      <c r="F1187" s="58"/>
      <c r="G1187" s="58"/>
      <c r="H1187" s="373"/>
      <c r="I1187" s="352"/>
      <c r="J1187" s="352"/>
      <c r="K1187" s="352"/>
      <c r="L1187" s="352"/>
      <c r="M1187" s="352"/>
      <c r="N1187" s="352"/>
      <c r="O1187" s="352"/>
      <c r="P1187" s="352"/>
      <c r="Q1187" s="352"/>
      <c r="R1187" s="352"/>
    </row>
    <row r="1188" ht="32.25" customHeight="1">
      <c r="A1188" s="58"/>
      <c r="B1188" s="149"/>
      <c r="C1188" s="58"/>
      <c r="D1188" s="58"/>
      <c r="E1188" s="58"/>
      <c r="F1188" s="58"/>
      <c r="G1188" s="58"/>
      <c r="H1188" s="373"/>
      <c r="I1188" s="352"/>
      <c r="J1188" s="352"/>
      <c r="K1188" s="352"/>
      <c r="L1188" s="352"/>
      <c r="M1188" s="352"/>
      <c r="N1188" s="352"/>
      <c r="O1188" s="352"/>
      <c r="P1188" s="352"/>
      <c r="Q1188" s="352"/>
      <c r="R1188" s="352"/>
    </row>
    <row r="1189" ht="32.25" customHeight="1">
      <c r="A1189" s="58"/>
      <c r="B1189" s="149"/>
      <c r="C1189" s="58"/>
      <c r="D1189" s="58"/>
      <c r="E1189" s="58"/>
      <c r="F1189" s="58"/>
      <c r="G1189" s="58"/>
      <c r="H1189" s="373"/>
      <c r="I1189" s="352"/>
      <c r="J1189" s="352"/>
      <c r="K1189" s="352"/>
      <c r="L1189" s="352"/>
      <c r="M1189" s="352"/>
      <c r="N1189" s="352"/>
      <c r="O1189" s="352"/>
      <c r="P1189" s="352"/>
      <c r="Q1189" s="352"/>
      <c r="R1189" s="352"/>
    </row>
    <row r="1190" ht="32.25" customHeight="1">
      <c r="A1190" s="58"/>
      <c r="B1190" s="149"/>
      <c r="C1190" s="58"/>
      <c r="D1190" s="58"/>
      <c r="E1190" s="58"/>
      <c r="F1190" s="58"/>
      <c r="G1190" s="58"/>
      <c r="H1190" s="373"/>
      <c r="I1190" s="352"/>
      <c r="J1190" s="352"/>
      <c r="K1190" s="352"/>
      <c r="L1190" s="352"/>
      <c r="M1190" s="352"/>
      <c r="N1190" s="352"/>
      <c r="O1190" s="352"/>
      <c r="P1190" s="352"/>
      <c r="Q1190" s="352"/>
      <c r="R1190" s="352"/>
    </row>
    <row r="1191" ht="32.25" customHeight="1">
      <c r="A1191" s="58"/>
      <c r="B1191" s="149"/>
      <c r="C1191" s="58"/>
      <c r="D1191" s="58"/>
      <c r="E1191" s="58"/>
      <c r="F1191" s="58"/>
      <c r="G1191" s="58"/>
      <c r="H1191" s="373"/>
      <c r="I1191" s="352"/>
      <c r="J1191" s="352"/>
      <c r="K1191" s="352"/>
      <c r="L1191" s="352"/>
      <c r="M1191" s="352"/>
      <c r="N1191" s="352"/>
      <c r="O1191" s="352"/>
      <c r="P1191" s="352"/>
      <c r="Q1191" s="352"/>
      <c r="R1191" s="352"/>
    </row>
    <row r="1192" ht="32.25" customHeight="1">
      <c r="A1192" s="58"/>
      <c r="B1192" s="149"/>
      <c r="C1192" s="58"/>
      <c r="D1192" s="58"/>
      <c r="E1192" s="58"/>
      <c r="F1192" s="58"/>
      <c r="G1192" s="58"/>
      <c r="H1192" s="373"/>
      <c r="I1192" s="352"/>
      <c r="J1192" s="352"/>
      <c r="K1192" s="352"/>
      <c r="L1192" s="352"/>
      <c r="M1192" s="352"/>
      <c r="N1192" s="352"/>
      <c r="O1192" s="352"/>
      <c r="P1192" s="352"/>
      <c r="Q1192" s="352"/>
      <c r="R1192" s="352"/>
    </row>
    <row r="1193" ht="32.25" customHeight="1">
      <c r="A1193" s="58"/>
      <c r="B1193" s="149"/>
      <c r="C1193" s="58"/>
      <c r="D1193" s="58"/>
      <c r="E1193" s="58"/>
      <c r="F1193" s="58"/>
      <c r="G1193" s="58"/>
      <c r="H1193" s="373"/>
      <c r="I1193" s="352"/>
      <c r="J1193" s="352"/>
      <c r="K1193" s="352"/>
      <c r="L1193" s="352"/>
      <c r="M1193" s="352"/>
      <c r="N1193" s="352"/>
      <c r="O1193" s="352"/>
      <c r="P1193" s="352"/>
      <c r="Q1193" s="352"/>
      <c r="R1193" s="352"/>
    </row>
    <row r="1194" ht="32.25" customHeight="1">
      <c r="A1194" s="58"/>
      <c r="B1194" s="149"/>
      <c r="C1194" s="58"/>
      <c r="D1194" s="58"/>
      <c r="E1194" s="58"/>
      <c r="F1194" s="58"/>
      <c r="G1194" s="58"/>
      <c r="H1194" s="373"/>
      <c r="I1194" s="352"/>
      <c r="J1194" s="352"/>
      <c r="K1194" s="352"/>
      <c r="L1194" s="352"/>
      <c r="M1194" s="352"/>
      <c r="N1194" s="352"/>
      <c r="O1194" s="352"/>
      <c r="P1194" s="352"/>
      <c r="Q1194" s="352"/>
      <c r="R1194" s="352"/>
    </row>
    <row r="1195" ht="32.25" customHeight="1">
      <c r="A1195" s="58"/>
      <c r="B1195" s="149"/>
      <c r="C1195" s="58"/>
      <c r="D1195" s="58"/>
      <c r="E1195" s="58"/>
      <c r="F1195" s="58"/>
      <c r="G1195" s="58"/>
      <c r="H1195" s="373"/>
      <c r="I1195" s="352"/>
      <c r="J1195" s="352"/>
      <c r="K1195" s="352"/>
      <c r="L1195" s="352"/>
      <c r="M1195" s="352"/>
      <c r="N1195" s="352"/>
      <c r="O1195" s="352"/>
      <c r="P1195" s="352"/>
      <c r="Q1195" s="352"/>
      <c r="R1195" s="352"/>
    </row>
    <row r="1196" ht="32.25" customHeight="1">
      <c r="A1196" s="58"/>
      <c r="B1196" s="149"/>
      <c r="C1196" s="58"/>
      <c r="D1196" s="58"/>
      <c r="E1196" s="58"/>
      <c r="F1196" s="58"/>
      <c r="G1196" s="58"/>
      <c r="H1196" s="373"/>
      <c r="I1196" s="352"/>
      <c r="J1196" s="352"/>
      <c r="K1196" s="352"/>
      <c r="L1196" s="352"/>
      <c r="M1196" s="352"/>
      <c r="N1196" s="352"/>
      <c r="O1196" s="352"/>
      <c r="P1196" s="352"/>
      <c r="Q1196" s="352"/>
      <c r="R1196" s="352"/>
    </row>
    <row r="1197" ht="32.25" customHeight="1">
      <c r="A1197" s="58"/>
      <c r="B1197" s="149"/>
      <c r="C1197" s="58"/>
      <c r="D1197" s="58"/>
      <c r="E1197" s="58"/>
      <c r="F1197" s="58"/>
      <c r="G1197" s="58"/>
      <c r="H1197" s="373"/>
      <c r="I1197" s="352"/>
      <c r="J1197" s="352"/>
      <c r="K1197" s="352"/>
      <c r="L1197" s="352"/>
      <c r="M1197" s="352"/>
      <c r="N1197" s="352"/>
      <c r="O1197" s="352"/>
      <c r="P1197" s="352"/>
      <c r="Q1197" s="352"/>
      <c r="R1197" s="352"/>
    </row>
    <row r="1198" ht="32.25" customHeight="1">
      <c r="A1198" s="58"/>
      <c r="B1198" s="149"/>
      <c r="C1198" s="58"/>
      <c r="D1198" s="58"/>
      <c r="E1198" s="58"/>
      <c r="F1198" s="58"/>
      <c r="G1198" s="58"/>
      <c r="H1198" s="373"/>
      <c r="I1198" s="352"/>
      <c r="J1198" s="352"/>
      <c r="K1198" s="352"/>
      <c r="L1198" s="352"/>
      <c r="M1198" s="352"/>
      <c r="N1198" s="352"/>
      <c r="O1198" s="352"/>
      <c r="P1198" s="352"/>
      <c r="Q1198" s="352"/>
      <c r="R1198" s="352"/>
    </row>
    <row r="1199" ht="32.25" customHeight="1">
      <c r="A1199" s="58"/>
      <c r="B1199" s="149"/>
      <c r="C1199" s="58"/>
      <c r="D1199" s="58"/>
      <c r="E1199" s="58"/>
      <c r="F1199" s="58"/>
      <c r="G1199" s="58"/>
      <c r="H1199" s="373"/>
      <c r="I1199" s="352"/>
      <c r="J1199" s="352"/>
      <c r="K1199" s="352"/>
      <c r="L1199" s="352"/>
      <c r="M1199" s="352"/>
      <c r="N1199" s="352"/>
      <c r="O1199" s="352"/>
      <c r="P1199" s="352"/>
      <c r="Q1199" s="352"/>
      <c r="R1199" s="352"/>
    </row>
    <row r="1200" ht="32.25" customHeight="1">
      <c r="A1200" s="58"/>
      <c r="B1200" s="149"/>
      <c r="C1200" s="58"/>
      <c r="D1200" s="58"/>
      <c r="E1200" s="58"/>
      <c r="F1200" s="58"/>
      <c r="G1200" s="58"/>
      <c r="H1200" s="373"/>
      <c r="I1200" s="352"/>
      <c r="J1200" s="352"/>
      <c r="K1200" s="352"/>
      <c r="L1200" s="352"/>
      <c r="M1200" s="352"/>
      <c r="N1200" s="352"/>
      <c r="O1200" s="352"/>
      <c r="P1200" s="352"/>
      <c r="Q1200" s="352"/>
      <c r="R1200" s="352"/>
    </row>
    <row r="1201" ht="32.25" customHeight="1">
      <c r="A1201" s="58"/>
      <c r="B1201" s="149"/>
      <c r="C1201" s="58"/>
      <c r="D1201" s="58"/>
      <c r="E1201" s="58"/>
      <c r="F1201" s="58"/>
      <c r="G1201" s="58"/>
      <c r="H1201" s="373"/>
      <c r="I1201" s="352"/>
      <c r="J1201" s="352"/>
      <c r="K1201" s="352"/>
      <c r="L1201" s="352"/>
      <c r="M1201" s="352"/>
      <c r="N1201" s="352"/>
      <c r="O1201" s="352"/>
      <c r="P1201" s="352"/>
      <c r="Q1201" s="352"/>
      <c r="R1201" s="352"/>
    </row>
    <row r="1202" ht="32.25" customHeight="1">
      <c r="A1202" s="58"/>
      <c r="B1202" s="149"/>
      <c r="C1202" s="58"/>
      <c r="D1202" s="58"/>
      <c r="E1202" s="58"/>
      <c r="F1202" s="58"/>
      <c r="G1202" s="58"/>
      <c r="H1202" s="373"/>
      <c r="I1202" s="352"/>
      <c r="J1202" s="352"/>
      <c r="K1202" s="352"/>
      <c r="L1202" s="352"/>
      <c r="M1202" s="352"/>
      <c r="N1202" s="352"/>
      <c r="O1202" s="352"/>
      <c r="P1202" s="352"/>
      <c r="Q1202" s="352"/>
      <c r="R1202" s="352"/>
    </row>
    <row r="1203" ht="32.25" customHeight="1">
      <c r="A1203" s="58"/>
      <c r="B1203" s="149"/>
      <c r="C1203" s="58"/>
      <c r="D1203" s="58"/>
      <c r="E1203" s="58"/>
      <c r="F1203" s="58"/>
      <c r="G1203" s="58"/>
      <c r="H1203" s="373"/>
      <c r="I1203" s="352"/>
      <c r="J1203" s="352"/>
      <c r="K1203" s="352"/>
      <c r="L1203" s="352"/>
      <c r="M1203" s="352"/>
      <c r="N1203" s="352"/>
      <c r="O1203" s="352"/>
      <c r="P1203" s="352"/>
      <c r="Q1203" s="352"/>
      <c r="R1203" s="352"/>
    </row>
    <row r="1204" ht="32.25" customHeight="1">
      <c r="A1204" s="58"/>
      <c r="B1204" s="149"/>
      <c r="C1204" s="58"/>
      <c r="D1204" s="58"/>
      <c r="E1204" s="58"/>
      <c r="F1204" s="58"/>
      <c r="G1204" s="58"/>
      <c r="H1204" s="373"/>
      <c r="I1204" s="352"/>
      <c r="J1204" s="352"/>
      <c r="K1204" s="352"/>
      <c r="L1204" s="352"/>
      <c r="M1204" s="352"/>
      <c r="N1204" s="352"/>
      <c r="O1204" s="352"/>
      <c r="P1204" s="352"/>
      <c r="Q1204" s="352"/>
      <c r="R1204" s="352"/>
    </row>
    <row r="1205" ht="32.25" customHeight="1">
      <c r="A1205" s="58"/>
      <c r="B1205" s="149"/>
      <c r="C1205" s="58"/>
      <c r="D1205" s="58"/>
      <c r="E1205" s="58"/>
      <c r="F1205" s="58"/>
      <c r="G1205" s="58"/>
      <c r="H1205" s="373"/>
      <c r="I1205" s="352"/>
      <c r="J1205" s="352"/>
      <c r="K1205" s="352"/>
      <c r="L1205" s="352"/>
      <c r="M1205" s="352"/>
      <c r="N1205" s="352"/>
      <c r="O1205" s="352"/>
      <c r="P1205" s="352"/>
      <c r="Q1205" s="352"/>
      <c r="R1205" s="352"/>
    </row>
    <row r="1206" ht="32.25" customHeight="1">
      <c r="A1206" s="58"/>
      <c r="B1206" s="149"/>
      <c r="C1206" s="58"/>
      <c r="D1206" s="58"/>
      <c r="E1206" s="58"/>
      <c r="F1206" s="58"/>
      <c r="G1206" s="58"/>
      <c r="H1206" s="373"/>
      <c r="I1206" s="352"/>
      <c r="J1206" s="352"/>
      <c r="K1206" s="352"/>
      <c r="L1206" s="352"/>
      <c r="M1206" s="352"/>
      <c r="N1206" s="352"/>
      <c r="O1206" s="352"/>
      <c r="P1206" s="352"/>
      <c r="Q1206" s="352"/>
      <c r="R1206" s="352"/>
    </row>
    <row r="1207" ht="32.25" customHeight="1">
      <c r="A1207" s="58"/>
      <c r="B1207" s="149"/>
      <c r="C1207" s="58"/>
      <c r="D1207" s="58"/>
      <c r="E1207" s="58"/>
      <c r="F1207" s="58"/>
      <c r="G1207" s="58"/>
      <c r="H1207" s="373"/>
      <c r="I1207" s="352"/>
      <c r="J1207" s="352"/>
      <c r="K1207" s="352"/>
      <c r="L1207" s="352"/>
      <c r="M1207" s="352"/>
      <c r="N1207" s="352"/>
      <c r="O1207" s="352"/>
      <c r="P1207" s="352"/>
      <c r="Q1207" s="352"/>
      <c r="R1207" s="352"/>
    </row>
    <row r="1208" ht="32.25" customHeight="1">
      <c r="A1208" s="58"/>
      <c r="B1208" s="149"/>
      <c r="C1208" s="58"/>
      <c r="D1208" s="58"/>
      <c r="E1208" s="58"/>
      <c r="F1208" s="58"/>
      <c r="G1208" s="58"/>
      <c r="H1208" s="373"/>
      <c r="I1208" s="352"/>
      <c r="J1208" s="352"/>
      <c r="K1208" s="352"/>
      <c r="L1208" s="352"/>
      <c r="M1208" s="352"/>
      <c r="N1208" s="352"/>
      <c r="O1208" s="352"/>
      <c r="P1208" s="352"/>
      <c r="Q1208" s="352"/>
      <c r="R1208" s="352"/>
    </row>
    <row r="1209" ht="32.25" customHeight="1">
      <c r="A1209" s="58"/>
      <c r="B1209" s="149"/>
      <c r="C1209" s="58"/>
      <c r="D1209" s="58"/>
      <c r="E1209" s="58"/>
      <c r="F1209" s="58"/>
      <c r="G1209" s="58"/>
      <c r="H1209" s="373"/>
      <c r="I1209" s="352"/>
      <c r="J1209" s="352"/>
      <c r="K1209" s="352"/>
      <c r="L1209" s="352"/>
      <c r="M1209" s="352"/>
      <c r="N1209" s="352"/>
      <c r="O1209" s="352"/>
      <c r="P1209" s="352"/>
      <c r="Q1209" s="352"/>
      <c r="R1209" s="352"/>
    </row>
    <row r="1210" ht="32.25" customHeight="1">
      <c r="A1210" s="58"/>
      <c r="B1210" s="149"/>
      <c r="C1210" s="58"/>
      <c r="D1210" s="58"/>
      <c r="E1210" s="58"/>
      <c r="F1210" s="58"/>
      <c r="G1210" s="58"/>
      <c r="H1210" s="373"/>
      <c r="I1210" s="352"/>
      <c r="J1210" s="352"/>
      <c r="K1210" s="352"/>
      <c r="L1210" s="352"/>
      <c r="M1210" s="352"/>
      <c r="N1210" s="352"/>
      <c r="O1210" s="352"/>
      <c r="P1210" s="352"/>
      <c r="Q1210" s="352"/>
      <c r="R1210" s="352"/>
    </row>
    <row r="1211" ht="32.25" customHeight="1">
      <c r="A1211" s="58"/>
      <c r="B1211" s="149"/>
      <c r="C1211" s="58"/>
      <c r="D1211" s="58"/>
      <c r="E1211" s="58"/>
      <c r="F1211" s="58"/>
      <c r="G1211" s="58"/>
      <c r="H1211" s="373"/>
      <c r="I1211" s="352"/>
      <c r="J1211" s="352"/>
      <c r="K1211" s="352"/>
      <c r="L1211" s="352"/>
      <c r="M1211" s="352"/>
      <c r="N1211" s="352"/>
      <c r="O1211" s="352"/>
      <c r="P1211" s="352"/>
      <c r="Q1211" s="352"/>
      <c r="R1211" s="352"/>
    </row>
    <row r="1212" ht="32.25" customHeight="1">
      <c r="A1212" s="58"/>
      <c r="B1212" s="149"/>
      <c r="C1212" s="58"/>
      <c r="D1212" s="58"/>
      <c r="E1212" s="58"/>
      <c r="F1212" s="58"/>
      <c r="G1212" s="58"/>
      <c r="H1212" s="373"/>
      <c r="I1212" s="352"/>
      <c r="J1212" s="352"/>
      <c r="K1212" s="352"/>
      <c r="L1212" s="352"/>
      <c r="M1212" s="352"/>
      <c r="N1212" s="352"/>
      <c r="O1212" s="352"/>
      <c r="P1212" s="352"/>
      <c r="Q1212" s="352"/>
      <c r="R1212" s="352"/>
    </row>
    <row r="1213" ht="32.25" customHeight="1">
      <c r="A1213" s="58"/>
      <c r="B1213" s="149"/>
      <c r="C1213" s="58"/>
      <c r="D1213" s="58"/>
      <c r="E1213" s="58"/>
      <c r="F1213" s="58"/>
      <c r="G1213" s="58"/>
      <c r="H1213" s="373"/>
      <c r="I1213" s="352"/>
      <c r="J1213" s="352"/>
      <c r="K1213" s="352"/>
      <c r="L1213" s="352"/>
      <c r="M1213" s="352"/>
      <c r="N1213" s="352"/>
      <c r="O1213" s="352"/>
      <c r="P1213" s="352"/>
      <c r="Q1213" s="352"/>
      <c r="R1213" s="352"/>
    </row>
    <row r="1214" ht="32.25" customHeight="1">
      <c r="A1214" s="58"/>
      <c r="B1214" s="149"/>
      <c r="C1214" s="58"/>
      <c r="D1214" s="58"/>
      <c r="E1214" s="58"/>
      <c r="F1214" s="58"/>
      <c r="G1214" s="58"/>
      <c r="H1214" s="373"/>
      <c r="I1214" s="352"/>
      <c r="J1214" s="352"/>
      <c r="K1214" s="352"/>
      <c r="L1214" s="352"/>
      <c r="M1214" s="352"/>
      <c r="N1214" s="352"/>
      <c r="O1214" s="352"/>
      <c r="P1214" s="352"/>
      <c r="Q1214" s="352"/>
      <c r="R1214" s="352"/>
    </row>
    <row r="1215" ht="32.25" customHeight="1">
      <c r="A1215" s="58"/>
      <c r="B1215" s="149"/>
      <c r="C1215" s="58"/>
      <c r="D1215" s="58"/>
      <c r="E1215" s="58"/>
      <c r="F1215" s="58"/>
      <c r="G1215" s="58"/>
      <c r="H1215" s="373"/>
      <c r="I1215" s="352"/>
      <c r="J1215" s="352"/>
      <c r="K1215" s="352"/>
      <c r="L1215" s="352"/>
      <c r="M1215" s="352"/>
      <c r="N1215" s="352"/>
      <c r="O1215" s="352"/>
      <c r="P1215" s="352"/>
      <c r="Q1215" s="352"/>
      <c r="R1215" s="352"/>
    </row>
    <row r="1216" ht="32.25" customHeight="1">
      <c r="A1216" s="58"/>
      <c r="B1216" s="149"/>
      <c r="C1216" s="58"/>
      <c r="D1216" s="58"/>
      <c r="E1216" s="58"/>
      <c r="F1216" s="58"/>
      <c r="G1216" s="58"/>
      <c r="H1216" s="373"/>
      <c r="I1216" s="352"/>
      <c r="J1216" s="352"/>
      <c r="K1216" s="352"/>
      <c r="L1216" s="352"/>
      <c r="M1216" s="352"/>
      <c r="N1216" s="352"/>
      <c r="O1216" s="352"/>
      <c r="P1216" s="352"/>
      <c r="Q1216" s="352"/>
      <c r="R1216" s="352"/>
    </row>
    <row r="1217" ht="32.25" customHeight="1">
      <c r="A1217" s="58"/>
      <c r="B1217" s="149"/>
      <c r="C1217" s="58"/>
      <c r="D1217" s="58"/>
      <c r="E1217" s="58"/>
      <c r="F1217" s="58"/>
      <c r="G1217" s="58"/>
      <c r="H1217" s="373"/>
      <c r="I1217" s="352"/>
      <c r="J1217" s="352"/>
      <c r="K1217" s="352"/>
      <c r="L1217" s="352"/>
      <c r="M1217" s="352"/>
      <c r="N1217" s="352"/>
      <c r="O1217" s="352"/>
      <c r="P1217" s="352"/>
      <c r="Q1217" s="352"/>
      <c r="R1217" s="352"/>
    </row>
    <row r="1218" ht="32.25" customHeight="1">
      <c r="A1218" s="58"/>
      <c r="B1218" s="149"/>
      <c r="C1218" s="58"/>
      <c r="D1218" s="58"/>
      <c r="E1218" s="58"/>
      <c r="F1218" s="58"/>
      <c r="G1218" s="58"/>
      <c r="H1218" s="373"/>
      <c r="I1218" s="352"/>
      <c r="J1218" s="352"/>
      <c r="K1218" s="352"/>
      <c r="L1218" s="352"/>
      <c r="M1218" s="352"/>
      <c r="N1218" s="352"/>
      <c r="O1218" s="352"/>
      <c r="P1218" s="352"/>
      <c r="Q1218" s="352"/>
      <c r="R1218" s="352"/>
    </row>
    <row r="1219" ht="32.25" customHeight="1">
      <c r="A1219" s="58"/>
      <c r="B1219" s="149"/>
      <c r="C1219" s="58"/>
      <c r="D1219" s="58"/>
      <c r="E1219" s="58"/>
      <c r="F1219" s="58"/>
      <c r="G1219" s="58"/>
      <c r="H1219" s="373"/>
      <c r="I1219" s="352"/>
      <c r="J1219" s="352"/>
      <c r="K1219" s="352"/>
      <c r="L1219" s="352"/>
      <c r="M1219" s="352"/>
      <c r="N1219" s="352"/>
      <c r="O1219" s="352"/>
      <c r="P1219" s="352"/>
      <c r="Q1219" s="352"/>
      <c r="R1219" s="352"/>
    </row>
    <row r="1220" ht="32.25" customHeight="1">
      <c r="A1220" s="58"/>
      <c r="B1220" s="149"/>
      <c r="C1220" s="58"/>
      <c r="D1220" s="58"/>
      <c r="E1220" s="58"/>
      <c r="F1220" s="58"/>
      <c r="G1220" s="58"/>
      <c r="H1220" s="373"/>
      <c r="I1220" s="352"/>
      <c r="J1220" s="352"/>
      <c r="K1220" s="352"/>
      <c r="L1220" s="352"/>
      <c r="M1220" s="352"/>
      <c r="N1220" s="352"/>
      <c r="O1220" s="352"/>
      <c r="P1220" s="352"/>
      <c r="Q1220" s="352"/>
      <c r="R1220" s="352"/>
    </row>
    <row r="1221" ht="32.25" customHeight="1">
      <c r="A1221" s="58"/>
      <c r="B1221" s="149"/>
      <c r="C1221" s="58"/>
      <c r="D1221" s="58"/>
      <c r="E1221" s="58"/>
      <c r="F1221" s="58"/>
      <c r="G1221" s="58"/>
      <c r="H1221" s="373"/>
      <c r="I1221" s="352"/>
      <c r="J1221" s="352"/>
      <c r="K1221" s="352"/>
      <c r="L1221" s="352"/>
      <c r="M1221" s="352"/>
      <c r="N1221" s="352"/>
      <c r="O1221" s="352"/>
      <c r="P1221" s="352"/>
      <c r="Q1221" s="352"/>
      <c r="R1221" s="352"/>
    </row>
    <row r="1222" ht="32.25" customHeight="1">
      <c r="A1222" s="58"/>
      <c r="B1222" s="149"/>
      <c r="C1222" s="58"/>
      <c r="D1222" s="58"/>
      <c r="E1222" s="58"/>
      <c r="F1222" s="58"/>
      <c r="G1222" s="58"/>
      <c r="H1222" s="373"/>
      <c r="I1222" s="352"/>
      <c r="J1222" s="352"/>
      <c r="K1222" s="352"/>
      <c r="L1222" s="352"/>
      <c r="M1222" s="352"/>
      <c r="N1222" s="352"/>
      <c r="O1222" s="352"/>
      <c r="P1222" s="352"/>
      <c r="Q1222" s="352"/>
      <c r="R1222" s="352"/>
    </row>
    <row r="1223" ht="32.25" customHeight="1">
      <c r="A1223" s="58"/>
      <c r="B1223" s="149"/>
      <c r="C1223" s="58"/>
      <c r="D1223" s="58"/>
      <c r="E1223" s="58"/>
      <c r="F1223" s="58"/>
      <c r="G1223" s="58"/>
      <c r="H1223" s="373"/>
      <c r="I1223" s="352"/>
      <c r="J1223" s="352"/>
      <c r="K1223" s="352"/>
      <c r="L1223" s="352"/>
      <c r="M1223" s="352"/>
      <c r="N1223" s="352"/>
      <c r="O1223" s="352"/>
      <c r="P1223" s="352"/>
      <c r="Q1223" s="352"/>
      <c r="R1223" s="352"/>
    </row>
    <row r="1224" ht="32.25" customHeight="1">
      <c r="A1224" s="58"/>
      <c r="B1224" s="149"/>
      <c r="C1224" s="58"/>
      <c r="D1224" s="58"/>
      <c r="E1224" s="58"/>
      <c r="F1224" s="58"/>
      <c r="G1224" s="58"/>
      <c r="H1224" s="373"/>
      <c r="I1224" s="352"/>
      <c r="J1224" s="352"/>
      <c r="K1224" s="352"/>
      <c r="L1224" s="352"/>
      <c r="M1224" s="352"/>
      <c r="N1224" s="352"/>
      <c r="O1224" s="352"/>
      <c r="P1224" s="352"/>
      <c r="Q1224" s="352"/>
      <c r="R1224" s="352"/>
    </row>
    <row r="1225" ht="32.25" customHeight="1">
      <c r="A1225" s="58"/>
      <c r="B1225" s="149"/>
      <c r="C1225" s="58"/>
      <c r="D1225" s="58"/>
      <c r="E1225" s="58"/>
      <c r="F1225" s="58"/>
      <c r="G1225" s="58"/>
      <c r="H1225" s="373"/>
      <c r="I1225" s="352"/>
      <c r="J1225" s="352"/>
      <c r="K1225" s="352"/>
      <c r="L1225" s="352"/>
      <c r="M1225" s="352"/>
      <c r="N1225" s="352"/>
      <c r="O1225" s="352"/>
      <c r="P1225" s="352"/>
      <c r="Q1225" s="352"/>
      <c r="R1225" s="352"/>
    </row>
    <row r="1226" ht="32.25" customHeight="1">
      <c r="A1226" s="58"/>
      <c r="B1226" s="149"/>
      <c r="C1226" s="58"/>
      <c r="D1226" s="58"/>
      <c r="E1226" s="58"/>
      <c r="F1226" s="58"/>
      <c r="G1226" s="58"/>
      <c r="H1226" s="373"/>
      <c r="I1226" s="352"/>
      <c r="J1226" s="352"/>
      <c r="K1226" s="352"/>
      <c r="L1226" s="352"/>
      <c r="M1226" s="352"/>
      <c r="N1226" s="352"/>
      <c r="O1226" s="352"/>
      <c r="P1226" s="352"/>
      <c r="Q1226" s="352"/>
      <c r="R1226" s="352"/>
    </row>
    <row r="1227" ht="32.25" customHeight="1">
      <c r="A1227" s="58"/>
      <c r="B1227" s="149"/>
      <c r="C1227" s="58"/>
      <c r="D1227" s="58"/>
      <c r="E1227" s="58"/>
      <c r="F1227" s="58"/>
      <c r="G1227" s="58"/>
      <c r="H1227" s="373"/>
      <c r="I1227" s="352"/>
      <c r="J1227" s="352"/>
      <c r="K1227" s="352"/>
      <c r="L1227" s="352"/>
      <c r="M1227" s="352"/>
      <c r="N1227" s="352"/>
      <c r="O1227" s="352"/>
      <c r="P1227" s="352"/>
      <c r="Q1227" s="352"/>
      <c r="R1227" s="352"/>
    </row>
    <row r="1228" ht="32.25" customHeight="1">
      <c r="A1228" s="58"/>
      <c r="B1228" s="149"/>
      <c r="C1228" s="58"/>
      <c r="D1228" s="58"/>
      <c r="E1228" s="58"/>
      <c r="F1228" s="58"/>
      <c r="G1228" s="58"/>
      <c r="H1228" s="373"/>
      <c r="I1228" s="352"/>
      <c r="J1228" s="352"/>
      <c r="K1228" s="352"/>
      <c r="L1228" s="352"/>
      <c r="M1228" s="352"/>
      <c r="N1228" s="352"/>
      <c r="O1228" s="352"/>
      <c r="P1228" s="352"/>
      <c r="Q1228" s="352"/>
      <c r="R1228" s="352"/>
    </row>
    <row r="1229" ht="32.25" customHeight="1">
      <c r="A1229" s="58"/>
      <c r="B1229" s="149"/>
      <c r="C1229" s="58"/>
      <c r="D1229" s="58"/>
      <c r="E1229" s="58"/>
      <c r="F1229" s="58"/>
      <c r="G1229" s="58"/>
      <c r="H1229" s="373"/>
      <c r="I1229" s="352"/>
      <c r="J1229" s="352"/>
      <c r="K1229" s="352"/>
      <c r="L1229" s="352"/>
      <c r="M1229" s="352"/>
      <c r="N1229" s="352"/>
      <c r="O1229" s="352"/>
      <c r="P1229" s="352"/>
      <c r="Q1229" s="352"/>
      <c r="R1229" s="352"/>
    </row>
    <row r="1230" ht="32.25" customHeight="1">
      <c r="A1230" s="58"/>
      <c r="B1230" s="149"/>
      <c r="C1230" s="58"/>
      <c r="D1230" s="58"/>
      <c r="E1230" s="58"/>
      <c r="F1230" s="58"/>
      <c r="G1230" s="58"/>
      <c r="H1230" s="373"/>
      <c r="I1230" s="352"/>
      <c r="J1230" s="352"/>
      <c r="K1230" s="352"/>
      <c r="L1230" s="352"/>
      <c r="M1230" s="352"/>
      <c r="N1230" s="352"/>
      <c r="O1230" s="352"/>
      <c r="P1230" s="352"/>
      <c r="Q1230" s="352"/>
      <c r="R1230" s="352"/>
    </row>
    <row r="1231" ht="32.25" customHeight="1">
      <c r="A1231" s="58"/>
      <c r="B1231" s="149"/>
      <c r="C1231" s="58"/>
      <c r="D1231" s="58"/>
      <c r="E1231" s="58"/>
      <c r="F1231" s="58"/>
      <c r="G1231" s="58"/>
      <c r="H1231" s="373"/>
      <c r="I1231" s="352"/>
      <c r="J1231" s="352"/>
      <c r="K1231" s="352"/>
      <c r="L1231" s="352"/>
      <c r="M1231" s="352"/>
      <c r="N1231" s="352"/>
      <c r="O1231" s="352"/>
      <c r="P1231" s="352"/>
      <c r="Q1231" s="352"/>
      <c r="R1231" s="352"/>
    </row>
    <row r="1232" ht="32.25" customHeight="1">
      <c r="A1232" s="58"/>
      <c r="B1232" s="149"/>
      <c r="C1232" s="58"/>
      <c r="D1232" s="58"/>
      <c r="E1232" s="58"/>
      <c r="F1232" s="58"/>
      <c r="G1232" s="58"/>
      <c r="H1232" s="373"/>
      <c r="I1232" s="352"/>
      <c r="J1232" s="352"/>
      <c r="K1232" s="352"/>
      <c r="L1232" s="352"/>
      <c r="M1232" s="352"/>
      <c r="N1232" s="352"/>
      <c r="O1232" s="352"/>
      <c r="P1232" s="352"/>
      <c r="Q1232" s="352"/>
      <c r="R1232" s="352"/>
    </row>
    <row r="1233" ht="32.25" customHeight="1">
      <c r="A1233" s="58"/>
      <c r="B1233" s="149"/>
      <c r="C1233" s="58"/>
      <c r="D1233" s="58"/>
      <c r="E1233" s="58"/>
      <c r="F1233" s="58"/>
      <c r="G1233" s="58"/>
      <c r="H1233" s="373"/>
      <c r="I1233" s="352"/>
      <c r="J1233" s="352"/>
      <c r="K1233" s="352"/>
      <c r="L1233" s="352"/>
      <c r="M1233" s="352"/>
      <c r="N1233" s="352"/>
      <c r="O1233" s="352"/>
      <c r="P1233" s="352"/>
      <c r="Q1233" s="352"/>
      <c r="R1233" s="352"/>
    </row>
    <row r="1234" ht="32.25" customHeight="1">
      <c r="A1234" s="58"/>
      <c r="B1234" s="149"/>
      <c r="C1234" s="58"/>
      <c r="D1234" s="58"/>
      <c r="E1234" s="58"/>
      <c r="F1234" s="58"/>
      <c r="G1234" s="58"/>
      <c r="H1234" s="373"/>
      <c r="I1234" s="352"/>
      <c r="J1234" s="352"/>
      <c r="K1234" s="352"/>
      <c r="L1234" s="352"/>
      <c r="M1234" s="352"/>
      <c r="N1234" s="352"/>
      <c r="O1234" s="352"/>
      <c r="P1234" s="352"/>
      <c r="Q1234" s="352"/>
      <c r="R1234" s="352"/>
    </row>
    <row r="1235" ht="32.25" customHeight="1">
      <c r="A1235" s="58"/>
      <c r="B1235" s="149"/>
      <c r="C1235" s="58"/>
      <c r="D1235" s="58"/>
      <c r="E1235" s="58"/>
      <c r="F1235" s="58"/>
      <c r="G1235" s="58"/>
      <c r="H1235" s="373"/>
      <c r="I1235" s="352"/>
      <c r="J1235" s="352"/>
      <c r="K1235" s="352"/>
      <c r="L1235" s="352"/>
      <c r="M1235" s="352"/>
      <c r="N1235" s="352"/>
      <c r="O1235" s="352"/>
      <c r="P1235" s="352"/>
      <c r="Q1235" s="352"/>
      <c r="R1235" s="352"/>
    </row>
    <row r="1236" ht="32.25" customHeight="1">
      <c r="A1236" s="58"/>
      <c r="B1236" s="149"/>
      <c r="C1236" s="58"/>
      <c r="D1236" s="58"/>
      <c r="E1236" s="58"/>
      <c r="F1236" s="58"/>
      <c r="G1236" s="58"/>
      <c r="H1236" s="373"/>
      <c r="I1236" s="352"/>
      <c r="J1236" s="352"/>
      <c r="K1236" s="352"/>
      <c r="L1236" s="352"/>
      <c r="M1236" s="352"/>
      <c r="N1236" s="352"/>
      <c r="O1236" s="352"/>
      <c r="P1236" s="352"/>
      <c r="Q1236" s="352"/>
      <c r="R1236" s="352"/>
    </row>
    <row r="1237" ht="32.25" customHeight="1">
      <c r="A1237" s="58"/>
      <c r="B1237" s="149"/>
      <c r="C1237" s="58"/>
      <c r="D1237" s="58"/>
      <c r="E1237" s="58"/>
      <c r="F1237" s="58"/>
      <c r="G1237" s="58"/>
      <c r="H1237" s="373"/>
      <c r="I1237" s="352"/>
      <c r="J1237" s="352"/>
      <c r="K1237" s="352"/>
      <c r="L1237" s="352"/>
      <c r="M1237" s="352"/>
      <c r="N1237" s="352"/>
      <c r="O1237" s="352"/>
      <c r="P1237" s="352"/>
      <c r="Q1237" s="352"/>
      <c r="R1237" s="352"/>
    </row>
    <row r="1238" ht="32.25" customHeight="1">
      <c r="A1238" s="58"/>
      <c r="B1238" s="149"/>
      <c r="C1238" s="58"/>
      <c r="D1238" s="58"/>
      <c r="E1238" s="58"/>
      <c r="F1238" s="58"/>
      <c r="G1238" s="58"/>
      <c r="H1238" s="373"/>
      <c r="I1238" s="352"/>
      <c r="J1238" s="352"/>
      <c r="K1238" s="352"/>
      <c r="L1238" s="352"/>
      <c r="M1238" s="352"/>
      <c r="N1238" s="352"/>
      <c r="O1238" s="352"/>
      <c r="P1238" s="352"/>
      <c r="Q1238" s="352"/>
      <c r="R1238" s="352"/>
    </row>
    <row r="1239" ht="32.25" customHeight="1">
      <c r="A1239" s="58"/>
      <c r="B1239" s="149"/>
      <c r="C1239" s="58"/>
      <c r="D1239" s="58"/>
      <c r="E1239" s="58"/>
      <c r="F1239" s="58"/>
      <c r="G1239" s="58"/>
      <c r="H1239" s="373"/>
      <c r="I1239" s="352"/>
      <c r="J1239" s="352"/>
      <c r="K1239" s="352"/>
      <c r="L1239" s="352"/>
      <c r="M1239" s="352"/>
      <c r="N1239" s="352"/>
      <c r="O1239" s="352"/>
      <c r="P1239" s="352"/>
      <c r="Q1239" s="352"/>
      <c r="R1239" s="352"/>
    </row>
    <row r="1240" ht="32.25" customHeight="1">
      <c r="A1240" s="58"/>
      <c r="B1240" s="149"/>
      <c r="C1240" s="58"/>
      <c r="D1240" s="58"/>
      <c r="E1240" s="58"/>
      <c r="F1240" s="58"/>
      <c r="G1240" s="58"/>
      <c r="H1240" s="373"/>
      <c r="I1240" s="352"/>
      <c r="J1240" s="352"/>
      <c r="K1240" s="352"/>
      <c r="L1240" s="352"/>
      <c r="M1240" s="352"/>
      <c r="N1240" s="352"/>
      <c r="O1240" s="352"/>
      <c r="P1240" s="352"/>
      <c r="Q1240" s="352"/>
      <c r="R1240" s="352"/>
    </row>
    <row r="1241" ht="32.25" customHeight="1">
      <c r="A1241" s="58"/>
      <c r="B1241" s="149"/>
      <c r="C1241" s="58"/>
      <c r="D1241" s="58"/>
      <c r="E1241" s="58"/>
      <c r="F1241" s="58"/>
      <c r="G1241" s="58"/>
      <c r="H1241" s="373"/>
      <c r="I1241" s="352"/>
      <c r="J1241" s="352"/>
      <c r="K1241" s="352"/>
      <c r="L1241" s="352"/>
      <c r="M1241" s="352"/>
      <c r="N1241" s="352"/>
      <c r="O1241" s="352"/>
      <c r="P1241" s="352"/>
      <c r="Q1241" s="352"/>
      <c r="R1241" s="352"/>
    </row>
    <row r="1242" ht="32.25" customHeight="1">
      <c r="A1242" s="58"/>
      <c r="B1242" s="149"/>
      <c r="C1242" s="58"/>
      <c r="D1242" s="58"/>
      <c r="E1242" s="58"/>
      <c r="F1242" s="58"/>
      <c r="G1242" s="58"/>
      <c r="H1242" s="373"/>
      <c r="I1242" s="352"/>
      <c r="J1242" s="352"/>
      <c r="K1242" s="352"/>
      <c r="L1242" s="352"/>
      <c r="M1242" s="352"/>
      <c r="N1242" s="352"/>
      <c r="O1242" s="352"/>
      <c r="P1242" s="352"/>
      <c r="Q1242" s="352"/>
      <c r="R1242" s="352"/>
    </row>
    <row r="1243" ht="32.25" customHeight="1">
      <c r="A1243" s="58"/>
      <c r="B1243" s="149"/>
      <c r="C1243" s="58"/>
      <c r="D1243" s="58"/>
      <c r="E1243" s="58"/>
      <c r="F1243" s="58"/>
      <c r="G1243" s="58"/>
      <c r="H1243" s="373"/>
      <c r="I1243" s="352"/>
      <c r="J1243" s="352"/>
      <c r="K1243" s="352"/>
      <c r="L1243" s="352"/>
      <c r="M1243" s="352"/>
      <c r="N1243" s="352"/>
      <c r="O1243" s="352"/>
      <c r="P1243" s="352"/>
      <c r="Q1243" s="352"/>
      <c r="R1243" s="352"/>
    </row>
    <row r="1244" ht="32.25" customHeight="1">
      <c r="A1244" s="58"/>
      <c r="B1244" s="149"/>
      <c r="C1244" s="58"/>
      <c r="D1244" s="58"/>
      <c r="E1244" s="58"/>
      <c r="F1244" s="58"/>
      <c r="G1244" s="58"/>
      <c r="H1244" s="373"/>
      <c r="I1244" s="352"/>
      <c r="J1244" s="352"/>
      <c r="K1244" s="352"/>
      <c r="L1244" s="352"/>
      <c r="M1244" s="352"/>
      <c r="N1244" s="352"/>
      <c r="O1244" s="352"/>
      <c r="P1244" s="352"/>
      <c r="Q1244" s="352"/>
      <c r="R1244" s="352"/>
    </row>
    <row r="1245" ht="32.25" customHeight="1">
      <c r="A1245" s="58"/>
      <c r="B1245" s="149"/>
      <c r="C1245" s="58"/>
      <c r="D1245" s="58"/>
      <c r="E1245" s="58"/>
      <c r="F1245" s="58"/>
      <c r="G1245" s="58"/>
      <c r="H1245" s="373"/>
      <c r="I1245" s="352"/>
      <c r="J1245" s="352"/>
      <c r="K1245" s="352"/>
      <c r="L1245" s="352"/>
      <c r="M1245" s="352"/>
      <c r="N1245" s="352"/>
      <c r="O1245" s="352"/>
      <c r="P1245" s="352"/>
      <c r="Q1245" s="352"/>
      <c r="R1245" s="352"/>
    </row>
    <row r="1246" ht="32.25" customHeight="1">
      <c r="A1246" s="58"/>
      <c r="B1246" s="149"/>
      <c r="C1246" s="58"/>
      <c r="D1246" s="58"/>
      <c r="E1246" s="58"/>
      <c r="F1246" s="58"/>
      <c r="G1246" s="58"/>
      <c r="H1246" s="373"/>
      <c r="I1246" s="352"/>
      <c r="J1246" s="352"/>
      <c r="K1246" s="352"/>
      <c r="L1246" s="352"/>
      <c r="M1246" s="352"/>
      <c r="N1246" s="352"/>
      <c r="O1246" s="352"/>
      <c r="P1246" s="352"/>
      <c r="Q1246" s="352"/>
      <c r="R1246" s="352"/>
    </row>
    <row r="1247" ht="32.25" customHeight="1">
      <c r="A1247" s="58"/>
      <c r="B1247" s="149"/>
      <c r="C1247" s="58"/>
      <c r="D1247" s="58"/>
      <c r="E1247" s="58"/>
      <c r="F1247" s="58"/>
      <c r="G1247" s="58"/>
      <c r="H1247" s="373"/>
      <c r="I1247" s="352"/>
      <c r="J1247" s="352"/>
      <c r="K1247" s="352"/>
      <c r="L1247" s="352"/>
      <c r="M1247" s="352"/>
      <c r="N1247" s="352"/>
      <c r="O1247" s="352"/>
      <c r="P1247" s="352"/>
      <c r="Q1247" s="352"/>
      <c r="R1247" s="352"/>
    </row>
    <row r="1248" ht="32.25" customHeight="1">
      <c r="A1248" s="58"/>
      <c r="B1248" s="149"/>
      <c r="C1248" s="58"/>
      <c r="D1248" s="58"/>
      <c r="E1248" s="58"/>
      <c r="F1248" s="58"/>
      <c r="G1248" s="58"/>
      <c r="H1248" s="373"/>
      <c r="I1248" s="352"/>
      <c r="J1248" s="352"/>
      <c r="K1248" s="352"/>
      <c r="L1248" s="352"/>
      <c r="M1248" s="352"/>
      <c r="N1248" s="352"/>
      <c r="O1248" s="352"/>
      <c r="P1248" s="352"/>
      <c r="Q1248" s="352"/>
      <c r="R1248" s="352"/>
    </row>
    <row r="1249" ht="32.25" customHeight="1">
      <c r="A1249" s="58"/>
      <c r="B1249" s="149"/>
      <c r="C1249" s="58"/>
      <c r="D1249" s="58"/>
      <c r="E1249" s="58"/>
      <c r="F1249" s="58"/>
      <c r="G1249" s="58"/>
      <c r="H1249" s="373"/>
      <c r="I1249" s="352"/>
      <c r="J1249" s="352"/>
      <c r="K1249" s="352"/>
      <c r="L1249" s="352"/>
      <c r="M1249" s="352"/>
      <c r="N1249" s="352"/>
      <c r="O1249" s="352"/>
      <c r="P1249" s="352"/>
      <c r="Q1249" s="352"/>
      <c r="R1249" s="352"/>
    </row>
    <row r="1250" ht="32.25" customHeight="1">
      <c r="A1250" s="58"/>
      <c r="B1250" s="149"/>
      <c r="C1250" s="58"/>
      <c r="D1250" s="58"/>
      <c r="E1250" s="58"/>
      <c r="F1250" s="58"/>
      <c r="G1250" s="58"/>
      <c r="H1250" s="373"/>
      <c r="I1250" s="352"/>
      <c r="J1250" s="352"/>
      <c r="K1250" s="352"/>
      <c r="L1250" s="352"/>
      <c r="M1250" s="352"/>
      <c r="N1250" s="352"/>
      <c r="O1250" s="352"/>
      <c r="P1250" s="352"/>
      <c r="Q1250" s="352"/>
      <c r="R1250" s="352"/>
    </row>
    <row r="1251" ht="32.25" customHeight="1">
      <c r="A1251" s="58"/>
      <c r="B1251" s="149"/>
      <c r="C1251" s="58"/>
      <c r="D1251" s="58"/>
      <c r="E1251" s="58"/>
      <c r="F1251" s="58"/>
      <c r="G1251" s="58"/>
      <c r="H1251" s="373"/>
      <c r="I1251" s="352"/>
      <c r="J1251" s="352"/>
      <c r="K1251" s="352"/>
      <c r="L1251" s="352"/>
      <c r="M1251" s="352"/>
      <c r="N1251" s="352"/>
      <c r="O1251" s="352"/>
      <c r="P1251" s="352"/>
      <c r="Q1251" s="352"/>
      <c r="R1251" s="352"/>
    </row>
    <row r="1252" ht="32.25" customHeight="1">
      <c r="A1252" s="58"/>
      <c r="B1252" s="149"/>
      <c r="C1252" s="58"/>
      <c r="D1252" s="58"/>
      <c r="E1252" s="58"/>
      <c r="F1252" s="58"/>
      <c r="G1252" s="58"/>
      <c r="H1252" s="373"/>
      <c r="I1252" s="352"/>
      <c r="J1252" s="352"/>
      <c r="K1252" s="352"/>
      <c r="L1252" s="352"/>
      <c r="M1252" s="352"/>
      <c r="N1252" s="352"/>
      <c r="O1252" s="352"/>
      <c r="P1252" s="352"/>
      <c r="Q1252" s="352"/>
      <c r="R1252" s="352"/>
    </row>
    <row r="1253" ht="32.25" customHeight="1">
      <c r="A1253" s="58"/>
      <c r="B1253" s="149"/>
      <c r="C1253" s="58"/>
      <c r="D1253" s="58"/>
      <c r="E1253" s="58"/>
      <c r="F1253" s="58"/>
      <c r="G1253" s="58"/>
      <c r="H1253" s="373"/>
      <c r="I1253" s="352"/>
      <c r="J1253" s="352"/>
      <c r="K1253" s="352"/>
      <c r="L1253" s="352"/>
      <c r="M1253" s="352"/>
      <c r="N1253" s="352"/>
      <c r="O1253" s="352"/>
      <c r="P1253" s="352"/>
      <c r="Q1253" s="352"/>
      <c r="R1253" s="352"/>
    </row>
    <row r="1254" ht="32.25" customHeight="1">
      <c r="A1254" s="58"/>
      <c r="B1254" s="149"/>
      <c r="C1254" s="58"/>
      <c r="D1254" s="58"/>
      <c r="E1254" s="58"/>
      <c r="F1254" s="58"/>
      <c r="G1254" s="58"/>
      <c r="H1254" s="373"/>
      <c r="I1254" s="352"/>
      <c r="J1254" s="352"/>
      <c r="K1254" s="352"/>
      <c r="L1254" s="352"/>
      <c r="M1254" s="352"/>
      <c r="N1254" s="352"/>
      <c r="O1254" s="352"/>
      <c r="P1254" s="352"/>
      <c r="Q1254" s="352"/>
      <c r="R1254" s="352"/>
    </row>
    <row r="1255" ht="32.25" customHeight="1">
      <c r="A1255" s="58"/>
      <c r="B1255" s="149"/>
      <c r="C1255" s="58"/>
      <c r="D1255" s="58"/>
      <c r="E1255" s="58"/>
      <c r="F1255" s="58"/>
      <c r="G1255" s="58"/>
      <c r="H1255" s="373"/>
      <c r="I1255" s="352"/>
      <c r="J1255" s="352"/>
      <c r="K1255" s="352"/>
      <c r="L1255" s="352"/>
      <c r="M1255" s="352"/>
      <c r="N1255" s="352"/>
      <c r="O1255" s="352"/>
      <c r="P1255" s="352"/>
      <c r="Q1255" s="352"/>
      <c r="R1255" s="352"/>
    </row>
    <row r="1256" ht="32.25" customHeight="1">
      <c r="A1256" s="58"/>
      <c r="B1256" s="149"/>
      <c r="C1256" s="58"/>
      <c r="D1256" s="58"/>
      <c r="E1256" s="58"/>
      <c r="F1256" s="58"/>
      <c r="G1256" s="58"/>
      <c r="H1256" s="373"/>
      <c r="I1256" s="352"/>
      <c r="J1256" s="352"/>
      <c r="K1256" s="352"/>
      <c r="L1256" s="352"/>
      <c r="M1256" s="352"/>
      <c r="N1256" s="352"/>
      <c r="O1256" s="352"/>
      <c r="P1256" s="352"/>
      <c r="Q1256" s="352"/>
      <c r="R1256" s="352"/>
    </row>
    <row r="1257" ht="32.25" customHeight="1">
      <c r="A1257" s="58"/>
      <c r="B1257" s="149"/>
      <c r="C1257" s="58"/>
      <c r="D1257" s="58"/>
      <c r="E1257" s="58"/>
      <c r="F1257" s="58"/>
      <c r="G1257" s="58"/>
      <c r="H1257" s="373"/>
      <c r="I1257" s="352"/>
      <c r="J1257" s="352"/>
      <c r="K1257" s="352"/>
      <c r="L1257" s="352"/>
      <c r="M1257" s="352"/>
      <c r="N1257" s="352"/>
      <c r="O1257" s="352"/>
      <c r="P1257" s="352"/>
      <c r="Q1257" s="352"/>
      <c r="R1257" s="352"/>
    </row>
    <row r="1258" ht="32.25" customHeight="1">
      <c r="A1258" s="58"/>
      <c r="B1258" s="149"/>
      <c r="C1258" s="58"/>
      <c r="D1258" s="58"/>
      <c r="E1258" s="58"/>
      <c r="F1258" s="58"/>
      <c r="G1258" s="58"/>
      <c r="H1258" s="373"/>
      <c r="I1258" s="352"/>
      <c r="J1258" s="352"/>
      <c r="K1258" s="352"/>
      <c r="L1258" s="352"/>
      <c r="M1258" s="352"/>
      <c r="N1258" s="352"/>
      <c r="O1258" s="352"/>
      <c r="P1258" s="352"/>
      <c r="Q1258" s="352"/>
      <c r="R1258" s="352"/>
    </row>
    <row r="1259" ht="32.25" customHeight="1">
      <c r="A1259" s="58"/>
      <c r="B1259" s="149"/>
      <c r="C1259" s="58"/>
      <c r="D1259" s="58"/>
      <c r="E1259" s="58"/>
      <c r="F1259" s="58"/>
      <c r="G1259" s="58"/>
      <c r="H1259" s="373"/>
      <c r="I1259" s="352"/>
      <c r="J1259" s="352"/>
      <c r="K1259" s="352"/>
      <c r="L1259" s="352"/>
      <c r="M1259" s="352"/>
      <c r="N1259" s="352"/>
      <c r="O1259" s="352"/>
      <c r="P1259" s="352"/>
      <c r="Q1259" s="352"/>
      <c r="R1259" s="352"/>
    </row>
    <row r="1260" ht="32.25" customHeight="1">
      <c r="A1260" s="58"/>
      <c r="B1260" s="149"/>
      <c r="C1260" s="58"/>
      <c r="D1260" s="58"/>
      <c r="E1260" s="58"/>
      <c r="F1260" s="58"/>
      <c r="G1260" s="58"/>
      <c r="H1260" s="373"/>
      <c r="I1260" s="352"/>
      <c r="J1260" s="352"/>
      <c r="K1260" s="352"/>
      <c r="L1260" s="352"/>
      <c r="M1260" s="352"/>
      <c r="N1260" s="352"/>
      <c r="O1260" s="352"/>
      <c r="P1260" s="352"/>
      <c r="Q1260" s="352"/>
      <c r="R1260" s="352"/>
    </row>
    <row r="1261" ht="32.25" customHeight="1">
      <c r="A1261" s="58"/>
      <c r="B1261" s="149"/>
      <c r="C1261" s="58"/>
      <c r="D1261" s="58"/>
      <c r="E1261" s="58"/>
      <c r="F1261" s="58"/>
      <c r="G1261" s="58"/>
      <c r="H1261" s="373"/>
      <c r="I1261" s="352"/>
      <c r="J1261" s="352"/>
      <c r="K1261" s="352"/>
      <c r="L1261" s="352"/>
      <c r="M1261" s="352"/>
      <c r="N1261" s="352"/>
      <c r="O1261" s="352"/>
      <c r="P1261" s="352"/>
      <c r="Q1261" s="352"/>
      <c r="R1261" s="352"/>
    </row>
    <row r="1262" ht="32.25" customHeight="1">
      <c r="A1262" s="58"/>
      <c r="B1262" s="149"/>
      <c r="C1262" s="58"/>
      <c r="D1262" s="58"/>
      <c r="E1262" s="58"/>
      <c r="F1262" s="58"/>
      <c r="G1262" s="58"/>
      <c r="H1262" s="373"/>
      <c r="I1262" s="352"/>
      <c r="J1262" s="352"/>
      <c r="K1262" s="352"/>
      <c r="L1262" s="352"/>
      <c r="M1262" s="352"/>
      <c r="N1262" s="352"/>
      <c r="O1262" s="352"/>
      <c r="P1262" s="352"/>
      <c r="Q1262" s="352"/>
      <c r="R1262" s="352"/>
    </row>
    <row r="1263" ht="32.25" customHeight="1">
      <c r="A1263" s="58"/>
      <c r="B1263" s="149"/>
      <c r="C1263" s="58"/>
      <c r="D1263" s="58"/>
      <c r="E1263" s="58"/>
      <c r="F1263" s="58"/>
      <c r="G1263" s="58"/>
      <c r="H1263" s="373"/>
      <c r="I1263" s="352"/>
      <c r="J1263" s="352"/>
      <c r="K1263" s="352"/>
      <c r="L1263" s="352"/>
      <c r="M1263" s="352"/>
      <c r="N1263" s="352"/>
      <c r="O1263" s="352"/>
      <c r="P1263" s="352"/>
      <c r="Q1263" s="352"/>
      <c r="R1263" s="352"/>
    </row>
    <row r="1264" ht="32.25" customHeight="1">
      <c r="A1264" s="58"/>
      <c r="B1264" s="149"/>
      <c r="C1264" s="58"/>
      <c r="D1264" s="58"/>
      <c r="E1264" s="58"/>
      <c r="F1264" s="58"/>
      <c r="G1264" s="58"/>
      <c r="H1264" s="373"/>
      <c r="I1264" s="352"/>
      <c r="J1264" s="352"/>
      <c r="K1264" s="352"/>
      <c r="L1264" s="352"/>
      <c r="M1264" s="352"/>
      <c r="N1264" s="352"/>
      <c r="O1264" s="352"/>
      <c r="P1264" s="352"/>
      <c r="Q1264" s="352"/>
      <c r="R1264" s="352"/>
    </row>
    <row r="1265" ht="32.25" customHeight="1">
      <c r="A1265" s="58"/>
      <c r="B1265" s="149"/>
      <c r="C1265" s="58"/>
      <c r="D1265" s="58"/>
      <c r="E1265" s="58"/>
      <c r="F1265" s="58"/>
      <c r="G1265" s="58"/>
      <c r="H1265" s="373"/>
      <c r="I1265" s="352"/>
      <c r="J1265" s="352"/>
      <c r="K1265" s="352"/>
      <c r="L1265" s="352"/>
      <c r="M1265" s="352"/>
      <c r="N1265" s="352"/>
      <c r="O1265" s="352"/>
      <c r="P1265" s="352"/>
      <c r="Q1265" s="352"/>
      <c r="R1265" s="352"/>
    </row>
    <row r="1266" ht="32.25" customHeight="1">
      <c r="A1266" s="58"/>
      <c r="B1266" s="149"/>
      <c r="C1266" s="58"/>
      <c r="D1266" s="58"/>
      <c r="E1266" s="58"/>
      <c r="F1266" s="58"/>
      <c r="G1266" s="58"/>
      <c r="H1266" s="373"/>
      <c r="I1266" s="352"/>
      <c r="J1266" s="352"/>
      <c r="K1266" s="352"/>
      <c r="L1266" s="352"/>
      <c r="M1266" s="352"/>
      <c r="N1266" s="352"/>
      <c r="O1266" s="352"/>
      <c r="P1266" s="352"/>
      <c r="Q1266" s="352"/>
      <c r="R1266" s="352"/>
    </row>
    <row r="1267" ht="32.25" customHeight="1">
      <c r="A1267" s="58"/>
      <c r="B1267" s="149"/>
      <c r="C1267" s="58"/>
      <c r="D1267" s="58"/>
      <c r="E1267" s="58"/>
      <c r="F1267" s="58"/>
      <c r="G1267" s="58"/>
      <c r="H1267" s="373"/>
      <c r="I1267" s="352"/>
      <c r="J1267" s="352"/>
      <c r="K1267" s="352"/>
      <c r="L1267" s="352"/>
      <c r="M1267" s="352"/>
      <c r="N1267" s="352"/>
      <c r="O1267" s="352"/>
      <c r="P1267" s="352"/>
      <c r="Q1267" s="352"/>
      <c r="R1267" s="352"/>
    </row>
    <row r="1268" ht="32.25" customHeight="1">
      <c r="A1268" s="58"/>
      <c r="B1268" s="149"/>
      <c r="C1268" s="58"/>
      <c r="D1268" s="58"/>
      <c r="E1268" s="58"/>
      <c r="F1268" s="58"/>
      <c r="G1268" s="58"/>
      <c r="H1268" s="373"/>
      <c r="I1268" s="352"/>
      <c r="J1268" s="352"/>
      <c r="K1268" s="352"/>
      <c r="L1268" s="352"/>
      <c r="M1268" s="352"/>
      <c r="N1268" s="352"/>
      <c r="O1268" s="352"/>
      <c r="P1268" s="352"/>
      <c r="Q1268" s="352"/>
      <c r="R1268" s="352"/>
    </row>
    <row r="1269" ht="32.25" customHeight="1">
      <c r="A1269" s="58"/>
      <c r="B1269" s="149"/>
      <c r="C1269" s="58"/>
      <c r="D1269" s="58"/>
      <c r="E1269" s="58"/>
      <c r="F1269" s="58"/>
      <c r="G1269" s="58"/>
      <c r="H1269" s="373"/>
      <c r="I1269" s="352"/>
      <c r="J1269" s="352"/>
      <c r="K1269" s="352"/>
      <c r="L1269" s="352"/>
      <c r="M1269" s="352"/>
      <c r="N1269" s="352"/>
      <c r="O1269" s="352"/>
      <c r="P1269" s="352"/>
      <c r="Q1269" s="352"/>
      <c r="R1269" s="352"/>
    </row>
    <row r="1270" ht="32.25" customHeight="1">
      <c r="A1270" s="58"/>
      <c r="B1270" s="149"/>
      <c r="C1270" s="58"/>
      <c r="D1270" s="58"/>
      <c r="E1270" s="58"/>
      <c r="F1270" s="58"/>
      <c r="G1270" s="58"/>
      <c r="H1270" s="373"/>
      <c r="I1270" s="352"/>
      <c r="J1270" s="352"/>
      <c r="K1270" s="352"/>
      <c r="L1270" s="352"/>
      <c r="M1270" s="352"/>
      <c r="N1270" s="352"/>
      <c r="O1270" s="352"/>
      <c r="P1270" s="352"/>
      <c r="Q1270" s="352"/>
      <c r="R1270" s="352"/>
    </row>
    <row r="1271" ht="32.25" customHeight="1">
      <c r="A1271" s="58"/>
      <c r="B1271" s="149"/>
      <c r="C1271" s="58"/>
      <c r="D1271" s="58"/>
      <c r="E1271" s="58"/>
      <c r="F1271" s="58"/>
      <c r="G1271" s="58"/>
      <c r="H1271" s="373"/>
      <c r="I1271" s="352"/>
      <c r="J1271" s="352"/>
      <c r="K1271" s="352"/>
      <c r="L1271" s="352"/>
      <c r="M1271" s="352"/>
      <c r="N1271" s="352"/>
      <c r="O1271" s="352"/>
      <c r="P1271" s="352"/>
      <c r="Q1271" s="352"/>
      <c r="R1271" s="352"/>
    </row>
    <row r="1272" ht="32.25" customHeight="1">
      <c r="A1272" s="58"/>
      <c r="B1272" s="149"/>
      <c r="C1272" s="58"/>
      <c r="D1272" s="58"/>
      <c r="E1272" s="58"/>
      <c r="F1272" s="58"/>
      <c r="G1272" s="58"/>
      <c r="H1272" s="373"/>
      <c r="I1272" s="352"/>
      <c r="J1272" s="352"/>
      <c r="K1272" s="352"/>
      <c r="L1272" s="352"/>
      <c r="M1272" s="352"/>
      <c r="N1272" s="352"/>
      <c r="O1272" s="352"/>
      <c r="P1272" s="352"/>
      <c r="Q1272" s="352"/>
      <c r="R1272" s="352"/>
    </row>
    <row r="1273" ht="32.25" customHeight="1">
      <c r="A1273" s="58"/>
      <c r="B1273" s="149"/>
      <c r="C1273" s="58"/>
      <c r="D1273" s="58"/>
      <c r="E1273" s="58"/>
      <c r="F1273" s="58"/>
      <c r="G1273" s="58"/>
      <c r="H1273" s="373"/>
      <c r="I1273" s="352"/>
      <c r="J1273" s="352"/>
      <c r="K1273" s="352"/>
      <c r="L1273" s="352"/>
      <c r="M1273" s="352"/>
      <c r="N1273" s="352"/>
      <c r="O1273" s="352"/>
      <c r="P1273" s="352"/>
      <c r="Q1273" s="352"/>
      <c r="R1273" s="352"/>
    </row>
    <row r="1274" ht="32.25" customHeight="1">
      <c r="A1274" s="58"/>
      <c r="B1274" s="149"/>
      <c r="C1274" s="58"/>
      <c r="D1274" s="58"/>
      <c r="E1274" s="58"/>
      <c r="F1274" s="58"/>
      <c r="G1274" s="58"/>
      <c r="H1274" s="373"/>
      <c r="I1274" s="352"/>
      <c r="J1274" s="352"/>
      <c r="K1274" s="352"/>
      <c r="L1274" s="352"/>
      <c r="M1274" s="352"/>
      <c r="N1274" s="352"/>
      <c r="O1274" s="352"/>
      <c r="P1274" s="352"/>
      <c r="Q1274" s="352"/>
      <c r="R1274" s="352"/>
    </row>
    <row r="1275" ht="32.25" customHeight="1">
      <c r="A1275" s="58"/>
      <c r="B1275" s="149"/>
      <c r="C1275" s="58"/>
      <c r="D1275" s="58"/>
      <c r="E1275" s="58"/>
      <c r="F1275" s="58"/>
      <c r="G1275" s="58"/>
      <c r="H1275" s="373"/>
      <c r="I1275" s="352"/>
      <c r="J1275" s="352"/>
      <c r="K1275" s="352"/>
      <c r="L1275" s="352"/>
      <c r="M1275" s="352"/>
      <c r="N1275" s="352"/>
      <c r="O1275" s="352"/>
      <c r="P1275" s="352"/>
      <c r="Q1275" s="352"/>
      <c r="R1275" s="352"/>
    </row>
    <row r="1276" ht="32.25" customHeight="1">
      <c r="A1276" s="58"/>
      <c r="B1276" s="149"/>
      <c r="C1276" s="58"/>
      <c r="D1276" s="58"/>
      <c r="E1276" s="58"/>
      <c r="F1276" s="58"/>
      <c r="G1276" s="58"/>
      <c r="H1276" s="373"/>
      <c r="I1276" s="352"/>
      <c r="J1276" s="352"/>
      <c r="K1276" s="352"/>
      <c r="L1276" s="352"/>
      <c r="M1276" s="352"/>
      <c r="N1276" s="352"/>
      <c r="O1276" s="352"/>
      <c r="P1276" s="352"/>
      <c r="Q1276" s="352"/>
      <c r="R1276" s="352"/>
    </row>
    <row r="1277" ht="32.25" customHeight="1">
      <c r="A1277" s="58"/>
      <c r="B1277" s="149"/>
      <c r="C1277" s="58"/>
      <c r="D1277" s="58"/>
      <c r="E1277" s="58"/>
      <c r="F1277" s="58"/>
      <c r="G1277" s="58"/>
      <c r="H1277" s="373"/>
      <c r="I1277" s="352"/>
      <c r="J1277" s="352"/>
      <c r="K1277" s="352"/>
      <c r="L1277" s="352"/>
      <c r="M1277" s="352"/>
      <c r="N1277" s="352"/>
      <c r="O1277" s="352"/>
      <c r="P1277" s="352"/>
      <c r="Q1277" s="352"/>
      <c r="R1277" s="352"/>
    </row>
    <row r="1278" ht="32.25" customHeight="1">
      <c r="A1278" s="58"/>
      <c r="B1278" s="149"/>
      <c r="C1278" s="58"/>
      <c r="D1278" s="58"/>
      <c r="E1278" s="58"/>
      <c r="F1278" s="58"/>
      <c r="G1278" s="58"/>
      <c r="H1278" s="373"/>
      <c r="I1278" s="352"/>
      <c r="J1278" s="352"/>
      <c r="K1278" s="352"/>
      <c r="L1278" s="352"/>
      <c r="M1278" s="352"/>
      <c r="N1278" s="352"/>
      <c r="O1278" s="352"/>
      <c r="P1278" s="352"/>
      <c r="Q1278" s="352"/>
      <c r="R1278" s="352"/>
    </row>
    <row r="1279" ht="32.25" customHeight="1">
      <c r="A1279" s="58"/>
      <c r="B1279" s="149"/>
      <c r="C1279" s="58"/>
      <c r="D1279" s="58"/>
      <c r="E1279" s="58"/>
      <c r="F1279" s="58"/>
      <c r="G1279" s="58"/>
      <c r="H1279" s="373"/>
      <c r="I1279" s="352"/>
      <c r="J1279" s="352"/>
      <c r="K1279" s="352"/>
      <c r="L1279" s="352"/>
      <c r="M1279" s="352"/>
      <c r="N1279" s="352"/>
      <c r="O1279" s="352"/>
      <c r="P1279" s="352"/>
      <c r="Q1279" s="352"/>
      <c r="R1279" s="352"/>
    </row>
    <row r="1280" ht="32.25" customHeight="1">
      <c r="A1280" s="58"/>
      <c r="B1280" s="149"/>
      <c r="C1280" s="58"/>
      <c r="D1280" s="58"/>
      <c r="E1280" s="58"/>
      <c r="F1280" s="58"/>
      <c r="G1280" s="58"/>
      <c r="H1280" s="373"/>
      <c r="I1280" s="352"/>
      <c r="J1280" s="352"/>
      <c r="K1280" s="352"/>
      <c r="L1280" s="352"/>
      <c r="M1280" s="352"/>
      <c r="N1280" s="352"/>
      <c r="O1280" s="352"/>
      <c r="P1280" s="352"/>
      <c r="Q1280" s="352"/>
      <c r="R1280" s="352"/>
    </row>
    <row r="1281" ht="32.25" customHeight="1">
      <c r="A1281" s="58"/>
      <c r="B1281" s="149"/>
      <c r="C1281" s="58"/>
      <c r="D1281" s="58"/>
      <c r="E1281" s="58"/>
      <c r="F1281" s="58"/>
      <c r="G1281" s="58"/>
      <c r="H1281" s="373"/>
      <c r="I1281" s="352"/>
      <c r="J1281" s="352"/>
      <c r="K1281" s="352"/>
      <c r="L1281" s="352"/>
      <c r="M1281" s="352"/>
      <c r="N1281" s="352"/>
      <c r="O1281" s="352"/>
      <c r="P1281" s="352"/>
      <c r="Q1281" s="352"/>
      <c r="R1281" s="352"/>
    </row>
    <row r="1282" ht="32.25" customHeight="1">
      <c r="A1282" s="58"/>
      <c r="B1282" s="149"/>
      <c r="C1282" s="58"/>
      <c r="D1282" s="58"/>
      <c r="E1282" s="58"/>
      <c r="F1282" s="58"/>
      <c r="G1282" s="58"/>
      <c r="H1282" s="373"/>
      <c r="I1282" s="352"/>
      <c r="J1282" s="352"/>
      <c r="K1282" s="352"/>
      <c r="L1282" s="352"/>
      <c r="M1282" s="352"/>
      <c r="N1282" s="352"/>
      <c r="O1282" s="352"/>
      <c r="P1282" s="352"/>
      <c r="Q1282" s="352"/>
      <c r="R1282" s="352"/>
    </row>
    <row r="1283" ht="32.25" customHeight="1">
      <c r="A1283" s="58"/>
      <c r="B1283" s="149"/>
      <c r="C1283" s="58"/>
      <c r="D1283" s="58"/>
      <c r="E1283" s="58"/>
      <c r="F1283" s="58"/>
      <c r="G1283" s="58"/>
      <c r="H1283" s="373"/>
      <c r="I1283" s="352"/>
      <c r="J1283" s="352"/>
      <c r="K1283" s="352"/>
      <c r="L1283" s="352"/>
      <c r="M1283" s="352"/>
      <c r="N1283" s="352"/>
      <c r="O1283" s="352"/>
      <c r="P1283" s="352"/>
      <c r="Q1283" s="352"/>
      <c r="R1283" s="352"/>
    </row>
    <row r="1284" ht="32.25" customHeight="1">
      <c r="A1284" s="58"/>
      <c r="B1284" s="149"/>
      <c r="C1284" s="58"/>
      <c r="D1284" s="58"/>
      <c r="E1284" s="58"/>
      <c r="F1284" s="58"/>
      <c r="G1284" s="58"/>
      <c r="H1284" s="373"/>
      <c r="I1284" s="352"/>
      <c r="J1284" s="352"/>
      <c r="K1284" s="352"/>
      <c r="L1284" s="352"/>
      <c r="M1284" s="352"/>
      <c r="N1284" s="352"/>
      <c r="O1284" s="352"/>
      <c r="P1284" s="352"/>
      <c r="Q1284" s="352"/>
      <c r="R1284" s="352"/>
    </row>
    <row r="1285" ht="32.25" customHeight="1">
      <c r="A1285" s="58"/>
      <c r="B1285" s="149"/>
      <c r="C1285" s="58"/>
      <c r="D1285" s="58"/>
      <c r="E1285" s="58"/>
      <c r="F1285" s="58"/>
      <c r="G1285" s="58"/>
      <c r="H1285" s="373"/>
      <c r="I1285" s="352"/>
      <c r="J1285" s="352"/>
      <c r="K1285" s="352"/>
      <c r="L1285" s="352"/>
      <c r="M1285" s="352"/>
      <c r="N1285" s="352"/>
      <c r="O1285" s="352"/>
      <c r="P1285" s="352"/>
      <c r="Q1285" s="352"/>
      <c r="R1285" s="352"/>
    </row>
    <row r="1286" ht="32.25" customHeight="1">
      <c r="A1286" s="58"/>
      <c r="B1286" s="149"/>
      <c r="C1286" s="58"/>
      <c r="D1286" s="58"/>
      <c r="E1286" s="58"/>
      <c r="F1286" s="58"/>
      <c r="G1286" s="58"/>
      <c r="H1286" s="373"/>
      <c r="I1286" s="352"/>
      <c r="J1286" s="352"/>
      <c r="K1286" s="352"/>
      <c r="L1286" s="352"/>
      <c r="M1286" s="352"/>
      <c r="N1286" s="352"/>
      <c r="O1286" s="352"/>
      <c r="P1286" s="352"/>
      <c r="Q1286" s="352"/>
      <c r="R1286" s="352"/>
    </row>
    <row r="1287" ht="32.25" customHeight="1">
      <c r="A1287" s="58"/>
      <c r="B1287" s="149"/>
      <c r="C1287" s="58"/>
      <c r="D1287" s="58"/>
      <c r="E1287" s="58"/>
      <c r="F1287" s="58"/>
      <c r="G1287" s="58"/>
      <c r="H1287" s="373"/>
      <c r="I1287" s="352"/>
      <c r="J1287" s="352"/>
      <c r="K1287" s="352"/>
      <c r="L1287" s="352"/>
      <c r="M1287" s="352"/>
      <c r="N1287" s="352"/>
      <c r="O1287" s="352"/>
      <c r="P1287" s="352"/>
      <c r="Q1287" s="352"/>
      <c r="R1287" s="352"/>
    </row>
    <row r="1288" ht="32.25" customHeight="1">
      <c r="A1288" s="58"/>
      <c r="B1288" s="149"/>
      <c r="C1288" s="58"/>
      <c r="D1288" s="58"/>
      <c r="E1288" s="58"/>
      <c r="F1288" s="58"/>
      <c r="G1288" s="58"/>
      <c r="H1288" s="373"/>
      <c r="I1288" s="352"/>
      <c r="J1288" s="352"/>
      <c r="K1288" s="352"/>
      <c r="L1288" s="352"/>
      <c r="M1288" s="352"/>
      <c r="N1288" s="352"/>
      <c r="O1288" s="352"/>
      <c r="P1288" s="352"/>
      <c r="Q1288" s="352"/>
      <c r="R1288" s="352"/>
    </row>
    <row r="1289" ht="32.25" customHeight="1">
      <c r="A1289" s="58"/>
      <c r="B1289" s="149"/>
      <c r="C1289" s="58"/>
      <c r="D1289" s="58"/>
      <c r="E1289" s="58"/>
      <c r="F1289" s="58"/>
      <c r="G1289" s="58"/>
      <c r="H1289" s="373"/>
      <c r="I1289" s="352"/>
      <c r="J1289" s="352"/>
      <c r="K1289" s="352"/>
      <c r="L1289" s="352"/>
      <c r="M1289" s="352"/>
      <c r="N1289" s="352"/>
      <c r="O1289" s="352"/>
      <c r="P1289" s="352"/>
      <c r="Q1289" s="352"/>
      <c r="R1289" s="352"/>
    </row>
    <row r="1290" ht="32.25" customHeight="1">
      <c r="A1290" s="58"/>
      <c r="B1290" s="149"/>
      <c r="C1290" s="58"/>
      <c r="D1290" s="58"/>
      <c r="E1290" s="58"/>
      <c r="F1290" s="58"/>
      <c r="G1290" s="58"/>
      <c r="H1290" s="373"/>
      <c r="I1290" s="352"/>
      <c r="J1290" s="352"/>
      <c r="K1290" s="352"/>
      <c r="L1290" s="352"/>
      <c r="M1290" s="352"/>
      <c r="N1290" s="352"/>
      <c r="O1290" s="352"/>
      <c r="P1290" s="352"/>
      <c r="Q1290" s="352"/>
      <c r="R1290" s="352"/>
    </row>
    <row r="1291" ht="32.25" customHeight="1">
      <c r="A1291" s="58"/>
      <c r="B1291" s="149"/>
      <c r="C1291" s="58"/>
      <c r="D1291" s="58"/>
      <c r="E1291" s="58"/>
      <c r="F1291" s="58"/>
      <c r="G1291" s="58"/>
      <c r="H1291" s="373"/>
      <c r="I1291" s="352"/>
      <c r="J1291" s="352"/>
      <c r="K1291" s="352"/>
      <c r="L1291" s="352"/>
      <c r="M1291" s="352"/>
      <c r="N1291" s="352"/>
      <c r="O1291" s="352"/>
      <c r="P1291" s="352"/>
      <c r="Q1291" s="352"/>
      <c r="R1291" s="352"/>
    </row>
    <row r="1292" ht="32.25" customHeight="1">
      <c r="A1292" s="58"/>
      <c r="B1292" s="149"/>
      <c r="C1292" s="58"/>
      <c r="D1292" s="58"/>
      <c r="E1292" s="58"/>
      <c r="F1292" s="58"/>
      <c r="G1292" s="58"/>
      <c r="H1292" s="373"/>
      <c r="I1292" s="352"/>
      <c r="J1292" s="352"/>
      <c r="K1292" s="352"/>
      <c r="L1292" s="352"/>
      <c r="M1292" s="352"/>
      <c r="N1292" s="352"/>
      <c r="O1292" s="352"/>
      <c r="P1292" s="352"/>
      <c r="Q1292" s="352"/>
      <c r="R1292" s="352"/>
    </row>
    <row r="1293" ht="32.25" customHeight="1">
      <c r="A1293" s="58"/>
      <c r="B1293" s="149"/>
      <c r="C1293" s="58"/>
      <c r="D1293" s="58"/>
      <c r="E1293" s="58"/>
      <c r="F1293" s="58"/>
      <c r="G1293" s="58"/>
      <c r="H1293" s="373"/>
      <c r="I1293" s="352"/>
      <c r="J1293" s="352"/>
      <c r="K1293" s="352"/>
      <c r="L1293" s="352"/>
      <c r="M1293" s="352"/>
      <c r="N1293" s="352"/>
      <c r="O1293" s="352"/>
      <c r="P1293" s="352"/>
      <c r="Q1293" s="352"/>
      <c r="R1293" s="352"/>
    </row>
    <row r="1294" ht="32.25" customHeight="1">
      <c r="A1294" s="58"/>
      <c r="B1294" s="149"/>
      <c r="C1294" s="58"/>
      <c r="D1294" s="58"/>
      <c r="E1294" s="58"/>
      <c r="F1294" s="58"/>
      <c r="G1294" s="58"/>
      <c r="H1294" s="373"/>
      <c r="I1294" s="352"/>
      <c r="J1294" s="352"/>
      <c r="K1294" s="352"/>
      <c r="L1294" s="352"/>
      <c r="M1294" s="352"/>
      <c r="N1294" s="352"/>
      <c r="O1294" s="352"/>
      <c r="P1294" s="352"/>
      <c r="Q1294" s="352"/>
      <c r="R1294" s="352"/>
    </row>
    <row r="1295" ht="32.25" customHeight="1">
      <c r="A1295" s="58"/>
      <c r="B1295" s="149"/>
      <c r="C1295" s="58"/>
      <c r="D1295" s="58"/>
      <c r="E1295" s="58"/>
      <c r="F1295" s="58"/>
      <c r="G1295" s="58"/>
      <c r="H1295" s="373"/>
      <c r="I1295" s="352"/>
      <c r="J1295" s="352"/>
      <c r="K1295" s="352"/>
      <c r="L1295" s="352"/>
      <c r="M1295" s="352"/>
      <c r="N1295" s="352"/>
      <c r="O1295" s="352"/>
      <c r="P1295" s="352"/>
      <c r="Q1295" s="352"/>
      <c r="R1295" s="352"/>
    </row>
    <row r="1296" ht="32.25" customHeight="1">
      <c r="A1296" s="58"/>
      <c r="B1296" s="149"/>
      <c r="C1296" s="58"/>
      <c r="D1296" s="58"/>
      <c r="E1296" s="58"/>
      <c r="F1296" s="58"/>
      <c r="G1296" s="58"/>
      <c r="H1296" s="373"/>
      <c r="I1296" s="352"/>
      <c r="J1296" s="352"/>
      <c r="K1296" s="352"/>
      <c r="L1296" s="352"/>
      <c r="M1296" s="352"/>
      <c r="N1296" s="352"/>
      <c r="O1296" s="352"/>
      <c r="P1296" s="352"/>
      <c r="Q1296" s="352"/>
      <c r="R1296" s="352"/>
    </row>
    <row r="1297" ht="32.25" customHeight="1">
      <c r="A1297" s="58"/>
      <c r="B1297" s="149"/>
      <c r="C1297" s="58"/>
      <c r="D1297" s="58"/>
      <c r="E1297" s="58"/>
      <c r="F1297" s="58"/>
      <c r="G1297" s="58"/>
      <c r="H1297" s="373"/>
      <c r="I1297" s="352"/>
      <c r="J1297" s="352"/>
      <c r="K1297" s="352"/>
      <c r="L1297" s="352"/>
      <c r="M1297" s="352"/>
      <c r="N1297" s="352"/>
      <c r="O1297" s="352"/>
      <c r="P1297" s="352"/>
      <c r="Q1297" s="352"/>
      <c r="R1297" s="352"/>
    </row>
    <row r="1298" ht="32.25" customHeight="1">
      <c r="A1298" s="58"/>
      <c r="B1298" s="149"/>
      <c r="C1298" s="58"/>
      <c r="D1298" s="58"/>
      <c r="E1298" s="58"/>
      <c r="F1298" s="58"/>
      <c r="G1298" s="58"/>
      <c r="H1298" s="373"/>
      <c r="I1298" s="352"/>
      <c r="J1298" s="352"/>
      <c r="K1298" s="352"/>
      <c r="L1298" s="352"/>
      <c r="M1298" s="352"/>
      <c r="N1298" s="352"/>
      <c r="O1298" s="352"/>
      <c r="P1298" s="352"/>
      <c r="Q1298" s="352"/>
      <c r="R1298" s="352"/>
    </row>
    <row r="1299" ht="32.25" customHeight="1">
      <c r="A1299" s="58"/>
      <c r="B1299" s="149"/>
      <c r="C1299" s="58"/>
      <c r="D1299" s="58"/>
      <c r="E1299" s="58"/>
      <c r="F1299" s="58"/>
      <c r="G1299" s="58"/>
      <c r="H1299" s="373"/>
      <c r="I1299" s="352"/>
      <c r="J1299" s="352"/>
      <c r="K1299" s="352"/>
      <c r="L1299" s="352"/>
      <c r="M1299" s="352"/>
      <c r="N1299" s="352"/>
      <c r="O1299" s="352"/>
      <c r="P1299" s="352"/>
      <c r="Q1299" s="352"/>
      <c r="R1299" s="352"/>
    </row>
    <row r="1300" ht="32.25" customHeight="1">
      <c r="A1300" s="58"/>
      <c r="B1300" s="149"/>
      <c r="C1300" s="58"/>
      <c r="D1300" s="58"/>
      <c r="E1300" s="58"/>
      <c r="F1300" s="58"/>
      <c r="G1300" s="58"/>
      <c r="H1300" s="373"/>
      <c r="I1300" s="352"/>
      <c r="J1300" s="352"/>
      <c r="K1300" s="352"/>
      <c r="L1300" s="352"/>
      <c r="M1300" s="352"/>
      <c r="N1300" s="352"/>
      <c r="O1300" s="352"/>
      <c r="P1300" s="352"/>
      <c r="Q1300" s="352"/>
      <c r="R1300" s="352"/>
    </row>
    <row r="1301" ht="32.25" customHeight="1">
      <c r="A1301" s="58"/>
      <c r="B1301" s="149"/>
      <c r="C1301" s="58"/>
      <c r="D1301" s="58"/>
      <c r="E1301" s="58"/>
      <c r="F1301" s="58"/>
      <c r="G1301" s="58"/>
      <c r="H1301" s="373"/>
      <c r="I1301" s="352"/>
      <c r="J1301" s="352"/>
      <c r="K1301" s="352"/>
      <c r="L1301" s="352"/>
      <c r="M1301" s="352"/>
      <c r="N1301" s="352"/>
      <c r="O1301" s="352"/>
      <c r="P1301" s="352"/>
      <c r="Q1301" s="352"/>
      <c r="R1301" s="352"/>
    </row>
    <row r="1302" ht="32.25" customHeight="1">
      <c r="A1302" s="58"/>
      <c r="B1302" s="149"/>
      <c r="C1302" s="58"/>
      <c r="D1302" s="58"/>
      <c r="E1302" s="58"/>
      <c r="F1302" s="58"/>
      <c r="G1302" s="58"/>
      <c r="H1302" s="373"/>
      <c r="I1302" s="352"/>
      <c r="J1302" s="352"/>
      <c r="K1302" s="352"/>
      <c r="L1302" s="352"/>
      <c r="M1302" s="352"/>
      <c r="N1302" s="352"/>
      <c r="O1302" s="352"/>
      <c r="P1302" s="352"/>
      <c r="Q1302" s="352"/>
      <c r="R1302" s="352"/>
    </row>
    <row r="1303" ht="32.25" customHeight="1">
      <c r="A1303" s="58"/>
      <c r="B1303" s="149"/>
      <c r="C1303" s="58"/>
      <c r="D1303" s="58"/>
      <c r="E1303" s="58"/>
      <c r="F1303" s="58"/>
      <c r="G1303" s="58"/>
      <c r="H1303" s="373"/>
      <c r="I1303" s="352"/>
      <c r="J1303" s="352"/>
      <c r="K1303" s="352"/>
      <c r="L1303" s="352"/>
      <c r="M1303" s="352"/>
      <c r="N1303" s="352"/>
      <c r="O1303" s="352"/>
      <c r="P1303" s="352"/>
      <c r="Q1303" s="352"/>
      <c r="R1303" s="352"/>
    </row>
    <row r="1304" ht="32.25" customHeight="1">
      <c r="A1304" s="58"/>
      <c r="B1304" s="149"/>
      <c r="C1304" s="58"/>
      <c r="D1304" s="58"/>
      <c r="E1304" s="58"/>
      <c r="F1304" s="58"/>
      <c r="G1304" s="58"/>
      <c r="H1304" s="373"/>
      <c r="I1304" s="352"/>
      <c r="J1304" s="352"/>
      <c r="K1304" s="352"/>
      <c r="L1304" s="352"/>
      <c r="M1304" s="352"/>
      <c r="N1304" s="352"/>
      <c r="O1304" s="352"/>
      <c r="P1304" s="352"/>
      <c r="Q1304" s="352"/>
      <c r="R1304" s="352"/>
    </row>
    <row r="1305" ht="32.25" customHeight="1">
      <c r="A1305" s="58"/>
      <c r="B1305" s="149"/>
      <c r="C1305" s="58"/>
      <c r="D1305" s="58"/>
      <c r="E1305" s="58"/>
      <c r="F1305" s="58"/>
      <c r="G1305" s="58"/>
      <c r="H1305" s="373"/>
      <c r="I1305" s="352"/>
      <c r="J1305" s="352"/>
      <c r="K1305" s="352"/>
      <c r="L1305" s="352"/>
      <c r="M1305" s="352"/>
      <c r="N1305" s="352"/>
      <c r="O1305" s="352"/>
      <c r="P1305" s="352"/>
      <c r="Q1305" s="352"/>
      <c r="R1305" s="352"/>
    </row>
    <row r="1306" ht="32.25" customHeight="1">
      <c r="A1306" s="58"/>
      <c r="B1306" s="149"/>
      <c r="C1306" s="58"/>
      <c r="D1306" s="58"/>
      <c r="E1306" s="58"/>
      <c r="F1306" s="58"/>
      <c r="G1306" s="58"/>
      <c r="H1306" s="373"/>
      <c r="I1306" s="352"/>
      <c r="J1306" s="352"/>
      <c r="K1306" s="352"/>
      <c r="L1306" s="352"/>
      <c r="M1306" s="352"/>
      <c r="N1306" s="352"/>
      <c r="O1306" s="352"/>
      <c r="P1306" s="352"/>
      <c r="Q1306" s="352"/>
      <c r="R1306" s="352"/>
    </row>
    <row r="1307" ht="32.25" customHeight="1">
      <c r="A1307" s="58"/>
      <c r="B1307" s="149"/>
      <c r="C1307" s="58"/>
      <c r="D1307" s="58"/>
      <c r="E1307" s="58"/>
      <c r="F1307" s="58"/>
      <c r="G1307" s="58"/>
      <c r="H1307" s="373"/>
      <c r="I1307" s="352"/>
      <c r="J1307" s="352"/>
      <c r="K1307" s="352"/>
      <c r="L1307" s="352"/>
      <c r="M1307" s="352"/>
      <c r="N1307" s="352"/>
      <c r="O1307" s="352"/>
      <c r="P1307" s="352"/>
      <c r="Q1307" s="352"/>
      <c r="R1307" s="352"/>
    </row>
    <row r="1308" ht="32.25" customHeight="1">
      <c r="A1308" s="58"/>
      <c r="B1308" s="149"/>
      <c r="C1308" s="58"/>
      <c r="D1308" s="58"/>
      <c r="E1308" s="58"/>
      <c r="F1308" s="58"/>
      <c r="G1308" s="58"/>
      <c r="H1308" s="373"/>
      <c r="I1308" s="352"/>
      <c r="J1308" s="352"/>
      <c r="K1308" s="352"/>
      <c r="L1308" s="352"/>
      <c r="M1308" s="352"/>
      <c r="N1308" s="352"/>
      <c r="O1308" s="352"/>
      <c r="P1308" s="352"/>
      <c r="Q1308" s="352"/>
      <c r="R1308" s="352"/>
    </row>
    <row r="1309" ht="32.25" customHeight="1">
      <c r="A1309" s="58"/>
      <c r="B1309" s="149"/>
      <c r="C1309" s="58"/>
      <c r="D1309" s="58"/>
      <c r="E1309" s="58"/>
      <c r="F1309" s="58"/>
      <c r="G1309" s="58"/>
      <c r="H1309" s="373"/>
      <c r="I1309" s="352"/>
      <c r="J1309" s="352"/>
      <c r="K1309" s="352"/>
      <c r="L1309" s="352"/>
      <c r="M1309" s="352"/>
      <c r="N1309" s="352"/>
      <c r="O1309" s="352"/>
      <c r="P1309" s="352"/>
      <c r="Q1309" s="352"/>
      <c r="R1309" s="352"/>
    </row>
    <row r="1310" ht="32.25" customHeight="1">
      <c r="A1310" s="58"/>
      <c r="B1310" s="149"/>
      <c r="C1310" s="58"/>
      <c r="D1310" s="58"/>
      <c r="E1310" s="58"/>
      <c r="F1310" s="58"/>
      <c r="G1310" s="58"/>
      <c r="H1310" s="373"/>
      <c r="I1310" s="352"/>
      <c r="J1310" s="352"/>
      <c r="K1310" s="352"/>
      <c r="L1310" s="352"/>
      <c r="M1310" s="352"/>
      <c r="N1310" s="352"/>
      <c r="O1310" s="352"/>
      <c r="P1310" s="352"/>
      <c r="Q1310" s="352"/>
      <c r="R1310" s="352"/>
    </row>
    <row r="1311" ht="32.25" customHeight="1">
      <c r="A1311" s="58"/>
      <c r="B1311" s="149"/>
      <c r="C1311" s="58"/>
      <c r="D1311" s="58"/>
      <c r="E1311" s="58"/>
      <c r="F1311" s="58"/>
      <c r="G1311" s="58"/>
      <c r="H1311" s="373"/>
      <c r="I1311" s="352"/>
      <c r="J1311" s="352"/>
      <c r="K1311" s="352"/>
      <c r="L1311" s="352"/>
      <c r="M1311" s="352"/>
      <c r="N1311" s="352"/>
      <c r="O1311" s="352"/>
      <c r="P1311" s="352"/>
      <c r="Q1311" s="352"/>
      <c r="R1311" s="352"/>
    </row>
    <row r="1312" ht="32.25" customHeight="1">
      <c r="A1312" s="58"/>
      <c r="B1312" s="149"/>
      <c r="C1312" s="58"/>
      <c r="D1312" s="58"/>
      <c r="E1312" s="58"/>
      <c r="F1312" s="58"/>
      <c r="G1312" s="58"/>
      <c r="H1312" s="373"/>
      <c r="I1312" s="352"/>
      <c r="J1312" s="352"/>
      <c r="K1312" s="352"/>
      <c r="L1312" s="352"/>
      <c r="M1312" s="352"/>
      <c r="N1312" s="352"/>
      <c r="O1312" s="352"/>
      <c r="P1312" s="352"/>
      <c r="Q1312" s="352"/>
      <c r="R1312" s="352"/>
    </row>
    <row r="1313" ht="32.25" customHeight="1">
      <c r="A1313" s="58"/>
      <c r="B1313" s="149"/>
      <c r="C1313" s="58"/>
      <c r="D1313" s="58"/>
      <c r="E1313" s="58"/>
      <c r="F1313" s="58"/>
      <c r="G1313" s="58"/>
      <c r="H1313" s="373"/>
      <c r="I1313" s="352"/>
      <c r="J1313" s="352"/>
      <c r="K1313" s="352"/>
      <c r="L1313" s="352"/>
      <c r="M1313" s="352"/>
      <c r="N1313" s="352"/>
      <c r="O1313" s="352"/>
      <c r="P1313" s="352"/>
      <c r="Q1313" s="352"/>
      <c r="R1313" s="352"/>
    </row>
    <row r="1314" ht="32.25" customHeight="1">
      <c r="A1314" s="58"/>
      <c r="B1314" s="149"/>
      <c r="C1314" s="58"/>
      <c r="D1314" s="58"/>
      <c r="E1314" s="58"/>
      <c r="F1314" s="58"/>
      <c r="G1314" s="58"/>
      <c r="H1314" s="373"/>
      <c r="I1314" s="352"/>
      <c r="J1314" s="352"/>
      <c r="K1314" s="352"/>
      <c r="L1314" s="352"/>
      <c r="M1314" s="352"/>
      <c r="N1314" s="352"/>
      <c r="O1314" s="352"/>
      <c r="P1314" s="352"/>
      <c r="Q1314" s="352"/>
      <c r="R1314" s="352"/>
    </row>
    <row r="1315" ht="32.25" customHeight="1">
      <c r="A1315" s="58"/>
      <c r="B1315" s="149"/>
      <c r="C1315" s="58"/>
      <c r="D1315" s="58"/>
      <c r="E1315" s="58"/>
      <c r="F1315" s="58"/>
      <c r="G1315" s="58"/>
      <c r="H1315" s="373"/>
      <c r="I1315" s="352"/>
      <c r="J1315" s="352"/>
      <c r="K1315" s="352"/>
      <c r="L1315" s="352"/>
      <c r="M1315" s="352"/>
      <c r="N1315" s="352"/>
      <c r="O1315" s="352"/>
      <c r="P1315" s="352"/>
      <c r="Q1315" s="352"/>
      <c r="R1315" s="352"/>
    </row>
    <row r="1316" ht="32.25" customHeight="1">
      <c r="A1316" s="58"/>
      <c r="B1316" s="149"/>
      <c r="C1316" s="58"/>
      <c r="D1316" s="58"/>
      <c r="E1316" s="58"/>
      <c r="F1316" s="58"/>
      <c r="G1316" s="58"/>
      <c r="H1316" s="373"/>
      <c r="I1316" s="352"/>
      <c r="J1316" s="352"/>
      <c r="K1316" s="352"/>
      <c r="L1316" s="352"/>
      <c r="M1316" s="352"/>
      <c r="N1316" s="352"/>
      <c r="O1316" s="352"/>
      <c r="P1316" s="352"/>
      <c r="Q1316" s="352"/>
      <c r="R1316" s="352"/>
    </row>
    <row r="1317" ht="32.25" customHeight="1">
      <c r="A1317" s="58"/>
      <c r="B1317" s="149"/>
      <c r="C1317" s="58"/>
      <c r="D1317" s="58"/>
      <c r="E1317" s="58"/>
      <c r="F1317" s="58"/>
      <c r="G1317" s="58"/>
      <c r="H1317" s="373"/>
      <c r="I1317" s="352"/>
      <c r="J1317" s="352"/>
      <c r="K1317" s="352"/>
      <c r="L1317" s="352"/>
      <c r="M1317" s="352"/>
      <c r="N1317" s="352"/>
      <c r="O1317" s="352"/>
      <c r="P1317" s="352"/>
      <c r="Q1317" s="352"/>
      <c r="R1317" s="352"/>
    </row>
    <row r="1318" ht="32.25" customHeight="1">
      <c r="A1318" s="58"/>
      <c r="B1318" s="149"/>
      <c r="C1318" s="58"/>
      <c r="D1318" s="58"/>
      <c r="E1318" s="58"/>
      <c r="F1318" s="58"/>
      <c r="G1318" s="58"/>
      <c r="H1318" s="373"/>
      <c r="I1318" s="352"/>
      <c r="J1318" s="352"/>
      <c r="K1318" s="352"/>
      <c r="L1318" s="352"/>
      <c r="M1318" s="352"/>
      <c r="N1318" s="352"/>
      <c r="O1318" s="352"/>
      <c r="P1318" s="352"/>
      <c r="Q1318" s="352"/>
      <c r="R1318" s="352"/>
    </row>
    <row r="1319" ht="32.25" customHeight="1">
      <c r="A1319" s="58"/>
      <c r="B1319" s="149"/>
      <c r="C1319" s="58"/>
      <c r="D1319" s="58"/>
      <c r="E1319" s="58"/>
      <c r="F1319" s="58"/>
      <c r="G1319" s="58"/>
      <c r="H1319" s="373"/>
      <c r="I1319" s="352"/>
      <c r="J1319" s="352"/>
      <c r="K1319" s="352"/>
      <c r="L1319" s="352"/>
      <c r="M1319" s="352"/>
      <c r="N1319" s="352"/>
      <c r="O1319" s="352"/>
      <c r="P1319" s="352"/>
      <c r="Q1319" s="352"/>
      <c r="R1319" s="352"/>
    </row>
    <row r="1320" ht="32.25" customHeight="1">
      <c r="A1320" s="58"/>
      <c r="B1320" s="149"/>
      <c r="C1320" s="58"/>
      <c r="D1320" s="58"/>
      <c r="E1320" s="58"/>
      <c r="F1320" s="58"/>
      <c r="G1320" s="58"/>
      <c r="H1320" s="373"/>
      <c r="I1320" s="352"/>
      <c r="J1320" s="352"/>
      <c r="K1320" s="352"/>
      <c r="L1320" s="352"/>
      <c r="M1320" s="352"/>
      <c r="N1320" s="352"/>
      <c r="O1320" s="352"/>
      <c r="P1320" s="352"/>
      <c r="Q1320" s="352"/>
      <c r="R1320" s="352"/>
    </row>
    <row r="1321" ht="32.25" customHeight="1">
      <c r="A1321" s="58"/>
      <c r="B1321" s="149"/>
      <c r="C1321" s="58"/>
      <c r="D1321" s="58"/>
      <c r="E1321" s="58"/>
      <c r="F1321" s="58"/>
      <c r="G1321" s="58"/>
      <c r="H1321" s="373"/>
      <c r="I1321" s="352"/>
      <c r="J1321" s="352"/>
      <c r="K1321" s="352"/>
      <c r="L1321" s="352"/>
      <c r="M1321" s="352"/>
      <c r="N1321" s="352"/>
      <c r="O1321" s="352"/>
      <c r="P1321" s="352"/>
      <c r="Q1321" s="352"/>
      <c r="R1321" s="352"/>
    </row>
    <row r="1322" ht="32.25" customHeight="1">
      <c r="A1322" s="58"/>
      <c r="B1322" s="149"/>
      <c r="C1322" s="58"/>
      <c r="D1322" s="58"/>
      <c r="E1322" s="58"/>
      <c r="F1322" s="58"/>
      <c r="G1322" s="58"/>
      <c r="H1322" s="373"/>
      <c r="I1322" s="352"/>
      <c r="J1322" s="352"/>
      <c r="K1322" s="352"/>
      <c r="L1322" s="352"/>
      <c r="M1322" s="352"/>
      <c r="N1322" s="352"/>
      <c r="O1322" s="352"/>
      <c r="P1322" s="352"/>
      <c r="Q1322" s="352"/>
      <c r="R1322" s="352"/>
    </row>
    <row r="1323" ht="32.25" customHeight="1">
      <c r="A1323" s="58"/>
      <c r="B1323" s="149"/>
      <c r="C1323" s="58"/>
      <c r="D1323" s="58"/>
      <c r="E1323" s="58"/>
      <c r="F1323" s="58"/>
      <c r="G1323" s="58"/>
      <c r="H1323" s="373"/>
      <c r="I1323" s="352"/>
      <c r="J1323" s="352"/>
      <c r="K1323" s="352"/>
      <c r="L1323" s="352"/>
      <c r="M1323" s="352"/>
      <c r="N1323" s="352"/>
      <c r="O1323" s="352"/>
      <c r="P1323" s="352"/>
      <c r="Q1323" s="352"/>
      <c r="R1323" s="352"/>
    </row>
    <row r="1324" ht="32.25" customHeight="1">
      <c r="A1324" s="58"/>
      <c r="B1324" s="149"/>
      <c r="C1324" s="58"/>
      <c r="D1324" s="58"/>
      <c r="E1324" s="58"/>
      <c r="F1324" s="58"/>
      <c r="G1324" s="58"/>
      <c r="H1324" s="373"/>
      <c r="I1324" s="352"/>
      <c r="J1324" s="352"/>
      <c r="K1324" s="352"/>
      <c r="L1324" s="352"/>
      <c r="M1324" s="352"/>
      <c r="N1324" s="352"/>
      <c r="O1324" s="352"/>
      <c r="P1324" s="352"/>
      <c r="Q1324" s="352"/>
      <c r="R1324" s="352"/>
    </row>
    <row r="1325" ht="32.25" customHeight="1">
      <c r="A1325" s="58"/>
      <c r="B1325" s="149"/>
      <c r="C1325" s="58"/>
      <c r="D1325" s="58"/>
      <c r="E1325" s="58"/>
      <c r="F1325" s="58"/>
      <c r="G1325" s="58"/>
      <c r="H1325" s="373"/>
      <c r="I1325" s="352"/>
      <c r="J1325" s="352"/>
      <c r="K1325" s="352"/>
      <c r="L1325" s="352"/>
      <c r="M1325" s="352"/>
      <c r="N1325" s="352"/>
      <c r="O1325" s="352"/>
      <c r="P1325" s="352"/>
      <c r="Q1325" s="352"/>
      <c r="R1325" s="352"/>
    </row>
    <row r="1326" ht="32.25" customHeight="1">
      <c r="A1326" s="58"/>
      <c r="B1326" s="149"/>
      <c r="C1326" s="58"/>
      <c r="D1326" s="58"/>
      <c r="E1326" s="58"/>
      <c r="F1326" s="58"/>
      <c r="G1326" s="58"/>
      <c r="H1326" s="373"/>
      <c r="I1326" s="352"/>
      <c r="J1326" s="352"/>
      <c r="K1326" s="352"/>
      <c r="L1326" s="352"/>
      <c r="M1326" s="352"/>
      <c r="N1326" s="352"/>
      <c r="O1326" s="352"/>
      <c r="P1326" s="352"/>
      <c r="Q1326" s="352"/>
      <c r="R1326" s="352"/>
    </row>
    <row r="1327" ht="32.25" customHeight="1">
      <c r="A1327" s="58"/>
      <c r="B1327" s="149"/>
      <c r="C1327" s="58"/>
      <c r="D1327" s="58"/>
      <c r="E1327" s="58"/>
      <c r="F1327" s="58"/>
      <c r="G1327" s="58"/>
      <c r="H1327" s="373"/>
      <c r="I1327" s="352"/>
      <c r="J1327" s="352"/>
      <c r="K1327" s="352"/>
      <c r="L1327" s="352"/>
      <c r="M1327" s="352"/>
      <c r="N1327" s="352"/>
      <c r="O1327" s="352"/>
      <c r="P1327" s="352"/>
      <c r="Q1327" s="352"/>
      <c r="R1327" s="352"/>
    </row>
    <row r="1328" ht="32.25" customHeight="1">
      <c r="A1328" s="58"/>
      <c r="B1328" s="149"/>
      <c r="C1328" s="58"/>
      <c r="D1328" s="58"/>
      <c r="E1328" s="58"/>
      <c r="F1328" s="58"/>
      <c r="G1328" s="58"/>
      <c r="H1328" s="373"/>
      <c r="I1328" s="352"/>
      <c r="J1328" s="352"/>
      <c r="K1328" s="352"/>
      <c r="L1328" s="352"/>
      <c r="M1328" s="352"/>
      <c r="N1328" s="352"/>
      <c r="O1328" s="352"/>
      <c r="P1328" s="352"/>
      <c r="Q1328" s="352"/>
      <c r="R1328" s="352"/>
    </row>
    <row r="1329" ht="32.25" customHeight="1">
      <c r="A1329" s="58"/>
      <c r="B1329" s="149"/>
      <c r="C1329" s="58"/>
      <c r="D1329" s="58"/>
      <c r="E1329" s="58"/>
      <c r="F1329" s="58"/>
      <c r="G1329" s="58"/>
      <c r="H1329" s="373"/>
      <c r="I1329" s="352"/>
      <c r="J1329" s="352"/>
      <c r="K1329" s="352"/>
      <c r="L1329" s="352"/>
      <c r="M1329" s="352"/>
      <c r="N1329" s="352"/>
      <c r="O1329" s="352"/>
      <c r="P1329" s="352"/>
      <c r="Q1329" s="352"/>
      <c r="R1329" s="352"/>
    </row>
    <row r="1330" ht="32.25" customHeight="1">
      <c r="A1330" s="58"/>
      <c r="B1330" s="149"/>
      <c r="C1330" s="58"/>
      <c r="D1330" s="58"/>
      <c r="E1330" s="58"/>
      <c r="F1330" s="58"/>
      <c r="G1330" s="58"/>
      <c r="H1330" s="373"/>
      <c r="I1330" s="352"/>
      <c r="J1330" s="352"/>
      <c r="K1330" s="352"/>
      <c r="L1330" s="352"/>
      <c r="M1330" s="352"/>
      <c r="N1330" s="352"/>
      <c r="O1330" s="352"/>
      <c r="P1330" s="352"/>
      <c r="Q1330" s="352"/>
      <c r="R1330" s="352"/>
    </row>
    <row r="1331" ht="32.25" customHeight="1">
      <c r="A1331" s="58"/>
      <c r="B1331" s="149"/>
      <c r="C1331" s="58"/>
      <c r="D1331" s="58"/>
      <c r="E1331" s="58"/>
      <c r="F1331" s="58"/>
      <c r="G1331" s="58"/>
      <c r="H1331" s="373"/>
      <c r="I1331" s="352"/>
      <c r="J1331" s="352"/>
      <c r="K1331" s="352"/>
      <c r="L1331" s="352"/>
      <c r="M1331" s="352"/>
      <c r="N1331" s="352"/>
      <c r="O1331" s="352"/>
      <c r="P1331" s="352"/>
      <c r="Q1331" s="352"/>
      <c r="R1331" s="352"/>
    </row>
    <row r="1332" ht="32.25" customHeight="1">
      <c r="A1332" s="58"/>
      <c r="B1332" s="149"/>
      <c r="C1332" s="58"/>
      <c r="D1332" s="58"/>
      <c r="E1332" s="58"/>
      <c r="F1332" s="58"/>
      <c r="G1332" s="58"/>
      <c r="H1332" s="373"/>
      <c r="I1332" s="352"/>
      <c r="J1332" s="352"/>
      <c r="K1332" s="352"/>
      <c r="L1332" s="352"/>
      <c r="M1332" s="352"/>
      <c r="N1332" s="352"/>
      <c r="O1332" s="352"/>
      <c r="P1332" s="352"/>
      <c r="Q1332" s="352"/>
      <c r="R1332" s="352"/>
    </row>
    <row r="1333" ht="32.25" customHeight="1">
      <c r="A1333" s="58"/>
      <c r="B1333" s="149"/>
      <c r="C1333" s="58"/>
      <c r="D1333" s="58"/>
      <c r="E1333" s="58"/>
      <c r="F1333" s="58"/>
      <c r="G1333" s="58"/>
      <c r="H1333" s="373"/>
      <c r="I1333" s="352"/>
      <c r="J1333" s="352"/>
      <c r="K1333" s="352"/>
      <c r="L1333" s="352"/>
      <c r="M1333" s="352"/>
      <c r="N1333" s="352"/>
      <c r="O1333" s="352"/>
      <c r="P1333" s="352"/>
      <c r="Q1333" s="352"/>
      <c r="R1333" s="352"/>
    </row>
    <row r="1334" ht="32.25" customHeight="1">
      <c r="A1334" s="58"/>
      <c r="B1334" s="149"/>
      <c r="C1334" s="58"/>
      <c r="D1334" s="58"/>
      <c r="E1334" s="58"/>
      <c r="F1334" s="58"/>
      <c r="G1334" s="58"/>
      <c r="H1334" s="373"/>
      <c r="I1334" s="352"/>
      <c r="J1334" s="352"/>
      <c r="K1334" s="352"/>
      <c r="L1334" s="352"/>
      <c r="M1334" s="352"/>
      <c r="N1334" s="352"/>
      <c r="O1334" s="352"/>
      <c r="P1334" s="352"/>
      <c r="Q1334" s="352"/>
      <c r="R1334" s="352"/>
    </row>
    <row r="1335" ht="32.25" customHeight="1">
      <c r="A1335" s="58"/>
      <c r="B1335" s="149"/>
      <c r="C1335" s="58"/>
      <c r="D1335" s="58"/>
      <c r="E1335" s="58"/>
      <c r="F1335" s="58"/>
      <c r="G1335" s="58"/>
      <c r="H1335" s="373"/>
      <c r="I1335" s="352"/>
      <c r="J1335" s="352"/>
      <c r="K1335" s="352"/>
      <c r="L1335" s="352"/>
      <c r="M1335" s="352"/>
      <c r="N1335" s="352"/>
      <c r="O1335" s="352"/>
      <c r="P1335" s="352"/>
      <c r="Q1335" s="352"/>
      <c r="R1335" s="352"/>
    </row>
    <row r="1336" ht="32.25" customHeight="1">
      <c r="A1336" s="58"/>
      <c r="B1336" s="149"/>
      <c r="C1336" s="58"/>
      <c r="D1336" s="58"/>
      <c r="E1336" s="58"/>
      <c r="F1336" s="58"/>
      <c r="G1336" s="58"/>
      <c r="H1336" s="373"/>
      <c r="I1336" s="352"/>
      <c r="J1336" s="352"/>
      <c r="K1336" s="352"/>
      <c r="L1336" s="352"/>
      <c r="M1336" s="352"/>
      <c r="N1336" s="352"/>
      <c r="O1336" s="352"/>
      <c r="P1336" s="352"/>
      <c r="Q1336" s="352"/>
      <c r="R1336" s="352"/>
    </row>
    <row r="1337" ht="32.25" customHeight="1">
      <c r="A1337" s="58"/>
      <c r="B1337" s="149"/>
      <c r="C1337" s="58"/>
      <c r="D1337" s="58"/>
      <c r="E1337" s="58"/>
      <c r="F1337" s="58"/>
      <c r="G1337" s="58"/>
      <c r="H1337" s="373"/>
      <c r="I1337" s="352"/>
      <c r="J1337" s="352"/>
      <c r="K1337" s="352"/>
      <c r="L1337" s="352"/>
      <c r="M1337" s="352"/>
      <c r="N1337" s="352"/>
      <c r="O1337" s="352"/>
      <c r="P1337" s="352"/>
      <c r="Q1337" s="352"/>
      <c r="R1337" s="352"/>
    </row>
    <row r="1338" ht="32.25" customHeight="1">
      <c r="A1338" s="58"/>
      <c r="B1338" s="149"/>
      <c r="C1338" s="58"/>
      <c r="D1338" s="58"/>
      <c r="E1338" s="58"/>
      <c r="F1338" s="58"/>
      <c r="G1338" s="58"/>
      <c r="H1338" s="373"/>
      <c r="I1338" s="352"/>
      <c r="J1338" s="352"/>
      <c r="K1338" s="352"/>
      <c r="L1338" s="352"/>
      <c r="M1338" s="352"/>
      <c r="N1338" s="352"/>
      <c r="O1338" s="352"/>
      <c r="P1338" s="352"/>
      <c r="Q1338" s="352"/>
      <c r="R1338" s="352"/>
    </row>
    <row r="1339" ht="32.25" customHeight="1">
      <c r="A1339" s="58"/>
      <c r="B1339" s="149"/>
      <c r="C1339" s="58"/>
      <c r="D1339" s="58"/>
      <c r="E1339" s="58"/>
      <c r="F1339" s="58"/>
      <c r="G1339" s="58"/>
      <c r="H1339" s="373"/>
      <c r="I1339" s="352"/>
      <c r="J1339" s="352"/>
      <c r="K1339" s="352"/>
      <c r="L1339" s="352"/>
      <c r="M1339" s="352"/>
      <c r="N1339" s="352"/>
      <c r="O1339" s="352"/>
      <c r="P1339" s="352"/>
      <c r="Q1339" s="352"/>
      <c r="R1339" s="352"/>
    </row>
    <row r="1340" ht="32.25" customHeight="1">
      <c r="A1340" s="58"/>
      <c r="B1340" s="149"/>
      <c r="C1340" s="58"/>
      <c r="D1340" s="58"/>
      <c r="E1340" s="58"/>
      <c r="F1340" s="58"/>
      <c r="G1340" s="58"/>
      <c r="H1340" s="373"/>
      <c r="I1340" s="352"/>
      <c r="J1340" s="352"/>
      <c r="K1340" s="352"/>
      <c r="L1340" s="352"/>
      <c r="M1340" s="352"/>
      <c r="N1340" s="352"/>
      <c r="O1340" s="352"/>
      <c r="P1340" s="352"/>
      <c r="Q1340" s="352"/>
      <c r="R1340" s="352"/>
    </row>
    <row r="1341" ht="32.25" customHeight="1">
      <c r="A1341" s="58"/>
      <c r="B1341" s="149"/>
      <c r="C1341" s="58"/>
      <c r="D1341" s="58"/>
      <c r="E1341" s="58"/>
      <c r="F1341" s="58"/>
      <c r="G1341" s="58"/>
      <c r="H1341" s="373"/>
      <c r="I1341" s="352"/>
      <c r="J1341" s="352"/>
      <c r="K1341" s="352"/>
      <c r="L1341" s="352"/>
      <c r="M1341" s="352"/>
      <c r="N1341" s="352"/>
      <c r="O1341" s="352"/>
      <c r="P1341" s="352"/>
      <c r="Q1341" s="352"/>
      <c r="R1341" s="352"/>
    </row>
    <row r="1342" ht="32.25" customHeight="1">
      <c r="A1342" s="58"/>
      <c r="B1342" s="149"/>
      <c r="C1342" s="58"/>
      <c r="D1342" s="58"/>
      <c r="E1342" s="58"/>
      <c r="F1342" s="58"/>
      <c r="G1342" s="58"/>
      <c r="H1342" s="373"/>
      <c r="I1342" s="352"/>
      <c r="J1342" s="352"/>
      <c r="K1342" s="352"/>
      <c r="L1342" s="352"/>
      <c r="M1342" s="352"/>
      <c r="N1342" s="352"/>
      <c r="O1342" s="352"/>
      <c r="P1342" s="352"/>
      <c r="Q1342" s="352"/>
      <c r="R1342" s="352"/>
    </row>
    <row r="1343" ht="32.25" customHeight="1">
      <c r="A1343" s="58"/>
      <c r="B1343" s="149"/>
      <c r="C1343" s="58"/>
      <c r="D1343" s="58"/>
      <c r="E1343" s="58"/>
      <c r="F1343" s="58"/>
      <c r="G1343" s="58"/>
      <c r="H1343" s="373"/>
      <c r="I1343" s="352"/>
      <c r="J1343" s="352"/>
      <c r="K1343" s="352"/>
      <c r="L1343" s="352"/>
      <c r="M1343" s="352"/>
      <c r="N1343" s="352"/>
      <c r="O1343" s="352"/>
      <c r="P1343" s="352"/>
      <c r="Q1343" s="352"/>
      <c r="R1343" s="352"/>
    </row>
    <row r="1344" ht="32.25" customHeight="1">
      <c r="A1344" s="58"/>
      <c r="B1344" s="149"/>
      <c r="C1344" s="58"/>
      <c r="D1344" s="58"/>
      <c r="E1344" s="58"/>
      <c r="F1344" s="58"/>
      <c r="G1344" s="58"/>
      <c r="H1344" s="373"/>
      <c r="I1344" s="352"/>
      <c r="J1344" s="352"/>
      <c r="K1344" s="352"/>
      <c r="L1344" s="352"/>
      <c r="M1344" s="352"/>
      <c r="N1344" s="352"/>
      <c r="O1344" s="352"/>
      <c r="P1344" s="352"/>
      <c r="Q1344" s="352"/>
      <c r="R1344" s="352"/>
    </row>
    <row r="1345" ht="32.25" customHeight="1">
      <c r="A1345" s="58"/>
      <c r="B1345" s="149"/>
      <c r="C1345" s="58"/>
      <c r="D1345" s="58"/>
      <c r="E1345" s="58"/>
      <c r="F1345" s="58"/>
      <c r="G1345" s="58"/>
      <c r="H1345" s="373"/>
      <c r="I1345" s="352"/>
      <c r="J1345" s="352"/>
      <c r="K1345" s="352"/>
      <c r="L1345" s="352"/>
      <c r="M1345" s="352"/>
      <c r="N1345" s="352"/>
      <c r="O1345" s="352"/>
      <c r="P1345" s="352"/>
      <c r="Q1345" s="352"/>
      <c r="R1345" s="352"/>
    </row>
    <row r="1346" ht="32.25" customHeight="1">
      <c r="A1346" s="58"/>
      <c r="B1346" s="149"/>
      <c r="C1346" s="58"/>
      <c r="D1346" s="58"/>
      <c r="E1346" s="58"/>
      <c r="F1346" s="58"/>
      <c r="G1346" s="58"/>
      <c r="H1346" s="373"/>
      <c r="I1346" s="352"/>
      <c r="J1346" s="352"/>
      <c r="K1346" s="352"/>
      <c r="L1346" s="352"/>
      <c r="M1346" s="352"/>
      <c r="N1346" s="352"/>
      <c r="O1346" s="352"/>
      <c r="P1346" s="352"/>
      <c r="Q1346" s="352"/>
      <c r="R1346" s="352"/>
    </row>
    <row r="1347" ht="32.25" customHeight="1">
      <c r="A1347" s="58"/>
      <c r="B1347" s="149"/>
      <c r="C1347" s="58"/>
      <c r="D1347" s="58"/>
      <c r="E1347" s="58"/>
      <c r="F1347" s="58"/>
      <c r="G1347" s="58"/>
      <c r="H1347" s="373"/>
      <c r="I1347" s="352"/>
      <c r="J1347" s="352"/>
      <c r="K1347" s="352"/>
      <c r="L1347" s="352"/>
      <c r="M1347" s="352"/>
      <c r="N1347" s="352"/>
      <c r="O1347" s="352"/>
      <c r="P1347" s="352"/>
      <c r="Q1347" s="352"/>
      <c r="R1347" s="352"/>
    </row>
    <row r="1348" ht="32.25" customHeight="1">
      <c r="A1348" s="58"/>
      <c r="B1348" s="149"/>
      <c r="C1348" s="58"/>
      <c r="D1348" s="58"/>
      <c r="E1348" s="58"/>
      <c r="F1348" s="58"/>
      <c r="G1348" s="58"/>
      <c r="H1348" s="373"/>
      <c r="I1348" s="352"/>
      <c r="J1348" s="352"/>
      <c r="K1348" s="352"/>
      <c r="L1348" s="352"/>
      <c r="M1348" s="352"/>
      <c r="N1348" s="352"/>
      <c r="O1348" s="352"/>
      <c r="P1348" s="352"/>
      <c r="Q1348" s="352"/>
      <c r="R1348" s="352"/>
    </row>
    <row r="1349" ht="32.25" customHeight="1">
      <c r="A1349" s="58"/>
      <c r="B1349" s="149"/>
      <c r="C1349" s="58"/>
      <c r="D1349" s="58"/>
      <c r="E1349" s="58"/>
      <c r="F1349" s="58"/>
      <c r="G1349" s="58"/>
      <c r="H1349" s="373"/>
      <c r="I1349" s="352"/>
      <c r="J1349" s="352"/>
      <c r="K1349" s="352"/>
      <c r="L1349" s="352"/>
      <c r="M1349" s="352"/>
      <c r="N1349" s="352"/>
      <c r="O1349" s="352"/>
      <c r="P1349" s="352"/>
      <c r="Q1349" s="352"/>
      <c r="R1349" s="352"/>
    </row>
    <row r="1350" ht="32.25" customHeight="1">
      <c r="A1350" s="58"/>
      <c r="B1350" s="149"/>
      <c r="C1350" s="58"/>
      <c r="D1350" s="58"/>
      <c r="E1350" s="58"/>
      <c r="F1350" s="58"/>
      <c r="G1350" s="58"/>
      <c r="H1350" s="373"/>
      <c r="I1350" s="352"/>
      <c r="J1350" s="352"/>
      <c r="K1350" s="352"/>
      <c r="L1350" s="352"/>
      <c r="M1350" s="352"/>
      <c r="N1350" s="352"/>
      <c r="O1350" s="352"/>
      <c r="P1350" s="352"/>
      <c r="Q1350" s="352"/>
      <c r="R1350" s="352"/>
    </row>
    <row r="1351" ht="32.25" customHeight="1">
      <c r="A1351" s="58"/>
      <c r="B1351" s="149"/>
      <c r="C1351" s="58"/>
      <c r="D1351" s="58"/>
      <c r="E1351" s="58"/>
      <c r="F1351" s="58"/>
      <c r="G1351" s="58"/>
      <c r="H1351" s="373"/>
      <c r="I1351" s="352"/>
      <c r="J1351" s="352"/>
      <c r="K1351" s="352"/>
      <c r="L1351" s="352"/>
      <c r="M1351" s="352"/>
      <c r="N1351" s="352"/>
      <c r="O1351" s="352"/>
      <c r="P1351" s="352"/>
      <c r="Q1351" s="352"/>
      <c r="R1351" s="352"/>
    </row>
    <row r="1352" ht="32.25" customHeight="1">
      <c r="A1352" s="58"/>
      <c r="B1352" s="149"/>
      <c r="C1352" s="58"/>
      <c r="D1352" s="58"/>
      <c r="E1352" s="58"/>
      <c r="F1352" s="58"/>
      <c r="G1352" s="58"/>
      <c r="H1352" s="373"/>
      <c r="I1352" s="352"/>
      <c r="J1352" s="352"/>
      <c r="K1352" s="352"/>
      <c r="L1352" s="352"/>
      <c r="M1352" s="352"/>
      <c r="N1352" s="352"/>
      <c r="O1352" s="352"/>
      <c r="P1352" s="352"/>
      <c r="Q1352" s="352"/>
      <c r="R1352" s="352"/>
    </row>
    <row r="1353" ht="32.25" customHeight="1">
      <c r="A1353" s="58"/>
      <c r="B1353" s="149"/>
      <c r="C1353" s="58"/>
      <c r="D1353" s="58"/>
      <c r="E1353" s="58"/>
      <c r="F1353" s="58"/>
      <c r="G1353" s="58"/>
      <c r="H1353" s="373"/>
      <c r="I1353" s="352"/>
      <c r="J1353" s="352"/>
      <c r="K1353" s="352"/>
      <c r="L1353" s="352"/>
      <c r="M1353" s="352"/>
      <c r="N1353" s="352"/>
      <c r="O1353" s="352"/>
      <c r="P1353" s="352"/>
      <c r="Q1353" s="352"/>
      <c r="R1353" s="352"/>
    </row>
    <row r="1354" ht="32.25" customHeight="1">
      <c r="A1354" s="58"/>
      <c r="B1354" s="149"/>
      <c r="C1354" s="58"/>
      <c r="D1354" s="58"/>
      <c r="E1354" s="58"/>
      <c r="F1354" s="58"/>
      <c r="G1354" s="58"/>
      <c r="H1354" s="373"/>
      <c r="I1354" s="352"/>
      <c r="J1354" s="352"/>
      <c r="K1354" s="352"/>
      <c r="L1354" s="352"/>
      <c r="M1354" s="352"/>
      <c r="N1354" s="352"/>
      <c r="O1354" s="352"/>
      <c r="P1354" s="352"/>
      <c r="Q1354" s="352"/>
      <c r="R1354" s="352"/>
    </row>
    <row r="1355" ht="32.25" customHeight="1">
      <c r="A1355" s="58"/>
      <c r="B1355" s="149"/>
      <c r="C1355" s="58"/>
      <c r="D1355" s="58"/>
      <c r="E1355" s="58"/>
      <c r="F1355" s="58"/>
      <c r="G1355" s="58"/>
      <c r="H1355" s="373"/>
      <c r="I1355" s="352"/>
      <c r="J1355" s="352"/>
      <c r="K1355" s="352"/>
      <c r="L1355" s="352"/>
      <c r="M1355" s="352"/>
      <c r="N1355" s="352"/>
      <c r="O1355" s="352"/>
      <c r="P1355" s="352"/>
      <c r="Q1355" s="352"/>
      <c r="R1355" s="352"/>
    </row>
    <row r="1356" ht="32.25" customHeight="1">
      <c r="A1356" s="58"/>
      <c r="B1356" s="149"/>
      <c r="C1356" s="58"/>
      <c r="D1356" s="58"/>
      <c r="E1356" s="58"/>
      <c r="F1356" s="58"/>
      <c r="G1356" s="58"/>
      <c r="H1356" s="373"/>
      <c r="I1356" s="352"/>
      <c r="J1356" s="352"/>
      <c r="K1356" s="352"/>
      <c r="L1356" s="352"/>
      <c r="M1356" s="352"/>
      <c r="N1356" s="352"/>
      <c r="O1356" s="352"/>
      <c r="P1356" s="352"/>
      <c r="Q1356" s="352"/>
      <c r="R1356" s="352"/>
    </row>
    <row r="1357" ht="32.25" customHeight="1">
      <c r="A1357" s="58"/>
      <c r="B1357" s="149"/>
      <c r="C1357" s="58"/>
      <c r="D1357" s="58"/>
      <c r="E1357" s="58"/>
      <c r="F1357" s="58"/>
      <c r="G1357" s="58"/>
      <c r="H1357" s="373"/>
      <c r="I1357" s="352"/>
      <c r="J1357" s="352"/>
      <c r="K1357" s="352"/>
      <c r="L1357" s="352"/>
      <c r="M1357" s="352"/>
      <c r="N1357" s="352"/>
      <c r="O1357" s="352"/>
      <c r="P1357" s="352"/>
      <c r="Q1357" s="352"/>
      <c r="R1357" s="352"/>
    </row>
    <row r="1358" ht="32.25" customHeight="1">
      <c r="A1358" s="58"/>
      <c r="B1358" s="149"/>
      <c r="C1358" s="58"/>
      <c r="D1358" s="58"/>
      <c r="E1358" s="58"/>
      <c r="F1358" s="58"/>
      <c r="G1358" s="58"/>
      <c r="H1358" s="373"/>
      <c r="I1358" s="352"/>
      <c r="J1358" s="352"/>
      <c r="K1358" s="352"/>
      <c r="L1358" s="352"/>
      <c r="M1358" s="352"/>
      <c r="N1358" s="352"/>
      <c r="O1358" s="352"/>
      <c r="P1358" s="352"/>
      <c r="Q1358" s="352"/>
      <c r="R1358" s="352"/>
    </row>
  </sheetData>
  <mergeCells count="1">
    <mergeCell ref="F128:G128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2" max="2" width="17.71"/>
    <col customWidth="1" min="3" max="3" width="16.71"/>
    <col customWidth="1" min="4" max="4" width="17.29"/>
    <col customWidth="1" min="5" max="5" width="27.57"/>
    <col customWidth="1" min="6" max="6" width="32.14"/>
    <col customWidth="1" min="7" max="7" width="29.29"/>
  </cols>
  <sheetData>
    <row r="1">
      <c r="A1" s="121"/>
      <c r="B1" s="121"/>
      <c r="C1" s="121"/>
      <c r="D1" s="121"/>
      <c r="E1" s="121"/>
      <c r="F1" s="121"/>
      <c r="G1" s="121"/>
    </row>
    <row r="2">
      <c r="A2" s="121"/>
      <c r="B2" s="121"/>
      <c r="C2" s="121"/>
      <c r="D2" s="121"/>
      <c r="E2" s="121"/>
      <c r="F2" s="121"/>
      <c r="G2" s="121"/>
    </row>
    <row r="3">
      <c r="A3" s="121"/>
      <c r="B3" s="121"/>
      <c r="C3" s="121"/>
      <c r="D3" s="121"/>
      <c r="E3" s="121"/>
      <c r="F3" s="121"/>
      <c r="G3" s="121"/>
    </row>
    <row r="4">
      <c r="A4" s="121"/>
      <c r="B4" s="121"/>
      <c r="C4" s="121"/>
      <c r="D4" s="121"/>
      <c r="E4" s="121"/>
      <c r="F4" s="121"/>
      <c r="G4" s="121"/>
    </row>
    <row r="5">
      <c r="A5" s="402"/>
      <c r="B5" s="402"/>
      <c r="C5" s="402"/>
      <c r="D5" s="402"/>
      <c r="E5" s="402"/>
      <c r="F5" s="402"/>
      <c r="G5" s="402"/>
    </row>
    <row r="6">
      <c r="A6" s="402"/>
      <c r="B6" s="402"/>
      <c r="C6" s="402"/>
      <c r="D6" s="402"/>
      <c r="E6" s="402"/>
      <c r="F6" s="402"/>
      <c r="G6" s="402"/>
    </row>
    <row r="7">
      <c r="A7" s="121"/>
      <c r="B7" s="403">
        <v>46083.0</v>
      </c>
      <c r="C7" s="121"/>
      <c r="D7" s="121"/>
      <c r="E7" s="128" t="s">
        <v>2189</v>
      </c>
      <c r="F7" s="128" t="s">
        <v>2190</v>
      </c>
      <c r="G7" s="128" t="s">
        <v>140</v>
      </c>
    </row>
    <row r="8">
      <c r="A8" s="121"/>
      <c r="B8" s="121"/>
      <c r="C8" s="121"/>
      <c r="D8" s="121"/>
      <c r="E8" s="128" t="s">
        <v>140</v>
      </c>
      <c r="F8" s="128" t="s">
        <v>2191</v>
      </c>
      <c r="G8" s="121"/>
    </row>
    <row r="9">
      <c r="A9" s="121"/>
      <c r="B9" s="121"/>
      <c r="C9" s="121"/>
      <c r="D9" s="121"/>
      <c r="E9" s="128" t="s">
        <v>36</v>
      </c>
      <c r="F9" s="128" t="s">
        <v>2192</v>
      </c>
      <c r="G9" s="404">
        <v>70.0</v>
      </c>
    </row>
    <row r="10">
      <c r="A10" s="121"/>
      <c r="B10" s="121"/>
      <c r="C10" s="121"/>
      <c r="D10" s="121"/>
      <c r="E10" s="128" t="s">
        <v>36</v>
      </c>
      <c r="F10" s="128" t="s">
        <v>2193</v>
      </c>
      <c r="G10" s="404">
        <v>50.0</v>
      </c>
    </row>
    <row r="11">
      <c r="A11" s="121"/>
      <c r="B11" s="121"/>
      <c r="C11" s="121"/>
      <c r="D11" s="121"/>
      <c r="E11" s="121"/>
      <c r="F11" s="121"/>
      <c r="G11" s="121"/>
    </row>
    <row r="12">
      <c r="A12" s="121"/>
      <c r="B12" s="121"/>
      <c r="C12" s="121"/>
      <c r="D12" s="121"/>
      <c r="E12" s="121"/>
      <c r="F12" s="121"/>
      <c r="G12" s="121"/>
    </row>
    <row r="13">
      <c r="A13" s="121"/>
      <c r="B13" s="121"/>
      <c r="C13" s="121"/>
      <c r="D13" s="121"/>
      <c r="E13" s="128" t="s">
        <v>2194</v>
      </c>
      <c r="F13" s="121"/>
      <c r="G13" s="121"/>
    </row>
    <row r="14">
      <c r="A14" s="121"/>
      <c r="B14" s="121"/>
      <c r="C14" s="121"/>
      <c r="D14" s="121"/>
      <c r="E14" s="128" t="s">
        <v>2195</v>
      </c>
      <c r="F14" s="121"/>
      <c r="G14" s="121"/>
    </row>
    <row r="15">
      <c r="A15" s="121"/>
      <c r="B15" s="121"/>
      <c r="C15" s="121"/>
      <c r="D15" s="121"/>
      <c r="E15" s="128" t="s">
        <v>2196</v>
      </c>
      <c r="F15" s="121"/>
      <c r="G15" s="121"/>
    </row>
    <row r="16">
      <c r="A16" s="121"/>
      <c r="B16" s="121"/>
      <c r="C16" s="121"/>
      <c r="D16" s="121"/>
      <c r="E16" s="121"/>
      <c r="F16" s="121"/>
      <c r="G16" s="121"/>
    </row>
    <row r="17">
      <c r="A17" s="121"/>
      <c r="B17" s="121"/>
      <c r="C17" s="121"/>
      <c r="D17" s="121"/>
      <c r="E17" s="121"/>
      <c r="F17" s="121"/>
      <c r="G17" s="121"/>
    </row>
    <row r="18">
      <c r="A18" s="121"/>
      <c r="B18" s="121"/>
      <c r="C18" s="121"/>
      <c r="D18" s="121"/>
      <c r="E18" s="121"/>
      <c r="F18" s="121"/>
      <c r="G18" s="121"/>
    </row>
    <row r="19">
      <c r="A19" s="121"/>
      <c r="B19" s="121"/>
      <c r="C19" s="121"/>
      <c r="D19" s="121"/>
      <c r="E19" s="121"/>
      <c r="F19" s="121"/>
      <c r="G19" s="121"/>
    </row>
    <row r="20">
      <c r="A20" s="405"/>
      <c r="B20" s="405"/>
      <c r="C20" s="405"/>
      <c r="D20" s="405"/>
      <c r="E20" s="405"/>
      <c r="F20" s="405"/>
      <c r="G20" s="405"/>
    </row>
    <row r="21">
      <c r="A21" s="121"/>
      <c r="B21" s="121"/>
      <c r="C21" s="121"/>
      <c r="D21" s="121"/>
      <c r="E21" s="121"/>
      <c r="F21" s="121"/>
      <c r="G21" s="121"/>
    </row>
    <row r="22">
      <c r="A22" s="121"/>
      <c r="B22" s="121"/>
      <c r="C22" s="121"/>
      <c r="D22" s="121"/>
      <c r="E22" s="121"/>
      <c r="F22" s="121"/>
      <c r="G22" s="121"/>
    </row>
    <row r="23">
      <c r="A23" s="121"/>
      <c r="B23" s="121"/>
      <c r="C23" s="121"/>
      <c r="D23" s="121"/>
      <c r="E23" s="121"/>
      <c r="F23" s="121"/>
      <c r="G23" s="121"/>
    </row>
    <row r="24">
      <c r="A24" s="102" t="s">
        <v>4</v>
      </c>
      <c r="B24" s="102" t="s">
        <v>5</v>
      </c>
      <c r="C24" s="102" t="s">
        <v>126</v>
      </c>
      <c r="D24" s="102" t="s">
        <v>6</v>
      </c>
      <c r="E24" s="102" t="s">
        <v>7</v>
      </c>
      <c r="F24" s="102" t="s">
        <v>127</v>
      </c>
      <c r="G24" s="103" t="s">
        <v>128</v>
      </c>
    </row>
    <row r="25">
      <c r="A25" s="104">
        <v>1.0</v>
      </c>
      <c r="B25" s="406">
        <v>46085.0</v>
      </c>
      <c r="C25" s="106" t="s">
        <v>192</v>
      </c>
      <c r="D25" s="107" t="s">
        <v>2197</v>
      </c>
      <c r="E25" s="128" t="s">
        <v>2198</v>
      </c>
      <c r="F25" s="128" t="s">
        <v>2199</v>
      </c>
      <c r="G25" s="404" t="s">
        <v>2200</v>
      </c>
    </row>
    <row r="26">
      <c r="A26" s="104">
        <v>2.0</v>
      </c>
      <c r="B26" s="120"/>
      <c r="C26" s="110"/>
      <c r="D26" s="107"/>
      <c r="E26" s="128" t="s">
        <v>2201</v>
      </c>
      <c r="F26" s="404">
        <v>35.0</v>
      </c>
      <c r="G26" s="121"/>
    </row>
    <row r="27">
      <c r="A27" s="104">
        <v>3.0</v>
      </c>
      <c r="B27" s="120"/>
      <c r="C27" s="110"/>
      <c r="D27" s="107"/>
      <c r="E27" s="128" t="s">
        <v>196</v>
      </c>
      <c r="F27" s="404">
        <v>35.0</v>
      </c>
      <c r="G27" s="121"/>
    </row>
    <row r="28">
      <c r="A28" s="104">
        <v>4.0</v>
      </c>
      <c r="B28" s="120"/>
      <c r="C28" s="110"/>
      <c r="D28" s="107"/>
      <c r="E28" s="107" t="s">
        <v>1038</v>
      </c>
      <c r="F28" s="111" t="s">
        <v>2202</v>
      </c>
      <c r="G28" s="109"/>
    </row>
    <row r="29">
      <c r="A29" s="104">
        <v>5.0</v>
      </c>
      <c r="B29" s="120"/>
      <c r="C29" s="110"/>
      <c r="D29" s="121"/>
      <c r="E29" s="121"/>
      <c r="F29" s="121"/>
      <c r="G29" s="121"/>
    </row>
    <row r="30">
      <c r="A30" s="104">
        <v>6.0</v>
      </c>
      <c r="B30" s="120"/>
      <c r="C30" s="110"/>
      <c r="D30" s="121"/>
      <c r="E30" s="128" t="s">
        <v>2203</v>
      </c>
      <c r="F30" s="128" t="s">
        <v>244</v>
      </c>
      <c r="G30" s="121"/>
    </row>
    <row r="31">
      <c r="A31" s="104">
        <v>7.0</v>
      </c>
      <c r="B31" s="120"/>
      <c r="C31" s="110"/>
      <c r="D31" s="121"/>
      <c r="E31" s="121"/>
      <c r="F31" s="121"/>
      <c r="G31" s="121"/>
    </row>
    <row r="32">
      <c r="A32" s="104">
        <v>8.0</v>
      </c>
      <c r="B32" s="120"/>
      <c r="C32" s="110"/>
      <c r="D32" s="121"/>
      <c r="E32" s="121"/>
      <c r="F32" s="121"/>
      <c r="G32" s="121"/>
    </row>
    <row r="33">
      <c r="A33" s="104">
        <v>9.0</v>
      </c>
      <c r="B33" s="120"/>
      <c r="C33" s="110"/>
      <c r="D33" s="107"/>
      <c r="E33" s="125"/>
      <c r="F33" s="109"/>
      <c r="G33" s="109"/>
    </row>
    <row r="34">
      <c r="A34" s="104">
        <v>10.0</v>
      </c>
      <c r="B34" s="120"/>
      <c r="C34" s="110"/>
      <c r="D34" s="107"/>
      <c r="E34" s="107" t="s">
        <v>2204</v>
      </c>
      <c r="F34" s="108">
        <v>35.0</v>
      </c>
      <c r="G34" s="109"/>
    </row>
    <row r="35">
      <c r="A35" s="104">
        <v>11.0</v>
      </c>
      <c r="B35" s="120"/>
      <c r="C35" s="110"/>
      <c r="D35" s="107"/>
      <c r="E35" s="107" t="s">
        <v>36</v>
      </c>
      <c r="F35" s="111" t="s">
        <v>176</v>
      </c>
      <c r="G35" s="111" t="s">
        <v>2205</v>
      </c>
    </row>
    <row r="36">
      <c r="A36" s="104">
        <v>12.0</v>
      </c>
      <c r="B36" s="120"/>
      <c r="C36" s="110"/>
      <c r="D36" s="107"/>
      <c r="E36" s="107" t="s">
        <v>2206</v>
      </c>
      <c r="F36" s="108">
        <v>35.0</v>
      </c>
      <c r="G36" s="111" t="s">
        <v>2207</v>
      </c>
    </row>
    <row r="37">
      <c r="A37" s="104">
        <v>13.0</v>
      </c>
      <c r="B37" s="120"/>
      <c r="C37" s="110"/>
      <c r="D37" s="107"/>
      <c r="E37" s="107" t="s">
        <v>727</v>
      </c>
      <c r="F37" s="108" t="s">
        <v>2208</v>
      </c>
      <c r="G37" s="109"/>
    </row>
    <row r="38">
      <c r="A38" s="104">
        <v>14.0</v>
      </c>
      <c r="B38" s="120"/>
      <c r="C38" s="110"/>
      <c r="D38" s="107"/>
      <c r="E38" s="125"/>
      <c r="F38" s="109"/>
      <c r="G38" s="109"/>
    </row>
    <row r="39">
      <c r="A39" s="122">
        <v>15.0</v>
      </c>
      <c r="B39" s="123"/>
      <c r="C39" s="124"/>
      <c r="D39" s="107"/>
      <c r="E39" s="125"/>
      <c r="F39" s="109"/>
      <c r="G39" s="109"/>
    </row>
    <row r="40">
      <c r="A40" s="112"/>
      <c r="B40" s="113"/>
      <c r="C40" s="114"/>
      <c r="D40" s="114"/>
      <c r="E40" s="99" t="s">
        <v>144</v>
      </c>
      <c r="F40" s="126" t="s">
        <v>2209</v>
      </c>
      <c r="G40" s="114"/>
    </row>
    <row r="41">
      <c r="A41" s="115"/>
      <c r="B41" s="113"/>
      <c r="C41" s="114"/>
      <c r="D41" s="114"/>
      <c r="E41" s="99" t="s">
        <v>145</v>
      </c>
      <c r="F41" s="100">
        <v>2210.0</v>
      </c>
      <c r="G41" s="114"/>
    </row>
    <row r="42">
      <c r="A42" s="115"/>
      <c r="B42" s="113"/>
      <c r="C42" s="152">
        <v>670.0</v>
      </c>
      <c r="D42" s="114"/>
      <c r="E42" s="99" t="s">
        <v>146</v>
      </c>
      <c r="F42" s="100">
        <v>410.0</v>
      </c>
      <c r="G42" s="114"/>
    </row>
    <row r="43">
      <c r="A43" s="115"/>
      <c r="B43" s="113"/>
      <c r="C43" s="152" t="s">
        <v>2210</v>
      </c>
      <c r="D43" s="114"/>
      <c r="E43" s="99" t="s">
        <v>147</v>
      </c>
      <c r="F43" s="100">
        <v>305.0</v>
      </c>
      <c r="G43" s="114"/>
    </row>
    <row r="44">
      <c r="A44" s="115"/>
      <c r="B44" s="113"/>
      <c r="C44" s="114"/>
      <c r="D44" s="114"/>
      <c r="E44" s="99" t="s">
        <v>148</v>
      </c>
      <c r="F44" s="131"/>
      <c r="G44" s="114"/>
    </row>
    <row r="45">
      <c r="A45" s="121"/>
      <c r="B45" s="121"/>
      <c r="C45" s="121"/>
      <c r="D45" s="121"/>
      <c r="E45" s="121"/>
      <c r="F45" s="121"/>
      <c r="G45" s="121"/>
    </row>
    <row r="46">
      <c r="A46" s="102" t="s">
        <v>4</v>
      </c>
      <c r="B46" s="102" t="s">
        <v>5</v>
      </c>
      <c r="C46" s="102" t="s">
        <v>126</v>
      </c>
      <c r="D46" s="102" t="s">
        <v>6</v>
      </c>
      <c r="E46" s="102" t="s">
        <v>7</v>
      </c>
      <c r="F46" s="102" t="s">
        <v>127</v>
      </c>
      <c r="G46" s="103" t="s">
        <v>128</v>
      </c>
    </row>
    <row r="47">
      <c r="A47" s="104">
        <v>1.0</v>
      </c>
      <c r="B47" s="105">
        <v>46086.0</v>
      </c>
      <c r="C47" s="106" t="s">
        <v>310</v>
      </c>
      <c r="D47" s="107"/>
      <c r="E47" s="107" t="s">
        <v>2211</v>
      </c>
      <c r="F47" s="111" t="s">
        <v>1914</v>
      </c>
      <c r="G47" s="109"/>
    </row>
    <row r="48">
      <c r="A48" s="104">
        <v>2.0</v>
      </c>
      <c r="B48" s="120"/>
      <c r="C48" s="110"/>
      <c r="D48" s="107"/>
      <c r="E48" s="107" t="s">
        <v>2212</v>
      </c>
      <c r="F48" s="108">
        <v>3.0</v>
      </c>
      <c r="G48" s="108">
        <v>105.0</v>
      </c>
    </row>
    <row r="49">
      <c r="A49" s="104">
        <v>3.0</v>
      </c>
      <c r="B49" s="120"/>
      <c r="C49" s="110"/>
      <c r="D49" s="107"/>
      <c r="E49" s="107" t="s">
        <v>2213</v>
      </c>
      <c r="F49" s="109"/>
      <c r="G49" s="109"/>
    </row>
    <row r="50">
      <c r="A50" s="104">
        <v>4.0</v>
      </c>
      <c r="B50" s="120"/>
      <c r="C50" s="110"/>
      <c r="D50" s="107"/>
      <c r="E50" s="107" t="s">
        <v>2214</v>
      </c>
      <c r="F50" s="111"/>
      <c r="G50" s="109"/>
    </row>
    <row r="51">
      <c r="A51" s="104">
        <v>5.0</v>
      </c>
      <c r="B51" s="120"/>
      <c r="C51" s="110"/>
      <c r="D51" s="107"/>
      <c r="E51" s="107"/>
      <c r="F51" s="111"/>
      <c r="G51" s="109"/>
    </row>
    <row r="52">
      <c r="A52" s="104">
        <v>6.0</v>
      </c>
      <c r="B52" s="120"/>
      <c r="C52" s="110"/>
      <c r="D52" s="107"/>
      <c r="E52" s="107"/>
      <c r="F52" s="108"/>
      <c r="G52" s="109"/>
    </row>
    <row r="53">
      <c r="A53" s="104">
        <v>7.0</v>
      </c>
      <c r="B53" s="120"/>
      <c r="C53" s="110"/>
      <c r="D53" s="107"/>
      <c r="E53" s="125"/>
      <c r="F53" s="109"/>
      <c r="G53" s="109"/>
    </row>
    <row r="54">
      <c r="A54" s="104">
        <v>8.0</v>
      </c>
      <c r="B54" s="120"/>
      <c r="C54" s="110"/>
      <c r="D54" s="107"/>
      <c r="E54" s="125"/>
      <c r="F54" s="109"/>
      <c r="G54" s="109"/>
    </row>
    <row r="55">
      <c r="A55" s="104">
        <v>9.0</v>
      </c>
      <c r="B55" s="120"/>
      <c r="C55" s="110"/>
      <c r="D55" s="107"/>
      <c r="E55" s="125"/>
      <c r="F55" s="109"/>
      <c r="G55" s="109"/>
    </row>
    <row r="56">
      <c r="A56" s="104">
        <v>10.0</v>
      </c>
      <c r="B56" s="120"/>
      <c r="C56" s="110"/>
      <c r="D56" s="107"/>
      <c r="E56" s="125"/>
      <c r="F56" s="109"/>
      <c r="G56" s="109"/>
    </row>
    <row r="57">
      <c r="A57" s="104">
        <v>11.0</v>
      </c>
      <c r="B57" s="120"/>
      <c r="C57" s="110"/>
      <c r="D57" s="107"/>
      <c r="E57" s="125"/>
      <c r="F57" s="109"/>
      <c r="G57" s="109"/>
    </row>
    <row r="58">
      <c r="A58" s="104">
        <v>12.0</v>
      </c>
      <c r="B58" s="120"/>
      <c r="C58" s="110"/>
      <c r="D58" s="107"/>
      <c r="E58" s="125"/>
      <c r="F58" s="109"/>
      <c r="G58" s="109"/>
    </row>
    <row r="59">
      <c r="A59" s="104">
        <v>13.0</v>
      </c>
      <c r="B59" s="120"/>
      <c r="C59" s="110"/>
      <c r="D59" s="107"/>
      <c r="E59" s="125"/>
      <c r="F59" s="109"/>
      <c r="G59" s="109"/>
    </row>
    <row r="60">
      <c r="A60" s="104">
        <v>14.0</v>
      </c>
      <c r="B60" s="120"/>
      <c r="C60" s="110"/>
      <c r="D60" s="107"/>
      <c r="E60" s="125"/>
      <c r="F60" s="109"/>
      <c r="G60" s="109"/>
    </row>
    <row r="61">
      <c r="A61" s="122">
        <v>15.0</v>
      </c>
      <c r="B61" s="123"/>
      <c r="C61" s="124"/>
      <c r="D61" s="107"/>
      <c r="E61" s="125"/>
      <c r="F61" s="109"/>
      <c r="G61" s="109"/>
    </row>
    <row r="62">
      <c r="A62" s="112"/>
      <c r="B62" s="113"/>
      <c r="C62" s="114"/>
      <c r="D62" s="114"/>
      <c r="E62" s="99" t="s">
        <v>144</v>
      </c>
      <c r="F62" s="131"/>
      <c r="G62" s="114"/>
    </row>
    <row r="63">
      <c r="A63" s="115"/>
      <c r="B63" s="113"/>
      <c r="C63" s="114"/>
      <c r="D63" s="114"/>
      <c r="E63" s="99" t="s">
        <v>978</v>
      </c>
      <c r="F63" s="131"/>
      <c r="G63" s="114"/>
    </row>
    <row r="64">
      <c r="A64" s="115"/>
      <c r="B64" s="113"/>
      <c r="C64" s="114"/>
      <c r="D64" s="114"/>
      <c r="E64" s="99" t="s">
        <v>146</v>
      </c>
      <c r="F64" s="131"/>
      <c r="G64" s="114"/>
    </row>
    <row r="65">
      <c r="A65" s="115"/>
      <c r="B65" s="113"/>
      <c r="C65" s="114"/>
      <c r="D65" s="114"/>
      <c r="E65" s="99" t="s">
        <v>147</v>
      </c>
      <c r="F65" s="131"/>
      <c r="G65" s="114"/>
    </row>
    <row r="66">
      <c r="A66" s="115"/>
      <c r="B66" s="113"/>
      <c r="C66" s="114"/>
      <c r="D66" s="114"/>
      <c r="E66" s="99" t="s">
        <v>148</v>
      </c>
      <c r="F66" s="131"/>
      <c r="G66" s="114"/>
    </row>
    <row r="67">
      <c r="A67" s="121"/>
      <c r="B67" s="121"/>
      <c r="C67" s="121"/>
      <c r="D67" s="121"/>
      <c r="E67" s="121"/>
      <c r="F67" s="121"/>
      <c r="G67" s="121"/>
    </row>
    <row r="68">
      <c r="A68" s="102" t="s">
        <v>4</v>
      </c>
      <c r="B68" s="102" t="s">
        <v>5</v>
      </c>
      <c r="C68" s="102" t="s">
        <v>126</v>
      </c>
      <c r="D68" s="102" t="s">
        <v>6</v>
      </c>
      <c r="E68" s="102" t="s">
        <v>7</v>
      </c>
      <c r="F68" s="102" t="s">
        <v>127</v>
      </c>
      <c r="G68" s="103" t="s">
        <v>128</v>
      </c>
    </row>
    <row r="69">
      <c r="A69" s="104">
        <v>1.0</v>
      </c>
      <c r="B69" s="105">
        <v>46093.0</v>
      </c>
      <c r="C69" s="106" t="s">
        <v>1502</v>
      </c>
      <c r="D69" s="107" t="s">
        <v>2215</v>
      </c>
      <c r="E69" s="107" t="s">
        <v>177</v>
      </c>
      <c r="F69" s="108">
        <v>40.0</v>
      </c>
      <c r="G69" s="109"/>
    </row>
    <row r="70">
      <c r="A70" s="104">
        <v>2.0</v>
      </c>
      <c r="B70" s="120"/>
      <c r="C70" s="110"/>
      <c r="D70" s="107"/>
      <c r="E70" s="107" t="s">
        <v>36</v>
      </c>
      <c r="F70" s="111" t="s">
        <v>2216</v>
      </c>
      <c r="G70" s="109"/>
    </row>
    <row r="71">
      <c r="A71" s="104">
        <v>3.0</v>
      </c>
      <c r="B71" s="120"/>
      <c r="C71" s="110"/>
      <c r="D71" s="107"/>
      <c r="E71" s="107" t="s">
        <v>2217</v>
      </c>
      <c r="F71" s="108" t="s">
        <v>2218</v>
      </c>
      <c r="G71" s="111" t="s">
        <v>2219</v>
      </c>
    </row>
    <row r="72">
      <c r="A72" s="104">
        <v>4.0</v>
      </c>
      <c r="B72" s="120"/>
      <c r="C72" s="110"/>
      <c r="D72" s="107"/>
      <c r="E72" s="107" t="s">
        <v>1164</v>
      </c>
      <c r="F72" s="111" t="s">
        <v>2220</v>
      </c>
      <c r="G72" s="109"/>
    </row>
    <row r="73">
      <c r="A73" s="104">
        <v>5.0</v>
      </c>
      <c r="B73" s="120"/>
      <c r="C73" s="110"/>
      <c r="D73" s="107"/>
      <c r="E73" s="107"/>
      <c r="F73" s="108"/>
      <c r="G73" s="111"/>
    </row>
    <row r="74">
      <c r="A74" s="104">
        <v>6.0</v>
      </c>
      <c r="B74" s="120"/>
      <c r="C74" s="110"/>
      <c r="D74" s="107"/>
      <c r="E74" s="107"/>
      <c r="F74" s="388"/>
      <c r="G74" s="177"/>
    </row>
    <row r="75">
      <c r="A75" s="104">
        <v>7.0</v>
      </c>
      <c r="B75" s="120"/>
      <c r="C75" s="110"/>
      <c r="D75" s="107"/>
      <c r="E75" s="107"/>
      <c r="F75" s="111"/>
      <c r="G75" s="109"/>
    </row>
    <row r="76">
      <c r="A76" s="104">
        <v>8.0</v>
      </c>
      <c r="B76" s="120"/>
      <c r="C76" s="110"/>
      <c r="D76" s="107"/>
      <c r="E76" s="107"/>
      <c r="F76" s="111"/>
      <c r="G76" s="109"/>
    </row>
    <row r="77">
      <c r="A77" s="104">
        <v>9.0</v>
      </c>
      <c r="B77" s="120"/>
      <c r="C77" s="110"/>
      <c r="D77" s="107"/>
      <c r="E77" s="107"/>
      <c r="F77" s="111"/>
      <c r="G77" s="109"/>
    </row>
    <row r="78">
      <c r="A78" s="104">
        <v>10.0</v>
      </c>
      <c r="B78" s="120"/>
      <c r="C78" s="110"/>
      <c r="D78" s="107"/>
      <c r="E78" s="107"/>
      <c r="F78" s="108"/>
      <c r="G78" s="109"/>
    </row>
    <row r="79">
      <c r="A79" s="104">
        <v>11.0</v>
      </c>
      <c r="B79" s="120"/>
      <c r="C79" s="110"/>
      <c r="D79" s="107"/>
      <c r="E79" s="107"/>
      <c r="F79" s="109"/>
      <c r="G79" s="109"/>
    </row>
    <row r="80">
      <c r="A80" s="104">
        <v>12.0</v>
      </c>
      <c r="B80" s="120"/>
      <c r="C80" s="110"/>
      <c r="D80" s="107"/>
      <c r="E80" s="107"/>
      <c r="F80" s="108"/>
      <c r="G80" s="109"/>
    </row>
    <row r="81">
      <c r="A81" s="104">
        <v>13.0</v>
      </c>
      <c r="B81" s="120"/>
      <c r="C81" s="110"/>
      <c r="D81" s="107"/>
      <c r="E81" s="107"/>
      <c r="F81" s="108"/>
      <c r="G81" s="109"/>
    </row>
    <row r="82">
      <c r="A82" s="104">
        <v>14.0</v>
      </c>
      <c r="B82" s="120"/>
      <c r="C82" s="110"/>
      <c r="D82" s="107"/>
      <c r="E82" s="107"/>
      <c r="F82" s="108"/>
      <c r="G82" s="109"/>
    </row>
    <row r="83">
      <c r="A83" s="122">
        <v>15.0</v>
      </c>
      <c r="B83" s="123"/>
      <c r="C83" s="124"/>
      <c r="D83" s="107"/>
      <c r="E83" s="107"/>
      <c r="F83" s="108"/>
      <c r="G83" s="109"/>
    </row>
    <row r="84">
      <c r="A84" s="112"/>
      <c r="B84" s="113"/>
      <c r="C84" s="114"/>
      <c r="D84" s="114"/>
      <c r="E84" s="99"/>
      <c r="F84" s="126"/>
      <c r="G84" s="114"/>
    </row>
    <row r="85">
      <c r="A85" s="115"/>
      <c r="B85" s="113"/>
      <c r="C85" s="114"/>
      <c r="D85" s="114"/>
      <c r="E85" s="99"/>
      <c r="F85" s="100">
        <v>615.0</v>
      </c>
      <c r="G85" s="114"/>
    </row>
    <row r="86">
      <c r="A86" s="115"/>
      <c r="B86" s="113"/>
      <c r="C86" s="114"/>
      <c r="D86" s="114"/>
      <c r="E86" s="99"/>
      <c r="F86" s="100">
        <v>150.0</v>
      </c>
      <c r="G86" s="114"/>
    </row>
    <row r="87">
      <c r="A87" s="115"/>
      <c r="B87" s="113"/>
      <c r="C87" s="114"/>
      <c r="D87" s="114"/>
      <c r="E87" s="99"/>
      <c r="F87" s="100">
        <v>115.0</v>
      </c>
      <c r="G87" s="114"/>
    </row>
    <row r="88">
      <c r="A88" s="115"/>
      <c r="B88" s="113"/>
      <c r="C88" s="114"/>
      <c r="D88" s="114"/>
      <c r="E88" s="99"/>
      <c r="F88" s="126" t="s">
        <v>2221</v>
      </c>
      <c r="G88" s="114"/>
    </row>
    <row r="89">
      <c r="A89" s="121"/>
      <c r="B89" s="121"/>
      <c r="C89" s="121"/>
      <c r="D89" s="121"/>
      <c r="E89" s="121"/>
      <c r="F89" s="121"/>
      <c r="G89" s="121"/>
    </row>
    <row r="90">
      <c r="A90" s="118"/>
      <c r="B90" s="119"/>
      <c r="C90" s="119"/>
      <c r="D90" s="119"/>
      <c r="E90" s="119"/>
      <c r="F90" s="119"/>
      <c r="G90" s="119"/>
    </row>
    <row r="91">
      <c r="A91" s="102" t="s">
        <v>4</v>
      </c>
      <c r="B91" s="102" t="s">
        <v>5</v>
      </c>
      <c r="C91" s="102" t="s">
        <v>126</v>
      </c>
      <c r="D91" s="102" t="s">
        <v>6</v>
      </c>
      <c r="E91" s="102" t="s">
        <v>7</v>
      </c>
      <c r="F91" s="102" t="s">
        <v>127</v>
      </c>
      <c r="G91" s="103" t="s">
        <v>128</v>
      </c>
    </row>
    <row r="92">
      <c r="A92" s="104">
        <v>1.0</v>
      </c>
      <c r="B92" s="105">
        <v>46090.0</v>
      </c>
      <c r="C92" s="106" t="s">
        <v>261</v>
      </c>
      <c r="D92" s="107"/>
      <c r="E92" s="107"/>
      <c r="F92" s="108"/>
      <c r="G92" s="109"/>
    </row>
    <row r="93">
      <c r="A93" s="104">
        <v>2.0</v>
      </c>
      <c r="B93" s="120"/>
      <c r="C93" s="110"/>
      <c r="D93" s="107"/>
      <c r="E93" s="107"/>
      <c r="F93" s="108"/>
      <c r="G93" s="109"/>
    </row>
    <row r="94">
      <c r="A94" s="104">
        <v>3.0</v>
      </c>
      <c r="B94" s="120"/>
      <c r="C94" s="110"/>
      <c r="D94" s="107"/>
      <c r="E94" s="107"/>
      <c r="F94" s="111"/>
      <c r="G94" s="109"/>
    </row>
    <row r="95">
      <c r="A95" s="104">
        <v>4.0</v>
      </c>
      <c r="B95" s="120"/>
      <c r="C95" s="110"/>
      <c r="D95" s="107"/>
      <c r="E95" s="107"/>
      <c r="F95" s="108"/>
      <c r="G95" s="111"/>
    </row>
    <row r="96">
      <c r="A96" s="104">
        <v>5.0</v>
      </c>
      <c r="B96" s="120"/>
      <c r="C96" s="110"/>
      <c r="D96" s="107"/>
      <c r="E96" s="107"/>
      <c r="F96" s="108"/>
      <c r="G96" s="109"/>
    </row>
    <row r="97">
      <c r="A97" s="104">
        <v>6.0</v>
      </c>
      <c r="B97" s="120"/>
      <c r="C97" s="110"/>
      <c r="D97" s="107"/>
      <c r="E97" s="107"/>
      <c r="F97" s="108"/>
      <c r="G97" s="109"/>
    </row>
    <row r="98">
      <c r="A98" s="104">
        <v>7.0</v>
      </c>
      <c r="B98" s="120"/>
      <c r="C98" s="110"/>
      <c r="D98" s="107"/>
      <c r="E98" s="107"/>
      <c r="F98" s="108"/>
      <c r="G98" s="109"/>
    </row>
    <row r="99">
      <c r="A99" s="104">
        <v>8.0</v>
      </c>
      <c r="B99" s="120"/>
      <c r="C99" s="106"/>
      <c r="D99" s="107"/>
      <c r="E99" s="107"/>
      <c r="F99" s="108"/>
      <c r="G99" s="109"/>
    </row>
    <row r="100">
      <c r="A100" s="104">
        <v>9.0</v>
      </c>
      <c r="B100" s="120"/>
      <c r="C100" s="110"/>
      <c r="D100" s="107"/>
      <c r="E100" s="107"/>
      <c r="F100" s="108"/>
      <c r="G100" s="109"/>
    </row>
    <row r="101">
      <c r="A101" s="104">
        <v>10.0</v>
      </c>
      <c r="B101" s="120"/>
      <c r="C101" s="110"/>
      <c r="D101" s="107"/>
      <c r="E101" s="107"/>
      <c r="F101" s="108"/>
      <c r="G101" s="109"/>
    </row>
    <row r="102">
      <c r="A102" s="104">
        <v>11.0</v>
      </c>
      <c r="B102" s="120"/>
      <c r="C102" s="110"/>
      <c r="D102" s="107"/>
      <c r="E102" s="107"/>
      <c r="F102" s="108"/>
      <c r="G102" s="109"/>
    </row>
    <row r="103">
      <c r="A103" s="104">
        <v>12.0</v>
      </c>
      <c r="B103" s="120"/>
      <c r="C103" s="110"/>
      <c r="D103" s="107"/>
      <c r="E103" s="107"/>
      <c r="F103" s="109"/>
      <c r="G103" s="111"/>
    </row>
    <row r="104">
      <c r="A104" s="104">
        <v>13.0</v>
      </c>
      <c r="B104" s="120"/>
      <c r="C104" s="110"/>
      <c r="D104" s="107"/>
      <c r="E104" s="107"/>
      <c r="F104" s="121"/>
      <c r="G104" s="109"/>
    </row>
    <row r="105">
      <c r="A105" s="104">
        <v>14.0</v>
      </c>
      <c r="B105" s="120"/>
      <c r="C105" s="110"/>
      <c r="D105" s="107"/>
      <c r="E105" s="107"/>
      <c r="F105" s="108"/>
      <c r="G105" s="109"/>
    </row>
    <row r="106">
      <c r="A106" s="122">
        <v>15.0</v>
      </c>
      <c r="B106" s="123"/>
      <c r="C106" s="124"/>
      <c r="D106" s="107"/>
      <c r="E106" s="125"/>
      <c r="F106" s="109"/>
      <c r="G106" s="109"/>
    </row>
    <row r="107">
      <c r="A107" s="112"/>
      <c r="B107" s="113"/>
      <c r="C107" s="114"/>
      <c r="D107" s="114"/>
      <c r="E107" s="99" t="s">
        <v>144</v>
      </c>
      <c r="F107" s="131"/>
      <c r="G107" s="114"/>
    </row>
    <row r="108">
      <c r="A108" s="115"/>
      <c r="B108" s="113"/>
      <c r="C108" s="114"/>
      <c r="D108" s="114"/>
      <c r="E108" s="99" t="s">
        <v>145</v>
      </c>
      <c r="F108" s="100"/>
      <c r="G108" s="114"/>
    </row>
    <row r="109">
      <c r="A109" s="115"/>
      <c r="B109" s="113"/>
      <c r="C109" s="114"/>
      <c r="D109" s="114"/>
      <c r="E109" s="99" t="s">
        <v>146</v>
      </c>
      <c r="F109" s="100"/>
      <c r="G109" s="114"/>
    </row>
    <row r="110">
      <c r="A110" s="115"/>
      <c r="B110" s="113"/>
      <c r="C110" s="114"/>
      <c r="D110" s="114"/>
      <c r="E110" s="99" t="s">
        <v>147</v>
      </c>
      <c r="F110" s="100"/>
      <c r="G110" s="114"/>
    </row>
    <row r="111">
      <c r="A111" s="115"/>
      <c r="B111" s="113"/>
      <c r="C111" s="114"/>
      <c r="D111" s="114"/>
      <c r="E111" s="99" t="s">
        <v>148</v>
      </c>
      <c r="F111" s="100"/>
      <c r="G111" s="114"/>
    </row>
    <row r="112">
      <c r="A112" s="118"/>
      <c r="B112" s="119"/>
      <c r="C112" s="119"/>
      <c r="D112" s="119"/>
      <c r="E112" s="119"/>
      <c r="F112" s="119"/>
      <c r="G112" s="119"/>
    </row>
    <row r="113">
      <c r="A113" s="102" t="s">
        <v>4</v>
      </c>
      <c r="B113" s="102" t="s">
        <v>5</v>
      </c>
      <c r="C113" s="102" t="s">
        <v>126</v>
      </c>
      <c r="D113" s="102" t="s">
        <v>6</v>
      </c>
      <c r="E113" s="102" t="s">
        <v>7</v>
      </c>
      <c r="F113" s="102" t="s">
        <v>127</v>
      </c>
      <c r="G113" s="103" t="s">
        <v>128</v>
      </c>
    </row>
    <row r="114">
      <c r="A114" s="104">
        <v>1.0</v>
      </c>
      <c r="B114" s="105">
        <v>46091.0</v>
      </c>
      <c r="C114" s="106" t="s">
        <v>169</v>
      </c>
      <c r="D114" s="107"/>
      <c r="E114" s="107"/>
      <c r="F114" s="108"/>
      <c r="G114" s="109"/>
    </row>
    <row r="115">
      <c r="A115" s="104">
        <v>2.0</v>
      </c>
      <c r="B115" s="120"/>
      <c r="C115" s="110"/>
      <c r="D115" s="107"/>
      <c r="E115" s="107"/>
      <c r="F115" s="108"/>
      <c r="G115" s="109"/>
    </row>
    <row r="116">
      <c r="A116" s="104">
        <v>3.0</v>
      </c>
      <c r="B116" s="120"/>
      <c r="C116" s="110"/>
      <c r="D116" s="107"/>
      <c r="E116" s="107"/>
      <c r="F116" s="111"/>
      <c r="G116" s="109"/>
    </row>
    <row r="117">
      <c r="A117" s="104">
        <v>4.0</v>
      </c>
      <c r="B117" s="120"/>
      <c r="C117" s="110"/>
      <c r="D117" s="107"/>
      <c r="E117" s="107"/>
      <c r="F117" s="108"/>
      <c r="G117" s="111"/>
    </row>
    <row r="118">
      <c r="A118" s="104">
        <v>5.0</v>
      </c>
      <c r="B118" s="120"/>
      <c r="C118" s="110"/>
      <c r="D118" s="107"/>
      <c r="E118" s="107"/>
      <c r="F118" s="108"/>
      <c r="G118" s="109"/>
    </row>
    <row r="119">
      <c r="A119" s="104">
        <v>6.0</v>
      </c>
      <c r="B119" s="120"/>
      <c r="C119" s="110"/>
      <c r="D119" s="107"/>
      <c r="E119" s="107"/>
      <c r="F119" s="108"/>
      <c r="G119" s="109"/>
    </row>
    <row r="120">
      <c r="A120" s="104">
        <v>7.0</v>
      </c>
      <c r="B120" s="120"/>
      <c r="C120" s="110"/>
      <c r="D120" s="107"/>
      <c r="E120" s="107"/>
      <c r="F120" s="108"/>
      <c r="G120" s="109"/>
    </row>
    <row r="121">
      <c r="A121" s="104">
        <v>8.0</v>
      </c>
      <c r="B121" s="120"/>
      <c r="C121" s="106"/>
      <c r="D121" s="107"/>
      <c r="E121" s="107"/>
      <c r="F121" s="108"/>
      <c r="G121" s="109"/>
    </row>
    <row r="122">
      <c r="A122" s="104">
        <v>9.0</v>
      </c>
      <c r="B122" s="120"/>
      <c r="C122" s="110"/>
      <c r="D122" s="107"/>
      <c r="E122" s="107"/>
      <c r="F122" s="108"/>
      <c r="G122" s="109"/>
    </row>
    <row r="123">
      <c r="A123" s="104">
        <v>10.0</v>
      </c>
      <c r="B123" s="120"/>
      <c r="C123" s="110"/>
      <c r="D123" s="107"/>
      <c r="E123" s="107"/>
      <c r="F123" s="108"/>
      <c r="G123" s="109"/>
    </row>
    <row r="124">
      <c r="A124" s="104">
        <v>11.0</v>
      </c>
      <c r="B124" s="120"/>
      <c r="C124" s="110"/>
      <c r="D124" s="107"/>
      <c r="E124" s="107"/>
      <c r="F124" s="108"/>
      <c r="G124" s="109"/>
    </row>
    <row r="125">
      <c r="A125" s="104">
        <v>12.0</v>
      </c>
      <c r="B125" s="120"/>
      <c r="C125" s="110"/>
      <c r="D125" s="107"/>
      <c r="E125" s="107"/>
      <c r="F125" s="109"/>
      <c r="G125" s="111"/>
    </row>
    <row r="126">
      <c r="A126" s="104">
        <v>13.0</v>
      </c>
      <c r="B126" s="120"/>
      <c r="C126" s="110"/>
      <c r="D126" s="107"/>
      <c r="E126" s="107"/>
      <c r="F126" s="121"/>
      <c r="G126" s="109"/>
    </row>
    <row r="127">
      <c r="A127" s="104">
        <v>14.0</v>
      </c>
      <c r="B127" s="120"/>
      <c r="C127" s="110"/>
      <c r="D127" s="107"/>
      <c r="E127" s="107"/>
      <c r="F127" s="108"/>
      <c r="G127" s="109"/>
    </row>
    <row r="128">
      <c r="A128" s="122">
        <v>15.0</v>
      </c>
      <c r="B128" s="123"/>
      <c r="C128" s="124"/>
      <c r="D128" s="107"/>
      <c r="E128" s="125"/>
      <c r="F128" s="109"/>
      <c r="G128" s="109"/>
    </row>
    <row r="129">
      <c r="A129" s="112"/>
      <c r="B129" s="113"/>
      <c r="C129" s="114"/>
      <c r="D129" s="114"/>
      <c r="E129" s="99" t="s">
        <v>144</v>
      </c>
      <c r="F129" s="131"/>
      <c r="G129" s="114"/>
    </row>
    <row r="130">
      <c r="A130" s="115"/>
      <c r="B130" s="113"/>
      <c r="C130" s="114"/>
      <c r="D130" s="114"/>
      <c r="E130" s="99" t="s">
        <v>145</v>
      </c>
      <c r="F130" s="100"/>
      <c r="G130" s="114"/>
    </row>
    <row r="131">
      <c r="A131" s="115"/>
      <c r="B131" s="113"/>
      <c r="C131" s="114"/>
      <c r="D131" s="114"/>
      <c r="E131" s="99" t="s">
        <v>146</v>
      </c>
      <c r="F131" s="100"/>
      <c r="G131" s="114"/>
    </row>
    <row r="132">
      <c r="A132" s="115"/>
      <c r="B132" s="113"/>
      <c r="C132" s="114"/>
      <c r="D132" s="114"/>
      <c r="E132" s="99" t="s">
        <v>147</v>
      </c>
      <c r="F132" s="100"/>
      <c r="G132" s="114"/>
    </row>
    <row r="133">
      <c r="A133" s="115"/>
      <c r="B133" s="113"/>
      <c r="C133" s="114"/>
      <c r="D133" s="114"/>
      <c r="E133" s="99" t="s">
        <v>148</v>
      </c>
      <c r="F133" s="100"/>
      <c r="G133" s="114"/>
    </row>
    <row r="134">
      <c r="A134" s="118"/>
      <c r="B134" s="119"/>
      <c r="C134" s="119"/>
      <c r="D134" s="119"/>
      <c r="E134" s="119"/>
      <c r="F134" s="119"/>
      <c r="G134" s="119"/>
    </row>
    <row r="135">
      <c r="A135" s="102" t="s">
        <v>4</v>
      </c>
      <c r="B135" s="102" t="s">
        <v>5</v>
      </c>
      <c r="C135" s="102" t="s">
        <v>126</v>
      </c>
      <c r="D135" s="102" t="s">
        <v>6</v>
      </c>
      <c r="E135" s="102" t="s">
        <v>7</v>
      </c>
      <c r="F135" s="102" t="s">
        <v>127</v>
      </c>
      <c r="G135" s="103" t="s">
        <v>128</v>
      </c>
    </row>
    <row r="136">
      <c r="A136" s="104">
        <v>1.0</v>
      </c>
      <c r="B136" s="105">
        <v>46092.0</v>
      </c>
      <c r="C136" s="106" t="s">
        <v>299</v>
      </c>
      <c r="D136" s="107"/>
      <c r="E136" s="107"/>
      <c r="F136" s="108"/>
      <c r="G136" s="109"/>
    </row>
    <row r="137">
      <c r="A137" s="104">
        <v>2.0</v>
      </c>
      <c r="B137" s="120"/>
      <c r="C137" s="110"/>
      <c r="D137" s="107"/>
      <c r="E137" s="107"/>
      <c r="F137" s="108"/>
      <c r="G137" s="109"/>
    </row>
    <row r="138">
      <c r="A138" s="104">
        <v>3.0</v>
      </c>
      <c r="B138" s="120"/>
      <c r="C138" s="110"/>
      <c r="D138" s="107"/>
      <c r="E138" s="107"/>
      <c r="F138" s="111"/>
      <c r="G138" s="109"/>
    </row>
    <row r="139">
      <c r="A139" s="104">
        <v>4.0</v>
      </c>
      <c r="B139" s="120"/>
      <c r="C139" s="110"/>
      <c r="D139" s="107"/>
      <c r="E139" s="107"/>
      <c r="F139" s="108"/>
      <c r="G139" s="111"/>
    </row>
    <row r="140">
      <c r="A140" s="104">
        <v>5.0</v>
      </c>
      <c r="B140" s="120"/>
      <c r="C140" s="110"/>
      <c r="D140" s="107"/>
      <c r="E140" s="107"/>
      <c r="F140" s="108"/>
      <c r="G140" s="109"/>
    </row>
    <row r="141">
      <c r="A141" s="104">
        <v>6.0</v>
      </c>
      <c r="B141" s="120"/>
      <c r="C141" s="110"/>
      <c r="D141" s="107"/>
      <c r="E141" s="107"/>
      <c r="F141" s="108"/>
      <c r="G141" s="109"/>
    </row>
    <row r="142">
      <c r="A142" s="104">
        <v>7.0</v>
      </c>
      <c r="B142" s="120"/>
      <c r="C142" s="110"/>
      <c r="D142" s="107"/>
      <c r="E142" s="107"/>
      <c r="F142" s="108"/>
      <c r="G142" s="109"/>
    </row>
    <row r="143">
      <c r="A143" s="104">
        <v>8.0</v>
      </c>
      <c r="B143" s="120"/>
      <c r="C143" s="106"/>
      <c r="D143" s="107"/>
      <c r="E143" s="107"/>
      <c r="F143" s="108"/>
      <c r="G143" s="109"/>
    </row>
    <row r="144">
      <c r="A144" s="104">
        <v>9.0</v>
      </c>
      <c r="B144" s="120"/>
      <c r="C144" s="110"/>
      <c r="D144" s="107"/>
      <c r="E144" s="107"/>
      <c r="F144" s="108"/>
      <c r="G144" s="109"/>
    </row>
    <row r="145">
      <c r="A145" s="104">
        <v>10.0</v>
      </c>
      <c r="B145" s="120"/>
      <c r="C145" s="110"/>
      <c r="D145" s="107"/>
      <c r="E145" s="107"/>
      <c r="F145" s="108"/>
      <c r="G145" s="109"/>
    </row>
    <row r="146">
      <c r="A146" s="104">
        <v>11.0</v>
      </c>
      <c r="B146" s="120"/>
      <c r="C146" s="110"/>
      <c r="D146" s="107"/>
      <c r="E146" s="107"/>
      <c r="F146" s="108"/>
      <c r="G146" s="109"/>
    </row>
    <row r="147">
      <c r="A147" s="104">
        <v>12.0</v>
      </c>
      <c r="B147" s="120"/>
      <c r="C147" s="110"/>
      <c r="D147" s="107"/>
      <c r="E147" s="107"/>
      <c r="F147" s="109"/>
      <c r="G147" s="111"/>
    </row>
    <row r="148">
      <c r="A148" s="104">
        <v>13.0</v>
      </c>
      <c r="B148" s="120"/>
      <c r="C148" s="110"/>
      <c r="D148" s="107"/>
      <c r="E148" s="107"/>
      <c r="F148" s="121"/>
      <c r="G148" s="109"/>
    </row>
    <row r="149">
      <c r="A149" s="104">
        <v>14.0</v>
      </c>
      <c r="B149" s="120"/>
      <c r="C149" s="110"/>
      <c r="D149" s="107"/>
      <c r="E149" s="107"/>
      <c r="F149" s="108"/>
      <c r="G149" s="109"/>
    </row>
    <row r="150">
      <c r="A150" s="122">
        <v>15.0</v>
      </c>
      <c r="B150" s="123"/>
      <c r="C150" s="124"/>
      <c r="D150" s="107"/>
      <c r="E150" s="125"/>
      <c r="F150" s="109"/>
      <c r="G150" s="109"/>
    </row>
    <row r="151">
      <c r="A151" s="112"/>
      <c r="B151" s="113"/>
      <c r="C151" s="114"/>
      <c r="D151" s="114"/>
      <c r="E151" s="99" t="s">
        <v>144</v>
      </c>
      <c r="F151" s="131"/>
      <c r="G151" s="114"/>
    </row>
    <row r="152">
      <c r="A152" s="115"/>
      <c r="B152" s="113"/>
      <c r="C152" s="114"/>
      <c r="D152" s="114"/>
      <c r="E152" s="99" t="s">
        <v>145</v>
      </c>
      <c r="F152" s="100"/>
      <c r="G152" s="114"/>
    </row>
    <row r="153">
      <c r="A153" s="115"/>
      <c r="B153" s="113"/>
      <c r="C153" s="114"/>
      <c r="D153" s="114"/>
      <c r="E153" s="99" t="s">
        <v>146</v>
      </c>
      <c r="F153" s="100"/>
      <c r="G153" s="114"/>
    </row>
    <row r="154">
      <c r="A154" s="115"/>
      <c r="B154" s="113"/>
      <c r="C154" s="114"/>
      <c r="D154" s="114"/>
      <c r="E154" s="99" t="s">
        <v>147</v>
      </c>
      <c r="F154" s="100"/>
      <c r="G154" s="114"/>
    </row>
    <row r="155">
      <c r="A155" s="115"/>
      <c r="B155" s="113"/>
      <c r="C155" s="114"/>
      <c r="D155" s="114"/>
      <c r="E155" s="99" t="s">
        <v>148</v>
      </c>
      <c r="F155" s="100"/>
      <c r="G155" s="114"/>
    </row>
    <row r="156">
      <c r="A156" s="118"/>
      <c r="B156" s="119"/>
      <c r="C156" s="119"/>
      <c r="D156" s="119"/>
      <c r="E156" s="119"/>
      <c r="F156" s="119"/>
      <c r="G156" s="119"/>
    </row>
    <row r="157">
      <c r="A157" s="102" t="s">
        <v>4</v>
      </c>
      <c r="B157" s="102" t="s">
        <v>5</v>
      </c>
      <c r="C157" s="102" t="s">
        <v>126</v>
      </c>
      <c r="D157" s="102" t="s">
        <v>6</v>
      </c>
      <c r="E157" s="102" t="s">
        <v>7</v>
      </c>
      <c r="F157" s="102" t="s">
        <v>127</v>
      </c>
      <c r="G157" s="103" t="s">
        <v>128</v>
      </c>
    </row>
    <row r="158">
      <c r="A158" s="104">
        <v>1.0</v>
      </c>
      <c r="B158" s="105">
        <v>46093.0</v>
      </c>
      <c r="C158" s="106" t="s">
        <v>310</v>
      </c>
      <c r="D158" s="107"/>
      <c r="E158" s="107" t="s">
        <v>2222</v>
      </c>
      <c r="F158" s="108" t="s">
        <v>1213</v>
      </c>
      <c r="G158" s="109"/>
    </row>
    <row r="159">
      <c r="A159" s="104">
        <v>2.0</v>
      </c>
      <c r="B159" s="120"/>
      <c r="C159" s="110"/>
      <c r="D159" s="107"/>
      <c r="E159" s="107" t="s">
        <v>2223</v>
      </c>
      <c r="F159" s="108"/>
      <c r="G159" s="111" t="s">
        <v>2224</v>
      </c>
    </row>
    <row r="160">
      <c r="A160" s="104">
        <v>3.0</v>
      </c>
      <c r="B160" s="120"/>
      <c r="C160" s="110"/>
      <c r="D160" s="107"/>
      <c r="E160" s="107" t="s">
        <v>36</v>
      </c>
      <c r="F160" s="111"/>
      <c r="G160" s="111" t="s">
        <v>2225</v>
      </c>
    </row>
    <row r="161">
      <c r="A161" s="104">
        <v>4.0</v>
      </c>
      <c r="B161" s="120"/>
      <c r="C161" s="110"/>
      <c r="D161" s="107"/>
      <c r="E161" s="107" t="s">
        <v>2226</v>
      </c>
      <c r="F161" s="111" t="s">
        <v>2227</v>
      </c>
      <c r="G161" s="111"/>
    </row>
    <row r="162">
      <c r="A162" s="104">
        <v>5.0</v>
      </c>
      <c r="B162" s="120"/>
      <c r="C162" s="110"/>
      <c r="D162" s="107"/>
      <c r="E162" s="107" t="s">
        <v>277</v>
      </c>
      <c r="F162" s="111" t="s">
        <v>2228</v>
      </c>
      <c r="G162" s="109"/>
    </row>
    <row r="163">
      <c r="A163" s="112"/>
      <c r="B163" s="113"/>
      <c r="C163" s="114"/>
      <c r="D163" s="114"/>
      <c r="E163" s="99" t="s">
        <v>144</v>
      </c>
      <c r="F163" s="100">
        <v>0.0</v>
      </c>
      <c r="G163" s="114"/>
    </row>
    <row r="164">
      <c r="A164" s="115"/>
      <c r="B164" s="113"/>
      <c r="C164" s="114"/>
      <c r="D164" s="114"/>
      <c r="E164" s="99" t="s">
        <v>145</v>
      </c>
      <c r="F164" s="100">
        <f>35+50+300+50+2585</f>
        <v>3020</v>
      </c>
      <c r="G164" s="114"/>
    </row>
    <row r="165">
      <c r="A165" s="115"/>
      <c r="B165" s="113"/>
      <c r="C165" s="114"/>
      <c r="D165" s="114"/>
      <c r="E165" s="99" t="s">
        <v>146</v>
      </c>
      <c r="F165" s="100">
        <f>50+35+50+70+50+35</f>
        <v>290</v>
      </c>
      <c r="G165" s="114"/>
    </row>
    <row r="166">
      <c r="A166" s="115"/>
      <c r="B166" s="113"/>
      <c r="C166" s="114"/>
      <c r="D166" s="114"/>
      <c r="E166" s="99" t="s">
        <v>147</v>
      </c>
      <c r="F166" s="100">
        <v>220.0</v>
      </c>
      <c r="G166" s="114"/>
    </row>
    <row r="167">
      <c r="A167" s="115"/>
      <c r="B167" s="113"/>
      <c r="C167" s="114"/>
      <c r="D167" s="114"/>
      <c r="E167" s="99" t="s">
        <v>148</v>
      </c>
      <c r="F167" s="100"/>
      <c r="G167" s="220" t="s">
        <v>2229</v>
      </c>
    </row>
    <row r="168">
      <c r="A168" s="290"/>
      <c r="B168" s="187"/>
      <c r="C168" s="188"/>
      <c r="D168" s="188"/>
      <c r="E168" s="407"/>
      <c r="F168" s="408" t="s">
        <v>1942</v>
      </c>
      <c r="G168" s="409"/>
    </row>
    <row r="169">
      <c r="A169" s="118"/>
      <c r="B169" s="119"/>
      <c r="C169" s="119"/>
      <c r="D169" s="119"/>
      <c r="E169" s="119"/>
      <c r="F169" s="119"/>
      <c r="G169" s="119"/>
    </row>
    <row r="170">
      <c r="A170" s="102" t="s">
        <v>4</v>
      </c>
      <c r="B170" s="102" t="s">
        <v>5</v>
      </c>
      <c r="C170" s="102" t="s">
        <v>126</v>
      </c>
      <c r="D170" s="102" t="s">
        <v>6</v>
      </c>
      <c r="E170" s="102" t="s">
        <v>7</v>
      </c>
      <c r="F170" s="102" t="s">
        <v>127</v>
      </c>
      <c r="G170" s="103" t="s">
        <v>128</v>
      </c>
    </row>
    <row r="171">
      <c r="A171" s="104">
        <v>1.0</v>
      </c>
      <c r="B171" s="105">
        <v>46094.0</v>
      </c>
      <c r="C171" s="106" t="s">
        <v>239</v>
      </c>
      <c r="D171" s="107"/>
      <c r="E171" s="107" t="s">
        <v>2230</v>
      </c>
      <c r="F171" s="111" t="s">
        <v>2231</v>
      </c>
      <c r="G171" s="108" t="s">
        <v>2232</v>
      </c>
    </row>
    <row r="172">
      <c r="A172" s="104">
        <v>2.0</v>
      </c>
      <c r="B172" s="120"/>
      <c r="C172" s="110"/>
      <c r="D172" s="107"/>
      <c r="E172" s="107"/>
      <c r="F172" s="108"/>
      <c r="G172" s="111" t="s">
        <v>2233</v>
      </c>
    </row>
    <row r="173">
      <c r="A173" s="104">
        <v>3.0</v>
      </c>
      <c r="B173" s="120"/>
      <c r="C173" s="110"/>
      <c r="D173" s="107"/>
      <c r="E173" s="107"/>
      <c r="F173" s="111"/>
      <c r="G173" s="109"/>
    </row>
    <row r="174">
      <c r="A174" s="104">
        <v>4.0</v>
      </c>
      <c r="B174" s="120"/>
      <c r="C174" s="110"/>
      <c r="D174" s="107"/>
      <c r="E174" s="107"/>
      <c r="F174" s="108"/>
      <c r="G174" s="111"/>
    </row>
    <row r="175">
      <c r="A175" s="104">
        <v>5.0</v>
      </c>
      <c r="B175" s="120"/>
      <c r="C175" s="110"/>
      <c r="D175" s="107"/>
      <c r="E175" s="107"/>
      <c r="F175" s="108"/>
      <c r="G175" s="109"/>
    </row>
    <row r="176">
      <c r="A176" s="104">
        <v>6.0</v>
      </c>
      <c r="B176" s="120"/>
      <c r="C176" s="110"/>
      <c r="D176" s="107"/>
      <c r="E176" s="107"/>
      <c r="F176" s="108"/>
      <c r="G176" s="109"/>
    </row>
    <row r="177">
      <c r="A177" s="104">
        <v>7.0</v>
      </c>
      <c r="B177" s="120"/>
      <c r="C177" s="110"/>
      <c r="D177" s="107"/>
      <c r="E177" s="107"/>
      <c r="F177" s="108"/>
      <c r="G177" s="109"/>
    </row>
    <row r="178">
      <c r="A178" s="104">
        <v>8.0</v>
      </c>
      <c r="B178" s="120"/>
      <c r="C178" s="106"/>
      <c r="D178" s="107"/>
      <c r="E178" s="107"/>
      <c r="F178" s="108"/>
      <c r="G178" s="109"/>
    </row>
    <row r="179">
      <c r="A179" s="104">
        <v>9.0</v>
      </c>
      <c r="B179" s="120"/>
      <c r="C179" s="110"/>
      <c r="D179" s="107"/>
      <c r="E179" s="107"/>
      <c r="F179" s="108"/>
      <c r="G179" s="109"/>
    </row>
    <row r="180">
      <c r="A180" s="104">
        <v>10.0</v>
      </c>
      <c r="B180" s="120"/>
      <c r="C180" s="110"/>
      <c r="D180" s="107"/>
      <c r="E180" s="107"/>
      <c r="F180" s="108"/>
      <c r="G180" s="109"/>
    </row>
    <row r="181">
      <c r="A181" s="104">
        <v>11.0</v>
      </c>
      <c r="B181" s="120"/>
      <c r="C181" s="110"/>
      <c r="D181" s="107"/>
      <c r="E181" s="107"/>
      <c r="F181" s="108"/>
      <c r="G181" s="109"/>
    </row>
    <row r="182">
      <c r="A182" s="104">
        <v>12.0</v>
      </c>
      <c r="B182" s="120"/>
      <c r="C182" s="110"/>
      <c r="D182" s="107"/>
      <c r="E182" s="107"/>
      <c r="F182" s="109"/>
      <c r="G182" s="111"/>
    </row>
    <row r="183">
      <c r="A183" s="104">
        <v>13.0</v>
      </c>
      <c r="B183" s="120"/>
      <c r="C183" s="110"/>
      <c r="D183" s="107"/>
      <c r="E183" s="107"/>
      <c r="F183" s="121"/>
      <c r="G183" s="109"/>
    </row>
    <row r="184">
      <c r="A184" s="104">
        <v>14.0</v>
      </c>
      <c r="B184" s="120"/>
      <c r="C184" s="110"/>
      <c r="D184" s="107"/>
      <c r="E184" s="107"/>
      <c r="F184" s="108"/>
      <c r="G184" s="109"/>
    </row>
    <row r="185">
      <c r="A185" s="122">
        <v>15.0</v>
      </c>
      <c r="B185" s="123"/>
      <c r="C185" s="124"/>
      <c r="D185" s="107"/>
      <c r="E185" s="125"/>
      <c r="F185" s="109"/>
      <c r="G185" s="109"/>
    </row>
    <row r="186">
      <c r="A186" s="112"/>
      <c r="B186" s="113"/>
      <c r="C186" s="114"/>
      <c r="D186" s="114"/>
      <c r="E186" s="99" t="s">
        <v>144</v>
      </c>
      <c r="F186" s="131"/>
      <c r="G186" s="114"/>
    </row>
    <row r="187">
      <c r="A187" s="115"/>
      <c r="B187" s="113"/>
      <c r="C187" s="114"/>
      <c r="D187" s="114"/>
      <c r="E187" s="99" t="s">
        <v>145</v>
      </c>
      <c r="F187" s="100"/>
      <c r="G187" s="114"/>
    </row>
    <row r="188">
      <c r="A188" s="115"/>
      <c r="B188" s="113"/>
      <c r="C188" s="114"/>
      <c r="D188" s="114"/>
      <c r="E188" s="99" t="s">
        <v>146</v>
      </c>
      <c r="F188" s="100"/>
      <c r="G188" s="114"/>
    </row>
    <row r="189">
      <c r="A189" s="115"/>
      <c r="B189" s="113"/>
      <c r="C189" s="114"/>
      <c r="D189" s="114"/>
      <c r="E189" s="99" t="s">
        <v>147</v>
      </c>
      <c r="F189" s="100"/>
      <c r="G189" s="114"/>
    </row>
    <row r="190">
      <c r="A190" s="115"/>
      <c r="B190" s="113"/>
      <c r="C190" s="114"/>
      <c r="D190" s="114"/>
      <c r="E190" s="99" t="s">
        <v>148</v>
      </c>
      <c r="F190" s="100"/>
      <c r="G190" s="114"/>
    </row>
    <row r="191">
      <c r="A191" s="118"/>
      <c r="B191" s="119"/>
      <c r="C191" s="119"/>
      <c r="D191" s="119"/>
      <c r="E191" s="119"/>
      <c r="F191" s="119"/>
      <c r="G191" s="119"/>
    </row>
    <row r="192">
      <c r="A192" s="102" t="s">
        <v>4</v>
      </c>
      <c r="B192" s="102" t="s">
        <v>5</v>
      </c>
      <c r="C192" s="102" t="s">
        <v>126</v>
      </c>
      <c r="D192" s="102" t="s">
        <v>6</v>
      </c>
      <c r="E192" s="102" t="s">
        <v>7</v>
      </c>
      <c r="F192" s="102" t="s">
        <v>127</v>
      </c>
      <c r="G192" s="103" t="s">
        <v>128</v>
      </c>
    </row>
    <row r="193">
      <c r="A193" s="104">
        <v>1.0</v>
      </c>
      <c r="B193" s="105">
        <v>46095.0</v>
      </c>
      <c r="C193" s="106" t="s">
        <v>341</v>
      </c>
      <c r="D193" s="107"/>
      <c r="E193" s="107"/>
      <c r="F193" s="108"/>
      <c r="G193" s="109"/>
    </row>
    <row r="194">
      <c r="A194" s="104">
        <v>2.0</v>
      </c>
      <c r="B194" s="120"/>
      <c r="C194" s="110"/>
      <c r="D194" s="107"/>
      <c r="E194" s="107"/>
      <c r="F194" s="108"/>
      <c r="G194" s="109"/>
    </row>
    <row r="195">
      <c r="A195" s="104">
        <v>3.0</v>
      </c>
      <c r="B195" s="120"/>
      <c r="C195" s="110"/>
      <c r="D195" s="107"/>
      <c r="E195" s="107"/>
      <c r="F195" s="111"/>
      <c r="G195" s="109"/>
    </row>
    <row r="196">
      <c r="A196" s="104">
        <v>4.0</v>
      </c>
      <c r="B196" s="120"/>
      <c r="C196" s="110"/>
      <c r="D196" s="107"/>
      <c r="E196" s="107"/>
      <c r="F196" s="108"/>
      <c r="G196" s="111"/>
    </row>
    <row r="197">
      <c r="A197" s="104">
        <v>5.0</v>
      </c>
      <c r="B197" s="120"/>
      <c r="C197" s="110"/>
      <c r="D197" s="107"/>
      <c r="E197" s="107"/>
      <c r="F197" s="108"/>
      <c r="G197" s="109"/>
    </row>
    <row r="198">
      <c r="A198" s="104">
        <v>6.0</v>
      </c>
      <c r="B198" s="120"/>
      <c r="C198" s="110"/>
      <c r="D198" s="107"/>
      <c r="E198" s="107"/>
      <c r="F198" s="108"/>
      <c r="G198" s="109"/>
    </row>
    <row r="199">
      <c r="A199" s="104">
        <v>7.0</v>
      </c>
      <c r="B199" s="120"/>
      <c r="C199" s="110"/>
      <c r="D199" s="107"/>
      <c r="E199" s="107"/>
      <c r="F199" s="108"/>
      <c r="G199" s="109"/>
    </row>
    <row r="200">
      <c r="A200" s="104">
        <v>8.0</v>
      </c>
      <c r="B200" s="120"/>
      <c r="C200" s="106"/>
      <c r="D200" s="107"/>
      <c r="E200" s="107"/>
      <c r="F200" s="108"/>
      <c r="G200" s="109"/>
    </row>
    <row r="201">
      <c r="A201" s="104">
        <v>9.0</v>
      </c>
      <c r="B201" s="120"/>
      <c r="C201" s="110"/>
      <c r="D201" s="107"/>
      <c r="E201" s="107"/>
      <c r="F201" s="108"/>
      <c r="G201" s="109"/>
    </row>
    <row r="202">
      <c r="A202" s="104">
        <v>10.0</v>
      </c>
      <c r="B202" s="120"/>
      <c r="C202" s="110"/>
      <c r="D202" s="107"/>
      <c r="E202" s="107"/>
      <c r="F202" s="108"/>
      <c r="G202" s="109"/>
    </row>
    <row r="203">
      <c r="A203" s="104">
        <v>11.0</v>
      </c>
      <c r="B203" s="120"/>
      <c r="C203" s="110"/>
      <c r="D203" s="107"/>
      <c r="E203" s="107"/>
      <c r="F203" s="108"/>
      <c r="G203" s="109"/>
    </row>
    <row r="204">
      <c r="A204" s="104">
        <v>12.0</v>
      </c>
      <c r="B204" s="120"/>
      <c r="C204" s="110"/>
      <c r="D204" s="107"/>
      <c r="E204" s="107"/>
      <c r="F204" s="109"/>
      <c r="G204" s="111"/>
    </row>
    <row r="205">
      <c r="A205" s="104">
        <v>13.0</v>
      </c>
      <c r="B205" s="120"/>
      <c r="C205" s="110"/>
      <c r="D205" s="107"/>
      <c r="E205" s="107"/>
      <c r="F205" s="121"/>
      <c r="G205" s="109"/>
    </row>
    <row r="206">
      <c r="A206" s="104">
        <v>14.0</v>
      </c>
      <c r="B206" s="120"/>
      <c r="C206" s="110"/>
      <c r="D206" s="107"/>
      <c r="E206" s="107"/>
      <c r="F206" s="108"/>
      <c r="G206" s="109"/>
    </row>
    <row r="207">
      <c r="A207" s="122">
        <v>15.0</v>
      </c>
      <c r="B207" s="123"/>
      <c r="C207" s="124"/>
      <c r="D207" s="107"/>
      <c r="E207" s="125"/>
      <c r="F207" s="109"/>
      <c r="G207" s="109"/>
    </row>
    <row r="208">
      <c r="A208" s="112"/>
      <c r="B208" s="113"/>
      <c r="C208" s="114"/>
      <c r="D208" s="114"/>
      <c r="E208" s="99" t="s">
        <v>144</v>
      </c>
      <c r="F208" s="131"/>
      <c r="G208" s="114"/>
    </row>
    <row r="209">
      <c r="A209" s="115"/>
      <c r="B209" s="113"/>
      <c r="C209" s="114"/>
      <c r="D209" s="114"/>
      <c r="E209" s="99" t="s">
        <v>145</v>
      </c>
      <c r="F209" s="100"/>
      <c r="G209" s="114"/>
    </row>
    <row r="210">
      <c r="A210" s="115"/>
      <c r="B210" s="113"/>
      <c r="C210" s="114"/>
      <c r="D210" s="114"/>
      <c r="E210" s="99" t="s">
        <v>146</v>
      </c>
      <c r="F210" s="100"/>
      <c r="G210" s="114"/>
    </row>
    <row r="211">
      <c r="A211" s="115"/>
      <c r="B211" s="113"/>
      <c r="C211" s="114"/>
      <c r="D211" s="114"/>
      <c r="E211" s="99" t="s">
        <v>147</v>
      </c>
      <c r="F211" s="100"/>
      <c r="G211" s="114"/>
    </row>
    <row r="212">
      <c r="A212" s="115"/>
      <c r="B212" s="113"/>
      <c r="C212" s="114"/>
      <c r="D212" s="114"/>
      <c r="E212" s="99" t="s">
        <v>148</v>
      </c>
      <c r="F212" s="100"/>
      <c r="G212" s="114"/>
    </row>
    <row r="213">
      <c r="A213" s="118"/>
      <c r="B213" s="119"/>
      <c r="C213" s="119"/>
      <c r="D213" s="119"/>
      <c r="E213" s="119"/>
      <c r="F213" s="119"/>
      <c r="G213" s="119"/>
    </row>
    <row r="214">
      <c r="A214" s="102" t="s">
        <v>4</v>
      </c>
      <c r="B214" s="102" t="s">
        <v>5</v>
      </c>
      <c r="C214" s="102" t="s">
        <v>126</v>
      </c>
      <c r="D214" s="102" t="s">
        <v>6</v>
      </c>
      <c r="E214" s="102" t="s">
        <v>7</v>
      </c>
      <c r="F214" s="102" t="s">
        <v>127</v>
      </c>
      <c r="G214" s="103" t="s">
        <v>128</v>
      </c>
    </row>
    <row r="215">
      <c r="A215" s="104">
        <v>1.0</v>
      </c>
      <c r="B215" s="105">
        <v>46096.0</v>
      </c>
      <c r="C215" s="106" t="s">
        <v>129</v>
      </c>
      <c r="D215" s="107"/>
      <c r="E215" s="107"/>
      <c r="F215" s="108"/>
      <c r="G215" s="109"/>
    </row>
    <row r="216">
      <c r="A216" s="104">
        <v>2.0</v>
      </c>
      <c r="B216" s="120"/>
      <c r="C216" s="110"/>
      <c r="D216" s="107"/>
      <c r="E216" s="107"/>
      <c r="F216" s="108"/>
      <c r="G216" s="109"/>
    </row>
    <row r="217">
      <c r="A217" s="104">
        <v>3.0</v>
      </c>
      <c r="B217" s="120"/>
      <c r="C217" s="110"/>
      <c r="D217" s="107"/>
      <c r="E217" s="107"/>
      <c r="F217" s="111"/>
      <c r="G217" s="109"/>
    </row>
    <row r="218">
      <c r="A218" s="104">
        <v>4.0</v>
      </c>
      <c r="B218" s="120"/>
      <c r="C218" s="110"/>
      <c r="D218" s="107"/>
      <c r="E218" s="107"/>
      <c r="F218" s="108"/>
      <c r="G218" s="111"/>
    </row>
    <row r="219">
      <c r="A219" s="104">
        <v>5.0</v>
      </c>
      <c r="B219" s="120"/>
      <c r="C219" s="110"/>
      <c r="D219" s="107"/>
      <c r="E219" s="107"/>
      <c r="F219" s="108"/>
      <c r="G219" s="109"/>
    </row>
    <row r="220">
      <c r="A220" s="104">
        <v>6.0</v>
      </c>
      <c r="B220" s="120"/>
      <c r="C220" s="110"/>
      <c r="D220" s="107"/>
      <c r="E220" s="107"/>
      <c r="F220" s="108"/>
      <c r="G220" s="109"/>
    </row>
    <row r="221">
      <c r="A221" s="104">
        <v>7.0</v>
      </c>
      <c r="B221" s="120"/>
      <c r="C221" s="110"/>
      <c r="D221" s="107"/>
      <c r="E221" s="107"/>
      <c r="F221" s="108"/>
      <c r="G221" s="109"/>
    </row>
    <row r="222">
      <c r="A222" s="104">
        <v>8.0</v>
      </c>
      <c r="B222" s="120"/>
      <c r="C222" s="106"/>
      <c r="D222" s="107"/>
      <c r="E222" s="107"/>
      <c r="F222" s="108"/>
      <c r="G222" s="109"/>
    </row>
    <row r="223">
      <c r="A223" s="104">
        <v>9.0</v>
      </c>
      <c r="B223" s="120"/>
      <c r="C223" s="110"/>
      <c r="D223" s="107"/>
      <c r="E223" s="107"/>
      <c r="F223" s="108"/>
      <c r="G223" s="109"/>
    </row>
    <row r="224">
      <c r="A224" s="104">
        <v>10.0</v>
      </c>
      <c r="B224" s="120"/>
      <c r="C224" s="110"/>
      <c r="D224" s="107"/>
      <c r="E224" s="107"/>
      <c r="F224" s="108"/>
      <c r="G224" s="109"/>
    </row>
    <row r="225">
      <c r="A225" s="104">
        <v>11.0</v>
      </c>
      <c r="B225" s="120"/>
      <c r="C225" s="110"/>
      <c r="D225" s="107"/>
      <c r="E225" s="107"/>
      <c r="F225" s="108"/>
      <c r="G225" s="109"/>
    </row>
    <row r="226">
      <c r="A226" s="104">
        <v>12.0</v>
      </c>
      <c r="B226" s="120"/>
      <c r="C226" s="110"/>
      <c r="D226" s="107"/>
      <c r="E226" s="107"/>
      <c r="F226" s="109"/>
      <c r="G226" s="111"/>
    </row>
    <row r="227">
      <c r="A227" s="104">
        <v>13.0</v>
      </c>
      <c r="B227" s="120"/>
      <c r="C227" s="110"/>
      <c r="D227" s="107"/>
      <c r="E227" s="107"/>
      <c r="F227" s="121"/>
      <c r="G227" s="109"/>
    </row>
    <row r="228">
      <c r="A228" s="104">
        <v>14.0</v>
      </c>
      <c r="B228" s="120"/>
      <c r="C228" s="110"/>
      <c r="D228" s="107"/>
      <c r="E228" s="107"/>
      <c r="F228" s="108"/>
      <c r="G228" s="109"/>
    </row>
    <row r="229">
      <c r="A229" s="122">
        <v>15.0</v>
      </c>
      <c r="B229" s="123"/>
      <c r="C229" s="124"/>
      <c r="D229" s="107"/>
      <c r="E229" s="125"/>
      <c r="F229" s="109"/>
      <c r="G229" s="109"/>
    </row>
    <row r="230">
      <c r="A230" s="112"/>
      <c r="B230" s="113"/>
      <c r="C230" s="114"/>
      <c r="D230" s="114"/>
      <c r="E230" s="99" t="s">
        <v>144</v>
      </c>
      <c r="F230" s="131"/>
      <c r="G230" s="114"/>
    </row>
    <row r="231">
      <c r="A231" s="115"/>
      <c r="B231" s="113"/>
      <c r="C231" s="114"/>
      <c r="D231" s="114"/>
      <c r="E231" s="99" t="s">
        <v>145</v>
      </c>
      <c r="F231" s="100"/>
      <c r="G231" s="114"/>
    </row>
    <row r="232">
      <c r="A232" s="115"/>
      <c r="B232" s="113"/>
      <c r="C232" s="114"/>
      <c r="D232" s="114"/>
      <c r="E232" s="99" t="s">
        <v>146</v>
      </c>
      <c r="F232" s="100"/>
      <c r="G232" s="114"/>
    </row>
    <row r="233">
      <c r="A233" s="115"/>
      <c r="B233" s="113"/>
      <c r="C233" s="114"/>
      <c r="D233" s="114"/>
      <c r="E233" s="99" t="s">
        <v>147</v>
      </c>
      <c r="F233" s="100"/>
      <c r="G233" s="114"/>
    </row>
    <row r="234">
      <c r="A234" s="115"/>
      <c r="B234" s="113"/>
      <c r="C234" s="114"/>
      <c r="D234" s="114"/>
      <c r="E234" s="99" t="s">
        <v>148</v>
      </c>
      <c r="F234" s="100"/>
      <c r="G234" s="114"/>
    </row>
    <row r="235">
      <c r="A235" s="118"/>
      <c r="B235" s="119"/>
      <c r="C235" s="119"/>
      <c r="D235" s="119"/>
      <c r="E235" s="119"/>
      <c r="F235" s="119"/>
      <c r="G235" s="119"/>
    </row>
    <row r="236">
      <c r="A236" s="102" t="s">
        <v>4</v>
      </c>
      <c r="B236" s="102" t="s">
        <v>5</v>
      </c>
      <c r="C236" s="102" t="s">
        <v>126</v>
      </c>
      <c r="D236" s="102" t="s">
        <v>6</v>
      </c>
      <c r="E236" s="102" t="s">
        <v>7</v>
      </c>
      <c r="F236" s="102" t="s">
        <v>127</v>
      </c>
      <c r="G236" s="103" t="s">
        <v>128</v>
      </c>
    </row>
    <row r="237">
      <c r="A237" s="104">
        <v>1.0</v>
      </c>
      <c r="B237" s="105">
        <v>46097.0</v>
      </c>
      <c r="C237" s="106" t="s">
        <v>261</v>
      </c>
      <c r="D237" s="107"/>
      <c r="E237" s="107"/>
      <c r="F237" s="108"/>
      <c r="G237" s="109"/>
    </row>
    <row r="238">
      <c r="A238" s="104">
        <v>2.0</v>
      </c>
      <c r="B238" s="120"/>
      <c r="C238" s="110"/>
      <c r="D238" s="107"/>
      <c r="E238" s="107"/>
      <c r="F238" s="108"/>
      <c r="G238" s="109"/>
    </row>
    <row r="239">
      <c r="A239" s="104">
        <v>3.0</v>
      </c>
      <c r="B239" s="120"/>
      <c r="C239" s="110"/>
      <c r="D239" s="107"/>
      <c r="E239" s="107"/>
      <c r="F239" s="111"/>
      <c r="G239" s="109"/>
    </row>
    <row r="240">
      <c r="A240" s="104">
        <v>4.0</v>
      </c>
      <c r="B240" s="120"/>
      <c r="C240" s="110"/>
      <c r="D240" s="107"/>
      <c r="E240" s="107"/>
      <c r="F240" s="108"/>
      <c r="G240" s="111"/>
    </row>
    <row r="241">
      <c r="A241" s="104">
        <v>5.0</v>
      </c>
      <c r="B241" s="120"/>
      <c r="C241" s="110"/>
      <c r="D241" s="107"/>
      <c r="E241" s="107"/>
      <c r="F241" s="108"/>
      <c r="G241" s="109"/>
    </row>
    <row r="242">
      <c r="A242" s="104">
        <v>6.0</v>
      </c>
      <c r="B242" s="120"/>
      <c r="C242" s="110"/>
      <c r="D242" s="107"/>
      <c r="E242" s="107"/>
      <c r="F242" s="108"/>
      <c r="G242" s="109"/>
    </row>
    <row r="243">
      <c r="A243" s="104">
        <v>7.0</v>
      </c>
      <c r="B243" s="120"/>
      <c r="C243" s="110"/>
      <c r="D243" s="107"/>
      <c r="E243" s="107"/>
      <c r="F243" s="108"/>
      <c r="G243" s="109"/>
    </row>
    <row r="244">
      <c r="A244" s="104">
        <v>8.0</v>
      </c>
      <c r="B244" s="120"/>
      <c r="C244" s="106"/>
      <c r="D244" s="107"/>
      <c r="E244" s="107"/>
      <c r="F244" s="108"/>
      <c r="G244" s="109"/>
    </row>
    <row r="245">
      <c r="A245" s="104">
        <v>9.0</v>
      </c>
      <c r="B245" s="120"/>
      <c r="C245" s="110"/>
      <c r="D245" s="107"/>
      <c r="E245" s="107"/>
      <c r="F245" s="108"/>
      <c r="G245" s="109"/>
    </row>
    <row r="246">
      <c r="A246" s="104">
        <v>10.0</v>
      </c>
      <c r="B246" s="120"/>
      <c r="C246" s="110"/>
      <c r="D246" s="107"/>
      <c r="E246" s="107"/>
      <c r="F246" s="108"/>
      <c r="G246" s="109"/>
    </row>
    <row r="247">
      <c r="A247" s="104">
        <v>11.0</v>
      </c>
      <c r="B247" s="120"/>
      <c r="C247" s="110"/>
      <c r="D247" s="107"/>
      <c r="E247" s="107"/>
      <c r="F247" s="108"/>
      <c r="G247" s="109"/>
    </row>
    <row r="248">
      <c r="A248" s="104">
        <v>12.0</v>
      </c>
      <c r="B248" s="120"/>
      <c r="C248" s="110"/>
      <c r="D248" s="107"/>
      <c r="E248" s="107"/>
      <c r="F248" s="109"/>
      <c r="G248" s="111"/>
    </row>
    <row r="249">
      <c r="A249" s="104">
        <v>13.0</v>
      </c>
      <c r="B249" s="120"/>
      <c r="C249" s="110"/>
      <c r="D249" s="107"/>
      <c r="E249" s="107"/>
      <c r="F249" s="121"/>
      <c r="G249" s="109"/>
    </row>
    <row r="250">
      <c r="A250" s="104">
        <v>14.0</v>
      </c>
      <c r="B250" s="120"/>
      <c r="C250" s="110"/>
      <c r="D250" s="107"/>
      <c r="E250" s="107"/>
      <c r="F250" s="108"/>
      <c r="G250" s="109"/>
    </row>
    <row r="251">
      <c r="A251" s="122">
        <v>15.0</v>
      </c>
      <c r="B251" s="123"/>
      <c r="C251" s="124"/>
      <c r="D251" s="107"/>
      <c r="E251" s="125"/>
      <c r="F251" s="109"/>
      <c r="G251" s="109"/>
    </row>
    <row r="252">
      <c r="A252" s="112"/>
      <c r="B252" s="113"/>
      <c r="C252" s="114"/>
      <c r="D252" s="114"/>
      <c r="E252" s="99" t="s">
        <v>144</v>
      </c>
      <c r="F252" s="131"/>
      <c r="G252" s="114"/>
    </row>
    <row r="253">
      <c r="A253" s="115"/>
      <c r="B253" s="113"/>
      <c r="C253" s="114"/>
      <c r="D253" s="114"/>
      <c r="E253" s="99" t="s">
        <v>145</v>
      </c>
      <c r="F253" s="100"/>
      <c r="G253" s="114"/>
    </row>
    <row r="254">
      <c r="A254" s="115"/>
      <c r="B254" s="113"/>
      <c r="C254" s="114"/>
      <c r="D254" s="114"/>
      <c r="E254" s="99" t="s">
        <v>146</v>
      </c>
      <c r="F254" s="100"/>
      <c r="G254" s="114"/>
    </row>
    <row r="255">
      <c r="A255" s="115"/>
      <c r="B255" s="113"/>
      <c r="C255" s="114"/>
      <c r="D255" s="114"/>
      <c r="E255" s="99" t="s">
        <v>147</v>
      </c>
      <c r="F255" s="100"/>
      <c r="G255" s="114"/>
    </row>
    <row r="256">
      <c r="A256" s="115"/>
      <c r="B256" s="113"/>
      <c r="C256" s="114"/>
      <c r="D256" s="114"/>
      <c r="E256" s="99" t="s">
        <v>148</v>
      </c>
      <c r="F256" s="100"/>
      <c r="G256" s="114"/>
    </row>
    <row r="257">
      <c r="A257" s="118"/>
      <c r="B257" s="119"/>
      <c r="C257" s="119"/>
      <c r="D257" s="119"/>
      <c r="E257" s="119"/>
      <c r="F257" s="119"/>
      <c r="G257" s="119"/>
    </row>
    <row r="258">
      <c r="A258" s="102" t="s">
        <v>4</v>
      </c>
      <c r="B258" s="102" t="s">
        <v>5</v>
      </c>
      <c r="C258" s="102" t="s">
        <v>126</v>
      </c>
      <c r="D258" s="102" t="s">
        <v>6</v>
      </c>
      <c r="E258" s="102" t="s">
        <v>7</v>
      </c>
      <c r="F258" s="102" t="s">
        <v>127</v>
      </c>
      <c r="G258" s="103" t="s">
        <v>128</v>
      </c>
    </row>
    <row r="259">
      <c r="A259" s="104">
        <v>1.0</v>
      </c>
      <c r="B259" s="105">
        <v>46098.0</v>
      </c>
      <c r="C259" s="106" t="s">
        <v>169</v>
      </c>
      <c r="D259" s="107"/>
      <c r="E259" s="107"/>
      <c r="F259" s="108"/>
      <c r="G259" s="109"/>
    </row>
    <row r="260">
      <c r="A260" s="104">
        <v>2.0</v>
      </c>
      <c r="B260" s="120"/>
      <c r="C260" s="110"/>
      <c r="D260" s="107"/>
      <c r="E260" s="107"/>
      <c r="F260" s="108"/>
      <c r="G260" s="109"/>
    </row>
    <row r="261">
      <c r="A261" s="104">
        <v>3.0</v>
      </c>
      <c r="B261" s="120"/>
      <c r="C261" s="110"/>
      <c r="D261" s="107"/>
      <c r="E261" s="107"/>
      <c r="F261" s="111"/>
      <c r="G261" s="109"/>
    </row>
    <row r="262">
      <c r="A262" s="104">
        <v>4.0</v>
      </c>
      <c r="B262" s="120"/>
      <c r="C262" s="110"/>
      <c r="D262" s="107"/>
      <c r="E262" s="107"/>
      <c r="F262" s="108"/>
      <c r="G262" s="111"/>
    </row>
    <row r="263">
      <c r="A263" s="104">
        <v>5.0</v>
      </c>
      <c r="B263" s="120"/>
      <c r="C263" s="110"/>
      <c r="D263" s="107"/>
      <c r="E263" s="107"/>
      <c r="F263" s="108"/>
      <c r="G263" s="109"/>
    </row>
    <row r="264">
      <c r="A264" s="104">
        <v>6.0</v>
      </c>
      <c r="B264" s="120"/>
      <c r="C264" s="110"/>
      <c r="D264" s="107"/>
      <c r="E264" s="107"/>
      <c r="F264" s="108"/>
      <c r="G264" s="109"/>
    </row>
    <row r="265">
      <c r="A265" s="104">
        <v>7.0</v>
      </c>
      <c r="B265" s="120"/>
      <c r="C265" s="110"/>
      <c r="D265" s="107"/>
      <c r="E265" s="107"/>
      <c r="F265" s="108"/>
      <c r="G265" s="109"/>
    </row>
    <row r="266">
      <c r="A266" s="104">
        <v>8.0</v>
      </c>
      <c r="B266" s="120"/>
      <c r="C266" s="106"/>
      <c r="D266" s="107"/>
      <c r="E266" s="107"/>
      <c r="F266" s="108"/>
      <c r="G266" s="109"/>
    </row>
    <row r="267">
      <c r="A267" s="104">
        <v>9.0</v>
      </c>
      <c r="B267" s="120"/>
      <c r="C267" s="110"/>
      <c r="D267" s="107"/>
      <c r="E267" s="107"/>
      <c r="F267" s="108"/>
      <c r="G267" s="109"/>
    </row>
    <row r="268">
      <c r="A268" s="104">
        <v>10.0</v>
      </c>
      <c r="B268" s="120"/>
      <c r="C268" s="110"/>
      <c r="D268" s="107"/>
      <c r="E268" s="107"/>
      <c r="F268" s="108"/>
      <c r="G268" s="109"/>
    </row>
    <row r="269">
      <c r="A269" s="104">
        <v>11.0</v>
      </c>
      <c r="B269" s="120"/>
      <c r="C269" s="110"/>
      <c r="D269" s="107"/>
      <c r="E269" s="107"/>
      <c r="F269" s="108"/>
      <c r="G269" s="109"/>
    </row>
    <row r="270">
      <c r="A270" s="104">
        <v>12.0</v>
      </c>
      <c r="B270" s="120"/>
      <c r="C270" s="110"/>
      <c r="D270" s="107"/>
      <c r="E270" s="107"/>
      <c r="F270" s="109"/>
      <c r="G270" s="111"/>
    </row>
    <row r="271">
      <c r="A271" s="104">
        <v>13.0</v>
      </c>
      <c r="B271" s="120"/>
      <c r="C271" s="110"/>
      <c r="D271" s="107"/>
      <c r="E271" s="107"/>
      <c r="F271" s="121"/>
      <c r="G271" s="109"/>
    </row>
    <row r="272">
      <c r="A272" s="104">
        <v>14.0</v>
      </c>
      <c r="B272" s="120"/>
      <c r="C272" s="110"/>
      <c r="D272" s="107"/>
      <c r="E272" s="107"/>
      <c r="F272" s="108"/>
      <c r="G272" s="109"/>
    </row>
    <row r="273">
      <c r="A273" s="122">
        <v>15.0</v>
      </c>
      <c r="B273" s="123"/>
      <c r="C273" s="124"/>
      <c r="D273" s="107"/>
      <c r="E273" s="125"/>
      <c r="F273" s="109"/>
      <c r="G273" s="109"/>
    </row>
    <row r="274">
      <c r="A274" s="112"/>
      <c r="B274" s="113"/>
      <c r="C274" s="114"/>
      <c r="D274" s="114"/>
      <c r="E274" s="99" t="s">
        <v>144</v>
      </c>
      <c r="F274" s="131"/>
      <c r="G274" s="114"/>
    </row>
    <row r="275">
      <c r="A275" s="115"/>
      <c r="B275" s="113"/>
      <c r="C275" s="114"/>
      <c r="D275" s="114"/>
      <c r="E275" s="99" t="s">
        <v>145</v>
      </c>
      <c r="F275" s="100"/>
      <c r="G275" s="114"/>
    </row>
    <row r="276">
      <c r="A276" s="115"/>
      <c r="B276" s="113"/>
      <c r="C276" s="114"/>
      <c r="D276" s="114"/>
      <c r="E276" s="99" t="s">
        <v>146</v>
      </c>
      <c r="F276" s="100"/>
      <c r="G276" s="114"/>
    </row>
    <row r="277">
      <c r="A277" s="115"/>
      <c r="B277" s="113"/>
      <c r="C277" s="114"/>
      <c r="D277" s="114"/>
      <c r="E277" s="99" t="s">
        <v>147</v>
      </c>
      <c r="F277" s="100"/>
      <c r="G277" s="114"/>
    </row>
    <row r="278">
      <c r="A278" s="115"/>
      <c r="B278" s="113"/>
      <c r="C278" s="114"/>
      <c r="D278" s="114"/>
      <c r="E278" s="99" t="s">
        <v>148</v>
      </c>
      <c r="F278" s="100"/>
      <c r="G278" s="114"/>
    </row>
    <row r="279">
      <c r="A279" s="118"/>
      <c r="B279" s="119"/>
      <c r="C279" s="119"/>
      <c r="D279" s="119"/>
      <c r="E279" s="119"/>
      <c r="F279" s="119"/>
      <c r="G279" s="119"/>
    </row>
    <row r="280">
      <c r="A280" s="102" t="s">
        <v>4</v>
      </c>
      <c r="B280" s="102" t="s">
        <v>5</v>
      </c>
      <c r="C280" s="102" t="s">
        <v>126</v>
      </c>
      <c r="D280" s="102" t="s">
        <v>6</v>
      </c>
      <c r="E280" s="102" t="s">
        <v>7</v>
      </c>
      <c r="F280" s="102" t="s">
        <v>127</v>
      </c>
      <c r="G280" s="103" t="s">
        <v>128</v>
      </c>
    </row>
    <row r="281">
      <c r="A281" s="104">
        <v>1.0</v>
      </c>
      <c r="B281" s="105">
        <v>46099.0</v>
      </c>
      <c r="C281" s="106" t="s">
        <v>299</v>
      </c>
      <c r="D281" s="107"/>
      <c r="E281" s="107" t="s">
        <v>2234</v>
      </c>
      <c r="F281" s="108"/>
      <c r="G281" s="109"/>
    </row>
    <row r="282">
      <c r="A282" s="104">
        <v>2.0</v>
      </c>
      <c r="B282" s="120"/>
      <c r="C282" s="110"/>
      <c r="D282" s="107"/>
      <c r="E282" s="107" t="s">
        <v>2235</v>
      </c>
      <c r="F282" s="108"/>
      <c r="G282" s="111" t="s">
        <v>2236</v>
      </c>
    </row>
    <row r="283">
      <c r="A283" s="104">
        <v>3.0</v>
      </c>
      <c r="B283" s="120"/>
      <c r="C283" s="110"/>
      <c r="D283" s="107"/>
      <c r="E283" s="107" t="s">
        <v>2237</v>
      </c>
      <c r="F283" s="111" t="s">
        <v>2238</v>
      </c>
      <c r="G283" s="111" t="s">
        <v>2239</v>
      </c>
    </row>
    <row r="284">
      <c r="A284" s="104">
        <v>4.0</v>
      </c>
      <c r="B284" s="120"/>
      <c r="C284" s="110"/>
      <c r="D284" s="107"/>
      <c r="E284" s="107" t="s">
        <v>2240</v>
      </c>
      <c r="F284" s="108"/>
      <c r="G284" s="111"/>
    </row>
    <row r="285">
      <c r="A285" s="104">
        <v>5.0</v>
      </c>
      <c r="B285" s="120"/>
      <c r="C285" s="110"/>
      <c r="D285" s="107"/>
      <c r="E285" s="107" t="s">
        <v>2241</v>
      </c>
      <c r="F285" s="108"/>
      <c r="G285" s="109"/>
    </row>
    <row r="286">
      <c r="A286" s="104">
        <v>6.0</v>
      </c>
      <c r="B286" s="120"/>
      <c r="C286" s="110"/>
      <c r="D286" s="107"/>
      <c r="E286" s="107" t="s">
        <v>2242</v>
      </c>
      <c r="F286" s="108"/>
      <c r="G286" s="109"/>
    </row>
    <row r="287">
      <c r="A287" s="104">
        <v>7.0</v>
      </c>
      <c r="B287" s="120"/>
      <c r="C287" s="110"/>
      <c r="D287" s="107"/>
      <c r="E287" s="107" t="s">
        <v>2243</v>
      </c>
      <c r="F287" s="111" t="s">
        <v>2244</v>
      </c>
      <c r="G287" s="111" t="s">
        <v>2245</v>
      </c>
    </row>
    <row r="288">
      <c r="A288" s="104">
        <v>8.0</v>
      </c>
      <c r="B288" s="120"/>
      <c r="C288" s="106"/>
      <c r="D288" s="107"/>
      <c r="E288" s="107" t="s">
        <v>2246</v>
      </c>
      <c r="F288" s="108"/>
      <c r="G288" s="109"/>
    </row>
    <row r="289">
      <c r="A289" s="104">
        <v>9.0</v>
      </c>
      <c r="B289" s="120"/>
      <c r="C289" s="110"/>
      <c r="D289" s="107"/>
      <c r="E289" s="107" t="s">
        <v>2247</v>
      </c>
      <c r="F289" s="108"/>
      <c r="G289" s="109"/>
    </row>
    <row r="290">
      <c r="A290" s="104">
        <v>10.0</v>
      </c>
      <c r="B290" s="120"/>
      <c r="C290" s="110"/>
      <c r="D290" s="107"/>
      <c r="E290" s="107" t="s">
        <v>2248</v>
      </c>
      <c r="F290" s="108"/>
      <c r="G290" s="109"/>
    </row>
    <row r="291">
      <c r="A291" s="104">
        <v>11.0</v>
      </c>
      <c r="B291" s="120"/>
      <c r="C291" s="110"/>
      <c r="D291" s="107"/>
      <c r="E291" s="107" t="s">
        <v>2249</v>
      </c>
      <c r="F291" s="108">
        <v>100.0</v>
      </c>
      <c r="G291" s="109"/>
    </row>
    <row r="292">
      <c r="A292" s="104">
        <v>12.0</v>
      </c>
      <c r="B292" s="120"/>
      <c r="C292" s="110"/>
      <c r="D292" s="107"/>
      <c r="E292" s="107"/>
      <c r="F292" s="109"/>
      <c r="G292" s="111"/>
    </row>
    <row r="293">
      <c r="A293" s="104">
        <v>13.0</v>
      </c>
      <c r="B293" s="120"/>
      <c r="C293" s="110"/>
      <c r="D293" s="107"/>
      <c r="E293" s="107"/>
      <c r="F293" s="121"/>
      <c r="G293" s="109"/>
    </row>
    <row r="294">
      <c r="A294" s="104">
        <v>14.0</v>
      </c>
      <c r="B294" s="120"/>
      <c r="C294" s="110"/>
      <c r="D294" s="107"/>
      <c r="E294" s="107"/>
      <c r="F294" s="108"/>
      <c r="G294" s="109"/>
    </row>
    <row r="295">
      <c r="A295" s="122">
        <v>15.0</v>
      </c>
      <c r="B295" s="123"/>
      <c r="C295" s="124"/>
      <c r="D295" s="107"/>
      <c r="E295" s="125"/>
      <c r="F295" s="109"/>
      <c r="G295" s="109"/>
    </row>
    <row r="296">
      <c r="A296" s="112"/>
      <c r="B296" s="113"/>
      <c r="C296" s="114"/>
      <c r="D296" s="114"/>
      <c r="E296" s="99" t="s">
        <v>144</v>
      </c>
      <c r="F296" s="131"/>
      <c r="G296" s="114"/>
    </row>
    <row r="297">
      <c r="A297" s="115"/>
      <c r="B297" s="113"/>
      <c r="C297" s="114"/>
      <c r="D297" s="114"/>
      <c r="E297" s="99" t="s">
        <v>145</v>
      </c>
      <c r="F297" s="100"/>
      <c r="G297" s="114"/>
    </row>
    <row r="298">
      <c r="A298" s="115"/>
      <c r="B298" s="113"/>
      <c r="C298" s="114"/>
      <c r="D298" s="114"/>
      <c r="E298" s="99" t="s">
        <v>146</v>
      </c>
      <c r="F298" s="100"/>
      <c r="G298" s="114"/>
    </row>
    <row r="299">
      <c r="A299" s="115"/>
      <c r="B299" s="113"/>
      <c r="C299" s="114"/>
      <c r="D299" s="114"/>
      <c r="E299" s="99" t="s">
        <v>147</v>
      </c>
      <c r="F299" s="100"/>
      <c r="G299" s="114"/>
    </row>
    <row r="300">
      <c r="A300" s="115"/>
      <c r="B300" s="113"/>
      <c r="C300" s="114"/>
      <c r="D300" s="114"/>
      <c r="E300" s="99" t="s">
        <v>148</v>
      </c>
      <c r="F300" s="100"/>
      <c r="G300" s="114"/>
    </row>
    <row r="301">
      <c r="A301" s="118"/>
      <c r="B301" s="119"/>
      <c r="C301" s="119"/>
      <c r="D301" s="119"/>
      <c r="E301" s="119"/>
      <c r="F301" s="119"/>
      <c r="G301" s="119"/>
    </row>
    <row r="302">
      <c r="A302" s="102" t="s">
        <v>4</v>
      </c>
      <c r="B302" s="102" t="s">
        <v>5</v>
      </c>
      <c r="C302" s="102" t="s">
        <v>126</v>
      </c>
      <c r="D302" s="102" t="s">
        <v>6</v>
      </c>
      <c r="E302" s="102" t="s">
        <v>7</v>
      </c>
      <c r="F302" s="102" t="s">
        <v>127</v>
      </c>
      <c r="G302" s="103" t="s">
        <v>128</v>
      </c>
    </row>
    <row r="303">
      <c r="A303" s="104">
        <v>1.0</v>
      </c>
      <c r="B303" s="105">
        <v>46100.0</v>
      </c>
      <c r="C303" s="106" t="s">
        <v>211</v>
      </c>
      <c r="D303" s="107"/>
      <c r="E303" s="107" t="s">
        <v>2250</v>
      </c>
      <c r="F303" s="108"/>
      <c r="G303" s="109"/>
    </row>
    <row r="304">
      <c r="A304" s="104">
        <v>2.0</v>
      </c>
      <c r="B304" s="120"/>
      <c r="C304" s="110"/>
      <c r="D304" s="107"/>
      <c r="E304" s="107" t="s">
        <v>2251</v>
      </c>
      <c r="F304" s="108"/>
      <c r="G304" s="109"/>
    </row>
    <row r="305">
      <c r="A305" s="104">
        <v>3.0</v>
      </c>
      <c r="B305" s="120"/>
      <c r="C305" s="110"/>
      <c r="D305" s="107"/>
      <c r="E305" s="107"/>
      <c r="F305" s="111"/>
      <c r="G305" s="109"/>
    </row>
    <row r="306">
      <c r="A306" s="104">
        <v>4.0</v>
      </c>
      <c r="B306" s="120"/>
      <c r="C306" s="110"/>
      <c r="D306" s="107"/>
      <c r="E306" s="107"/>
      <c r="F306" s="108"/>
      <c r="G306" s="111"/>
    </row>
    <row r="307">
      <c r="A307" s="104">
        <v>5.0</v>
      </c>
      <c r="B307" s="120"/>
      <c r="C307" s="110"/>
      <c r="D307" s="107"/>
      <c r="E307" s="107"/>
      <c r="F307" s="108"/>
      <c r="G307" s="109"/>
    </row>
    <row r="308">
      <c r="A308" s="104">
        <v>6.0</v>
      </c>
      <c r="B308" s="120"/>
      <c r="C308" s="110"/>
      <c r="D308" s="107"/>
      <c r="E308" s="107"/>
      <c r="F308" s="108"/>
      <c r="G308" s="109"/>
    </row>
    <row r="309">
      <c r="A309" s="104">
        <v>7.0</v>
      </c>
      <c r="B309" s="120"/>
      <c r="C309" s="110"/>
      <c r="D309" s="107"/>
      <c r="E309" s="107"/>
      <c r="F309" s="108"/>
      <c r="G309" s="109"/>
    </row>
    <row r="310">
      <c r="A310" s="104">
        <v>8.0</v>
      </c>
      <c r="B310" s="120"/>
      <c r="C310" s="106"/>
      <c r="D310" s="107"/>
      <c r="E310" s="107"/>
      <c r="F310" s="108"/>
      <c r="G310" s="109"/>
    </row>
    <row r="311">
      <c r="A311" s="104">
        <v>9.0</v>
      </c>
      <c r="B311" s="120"/>
      <c r="C311" s="110"/>
      <c r="D311" s="107"/>
      <c r="E311" s="107"/>
      <c r="F311" s="108"/>
      <c r="G311" s="109"/>
    </row>
    <row r="312">
      <c r="A312" s="104">
        <v>10.0</v>
      </c>
      <c r="B312" s="120"/>
      <c r="C312" s="110"/>
      <c r="D312" s="107"/>
      <c r="E312" s="107"/>
      <c r="F312" s="108" t="s">
        <v>2252</v>
      </c>
      <c r="G312" s="109"/>
    </row>
    <row r="313">
      <c r="A313" s="104">
        <v>11.0</v>
      </c>
      <c r="B313" s="120"/>
      <c r="C313" s="110"/>
      <c r="D313" s="107"/>
      <c r="E313" s="107"/>
      <c r="F313" s="108" t="s">
        <v>2252</v>
      </c>
      <c r="G313" s="109"/>
    </row>
    <row r="314">
      <c r="A314" s="104">
        <v>12.0</v>
      </c>
      <c r="B314" s="120"/>
      <c r="C314" s="110"/>
      <c r="D314" s="107"/>
      <c r="E314" s="107"/>
      <c r="F314" s="109"/>
      <c r="G314" s="111"/>
    </row>
    <row r="315">
      <c r="A315" s="104">
        <v>13.0</v>
      </c>
      <c r="B315" s="120"/>
      <c r="C315" s="110"/>
      <c r="D315" s="107"/>
      <c r="E315" s="107"/>
      <c r="F315" s="121"/>
      <c r="G315" s="109"/>
    </row>
    <row r="316">
      <c r="A316" s="104">
        <v>14.0</v>
      </c>
      <c r="B316" s="120"/>
      <c r="C316" s="110"/>
      <c r="D316" s="107"/>
      <c r="E316" s="107"/>
      <c r="F316" s="108"/>
      <c r="G316" s="109"/>
    </row>
    <row r="317">
      <c r="A317" s="122">
        <v>15.0</v>
      </c>
      <c r="B317" s="123"/>
      <c r="C317" s="124"/>
      <c r="D317" s="107"/>
      <c r="E317" s="125"/>
      <c r="F317" s="109"/>
      <c r="G317" s="109"/>
    </row>
    <row r="318">
      <c r="A318" s="112"/>
      <c r="B318" s="113"/>
      <c r="C318" s="114"/>
      <c r="D318" s="114"/>
      <c r="E318" s="99" t="s">
        <v>144</v>
      </c>
      <c r="F318" s="131"/>
      <c r="G318" s="114"/>
    </row>
    <row r="319">
      <c r="A319" s="115"/>
      <c r="B319" s="113"/>
      <c r="C319" s="114"/>
      <c r="D319" s="114"/>
      <c r="E319" s="99" t="s">
        <v>145</v>
      </c>
      <c r="F319" s="100"/>
      <c r="G319" s="114"/>
    </row>
    <row r="320">
      <c r="A320" s="115"/>
      <c r="B320" s="113"/>
      <c r="C320" s="114"/>
      <c r="D320" s="114"/>
      <c r="E320" s="99" t="s">
        <v>146</v>
      </c>
      <c r="F320" s="100"/>
      <c r="G320" s="114"/>
    </row>
    <row r="321">
      <c r="A321" s="115"/>
      <c r="B321" s="113"/>
      <c r="C321" s="114"/>
      <c r="D321" s="114"/>
      <c r="E321" s="99" t="s">
        <v>147</v>
      </c>
      <c r="F321" s="100"/>
      <c r="G321" s="114"/>
    </row>
    <row r="322">
      <c r="A322" s="115"/>
      <c r="B322" s="113"/>
      <c r="C322" s="114"/>
      <c r="D322" s="114"/>
      <c r="E322" s="99" t="s">
        <v>148</v>
      </c>
      <c r="F322" s="100"/>
      <c r="G322" s="114"/>
    </row>
    <row r="323">
      <c r="A323" s="118"/>
      <c r="B323" s="119"/>
      <c r="C323" s="119"/>
      <c r="D323" s="119"/>
      <c r="E323" s="119"/>
      <c r="F323" s="119"/>
      <c r="G323" s="119"/>
    </row>
    <row r="324">
      <c r="A324" s="102" t="s">
        <v>4</v>
      </c>
      <c r="B324" s="102" t="s">
        <v>5</v>
      </c>
      <c r="C324" s="102" t="s">
        <v>126</v>
      </c>
      <c r="D324" s="102" t="s">
        <v>6</v>
      </c>
      <c r="E324" s="102" t="s">
        <v>7</v>
      </c>
      <c r="F324" s="102" t="s">
        <v>127</v>
      </c>
      <c r="G324" s="103" t="s">
        <v>128</v>
      </c>
    </row>
    <row r="325">
      <c r="A325" s="104">
        <v>1.0</v>
      </c>
      <c r="B325" s="105">
        <v>46101.0</v>
      </c>
      <c r="C325" s="106" t="s">
        <v>239</v>
      </c>
      <c r="D325" s="107"/>
      <c r="E325" s="107"/>
      <c r="F325" s="108"/>
      <c r="G325" s="109"/>
    </row>
    <row r="326">
      <c r="A326" s="104">
        <v>2.0</v>
      </c>
      <c r="B326" s="120"/>
      <c r="C326" s="110"/>
      <c r="D326" s="107"/>
      <c r="E326" s="107"/>
      <c r="F326" s="108"/>
      <c r="G326" s="109"/>
    </row>
    <row r="327">
      <c r="A327" s="104">
        <v>3.0</v>
      </c>
      <c r="B327" s="120"/>
      <c r="C327" s="110"/>
      <c r="D327" s="107"/>
      <c r="E327" s="107"/>
      <c r="F327" s="111"/>
      <c r="G327" s="109"/>
    </row>
    <row r="328">
      <c r="A328" s="104">
        <v>4.0</v>
      </c>
      <c r="B328" s="120"/>
      <c r="C328" s="110"/>
      <c r="D328" s="107"/>
      <c r="E328" s="107"/>
      <c r="F328" s="108"/>
      <c r="G328" s="111"/>
    </row>
    <row r="329">
      <c r="A329" s="104">
        <v>5.0</v>
      </c>
      <c r="B329" s="120"/>
      <c r="C329" s="110"/>
      <c r="D329" s="107"/>
      <c r="E329" s="107"/>
      <c r="F329" s="108"/>
      <c r="G329" s="109"/>
    </row>
    <row r="330">
      <c r="A330" s="104">
        <v>6.0</v>
      </c>
      <c r="B330" s="120"/>
      <c r="C330" s="110"/>
      <c r="D330" s="107"/>
      <c r="E330" s="107"/>
      <c r="F330" s="108"/>
      <c r="G330" s="109"/>
    </row>
    <row r="331">
      <c r="A331" s="104">
        <v>7.0</v>
      </c>
      <c r="B331" s="120"/>
      <c r="C331" s="110"/>
      <c r="D331" s="107"/>
      <c r="E331" s="107"/>
      <c r="F331" s="108"/>
      <c r="G331" s="109"/>
    </row>
    <row r="332">
      <c r="A332" s="104">
        <v>8.0</v>
      </c>
      <c r="B332" s="120"/>
      <c r="C332" s="106"/>
      <c r="D332" s="107"/>
      <c r="E332" s="107"/>
      <c r="F332" s="108"/>
      <c r="G332" s="109"/>
    </row>
    <row r="333">
      <c r="A333" s="104">
        <v>9.0</v>
      </c>
      <c r="B333" s="120"/>
      <c r="C333" s="110"/>
      <c r="D333" s="107"/>
      <c r="E333" s="107"/>
      <c r="F333" s="108"/>
      <c r="G333" s="109"/>
    </row>
    <row r="334">
      <c r="A334" s="104">
        <v>10.0</v>
      </c>
      <c r="B334" s="120"/>
      <c r="C334" s="110"/>
      <c r="D334" s="107"/>
      <c r="E334" s="107"/>
      <c r="F334" s="108"/>
      <c r="G334" s="109"/>
    </row>
    <row r="335">
      <c r="A335" s="104">
        <v>11.0</v>
      </c>
      <c r="B335" s="120"/>
      <c r="C335" s="110"/>
      <c r="D335" s="107"/>
      <c r="E335" s="107"/>
      <c r="F335" s="108"/>
      <c r="G335" s="109"/>
    </row>
    <row r="336">
      <c r="A336" s="104">
        <v>12.0</v>
      </c>
      <c r="B336" s="120"/>
      <c r="C336" s="110"/>
      <c r="D336" s="107"/>
      <c r="E336" s="107"/>
      <c r="F336" s="109"/>
      <c r="G336" s="111"/>
    </row>
    <row r="337">
      <c r="A337" s="104">
        <v>13.0</v>
      </c>
      <c r="B337" s="120"/>
      <c r="C337" s="110"/>
      <c r="D337" s="107"/>
      <c r="E337" s="107"/>
      <c r="F337" s="121"/>
      <c r="G337" s="109"/>
    </row>
    <row r="338">
      <c r="A338" s="104">
        <v>14.0</v>
      </c>
      <c r="B338" s="120"/>
      <c r="C338" s="110"/>
      <c r="D338" s="107"/>
      <c r="E338" s="107"/>
      <c r="F338" s="108"/>
      <c r="G338" s="109"/>
    </row>
    <row r="339">
      <c r="A339" s="122">
        <v>15.0</v>
      </c>
      <c r="B339" s="123"/>
      <c r="C339" s="124"/>
      <c r="D339" s="107"/>
      <c r="E339" s="125"/>
      <c r="F339" s="109"/>
      <c r="G339" s="109"/>
    </row>
    <row r="340">
      <c r="A340" s="112"/>
      <c r="B340" s="113"/>
      <c r="C340" s="114"/>
      <c r="D340" s="114"/>
      <c r="E340" s="99" t="s">
        <v>144</v>
      </c>
      <c r="F340" s="131"/>
      <c r="G340" s="114"/>
    </row>
    <row r="341">
      <c r="A341" s="115"/>
      <c r="B341" s="113"/>
      <c r="C341" s="114"/>
      <c r="D341" s="114"/>
      <c r="E341" s="99" t="s">
        <v>145</v>
      </c>
      <c r="F341" s="100"/>
      <c r="G341" s="114"/>
    </row>
    <row r="342">
      <c r="A342" s="115"/>
      <c r="B342" s="113"/>
      <c r="C342" s="114"/>
      <c r="D342" s="114"/>
      <c r="E342" s="99" t="s">
        <v>146</v>
      </c>
      <c r="F342" s="100"/>
      <c r="G342" s="114"/>
    </row>
    <row r="343">
      <c r="A343" s="115"/>
      <c r="B343" s="113"/>
      <c r="C343" s="114"/>
      <c r="D343" s="114"/>
      <c r="E343" s="99" t="s">
        <v>147</v>
      </c>
      <c r="F343" s="100"/>
      <c r="G343" s="114"/>
    </row>
    <row r="344">
      <c r="A344" s="115"/>
      <c r="B344" s="113"/>
      <c r="C344" s="114"/>
      <c r="D344" s="114"/>
      <c r="E344" s="99" t="s">
        <v>148</v>
      </c>
      <c r="F344" s="100"/>
      <c r="G344" s="114"/>
    </row>
    <row r="345">
      <c r="A345" s="121"/>
      <c r="B345" s="121"/>
      <c r="C345" s="121"/>
      <c r="D345" s="121"/>
      <c r="E345" s="121"/>
      <c r="F345" s="121"/>
      <c r="G345" s="121"/>
    </row>
    <row r="346">
      <c r="A346" s="102" t="s">
        <v>4</v>
      </c>
      <c r="B346" s="102" t="s">
        <v>5</v>
      </c>
      <c r="C346" s="102" t="s">
        <v>126</v>
      </c>
      <c r="D346" s="102" t="s">
        <v>6</v>
      </c>
      <c r="E346" s="102" t="s">
        <v>7</v>
      </c>
      <c r="F346" s="102" t="s">
        <v>127</v>
      </c>
      <c r="G346" s="102" t="s">
        <v>128</v>
      </c>
    </row>
    <row r="347">
      <c r="A347" s="102">
        <v>1.0</v>
      </c>
      <c r="B347" s="147">
        <v>46105.0</v>
      </c>
      <c r="C347" s="148" t="s">
        <v>169</v>
      </c>
      <c r="D347" s="107"/>
      <c r="E347" s="107"/>
      <c r="F347" s="108"/>
      <c r="G347" s="108"/>
    </row>
    <row r="348">
      <c r="A348" s="102">
        <v>2.0</v>
      </c>
      <c r="B348" s="123"/>
      <c r="C348" s="123"/>
      <c r="D348" s="107"/>
      <c r="E348" s="107"/>
      <c r="F348" s="108"/>
      <c r="G348" s="108"/>
    </row>
    <row r="349">
      <c r="A349" s="102">
        <v>3.0</v>
      </c>
      <c r="B349" s="123"/>
      <c r="C349" s="123"/>
      <c r="D349" s="107"/>
      <c r="E349" s="107"/>
      <c r="F349" s="108"/>
      <c r="G349" s="108"/>
    </row>
    <row r="350">
      <c r="A350" s="102">
        <v>4.0</v>
      </c>
      <c r="B350" s="123"/>
      <c r="C350" s="123"/>
      <c r="D350" s="107"/>
      <c r="E350" s="107"/>
      <c r="F350" s="108"/>
      <c r="G350" s="108"/>
    </row>
    <row r="351">
      <c r="A351" s="102">
        <v>5.0</v>
      </c>
      <c r="B351" s="123"/>
      <c r="C351" s="123"/>
      <c r="D351" s="107"/>
      <c r="E351" s="107"/>
      <c r="F351" s="108"/>
      <c r="G351" s="108"/>
    </row>
    <row r="352">
      <c r="A352" s="102">
        <v>6.0</v>
      </c>
      <c r="B352" s="123"/>
      <c r="C352" s="123"/>
      <c r="D352" s="107"/>
      <c r="E352" s="107"/>
      <c r="F352" s="108"/>
      <c r="G352" s="108"/>
    </row>
    <row r="353">
      <c r="A353" s="102">
        <v>7.0</v>
      </c>
      <c r="B353" s="123"/>
      <c r="C353" s="123"/>
      <c r="D353" s="107"/>
      <c r="E353" s="107"/>
      <c r="F353" s="108"/>
      <c r="G353" s="108"/>
    </row>
    <row r="354">
      <c r="A354" s="102">
        <v>8.0</v>
      </c>
      <c r="B354" s="123"/>
      <c r="C354" s="123"/>
      <c r="D354" s="107"/>
      <c r="E354" s="107"/>
      <c r="F354" s="108"/>
      <c r="G354" s="108"/>
    </row>
    <row r="355">
      <c r="A355" s="102">
        <v>9.0</v>
      </c>
      <c r="B355" s="123"/>
      <c r="C355" s="123"/>
      <c r="D355" s="107"/>
      <c r="E355" s="107"/>
      <c r="F355" s="108"/>
      <c r="G355" s="108"/>
    </row>
    <row r="356">
      <c r="A356" s="102">
        <v>10.0</v>
      </c>
      <c r="B356" s="123"/>
      <c r="C356" s="123"/>
      <c r="D356" s="107"/>
      <c r="E356" s="107"/>
      <c r="F356" s="108"/>
      <c r="G356" s="108"/>
    </row>
    <row r="357">
      <c r="A357" s="102">
        <v>11.0</v>
      </c>
      <c r="B357" s="123"/>
      <c r="C357" s="123"/>
      <c r="D357" s="107"/>
      <c r="E357" s="107"/>
      <c r="F357" s="108"/>
      <c r="G357" s="108"/>
    </row>
    <row r="358">
      <c r="A358" s="102">
        <v>12.0</v>
      </c>
      <c r="B358" s="123"/>
      <c r="C358" s="123"/>
      <c r="D358" s="107"/>
      <c r="E358" s="107"/>
      <c r="F358" s="108"/>
      <c r="G358" s="108"/>
    </row>
    <row r="359">
      <c r="A359" s="102">
        <v>13.0</v>
      </c>
      <c r="B359" s="123"/>
      <c r="C359" s="123"/>
      <c r="D359" s="107"/>
      <c r="E359" s="107"/>
      <c r="F359" s="108"/>
      <c r="G359" s="108"/>
    </row>
    <row r="360">
      <c r="A360" s="102">
        <v>14.0</v>
      </c>
      <c r="B360" s="123"/>
      <c r="C360" s="123"/>
      <c r="D360" s="107"/>
      <c r="E360" s="107"/>
      <c r="F360" s="108"/>
      <c r="G360" s="108"/>
    </row>
    <row r="361">
      <c r="A361" s="102">
        <v>15.0</v>
      </c>
      <c r="B361" s="123"/>
      <c r="C361" s="123"/>
      <c r="D361" s="107"/>
      <c r="E361" s="102" t="s">
        <v>145</v>
      </c>
      <c r="F361" s="108"/>
      <c r="G361" s="108"/>
    </row>
    <row r="362">
      <c r="A362" s="58"/>
      <c r="B362" s="149"/>
      <c r="C362" s="58"/>
      <c r="D362" s="58"/>
      <c r="E362" s="102" t="s">
        <v>144</v>
      </c>
      <c r="F362" s="102"/>
      <c r="G362" s="58"/>
    </row>
    <row r="363">
      <c r="A363" s="58"/>
      <c r="B363" s="149"/>
      <c r="C363" s="58"/>
      <c r="D363" s="58"/>
      <c r="F363" s="102"/>
      <c r="G363" s="58"/>
    </row>
    <row r="364">
      <c r="A364" s="58"/>
      <c r="B364" s="149"/>
      <c r="C364" s="58"/>
      <c r="D364" s="58"/>
      <c r="E364" s="102" t="s">
        <v>146</v>
      </c>
      <c r="F364" s="102"/>
      <c r="G364" s="58"/>
    </row>
    <row r="365">
      <c r="A365" s="58"/>
      <c r="B365" s="149"/>
      <c r="C365" s="58"/>
      <c r="D365" s="58"/>
      <c r="E365" s="102" t="s">
        <v>147</v>
      </c>
      <c r="F365" s="102"/>
      <c r="G365" s="58"/>
    </row>
    <row r="366">
      <c r="A366" s="58"/>
      <c r="B366" s="149"/>
      <c r="C366" s="58"/>
      <c r="D366" s="58"/>
      <c r="E366" s="102" t="s">
        <v>148</v>
      </c>
      <c r="F366" s="102"/>
      <c r="G366" s="58"/>
    </row>
    <row r="367">
      <c r="A367" s="115"/>
      <c r="B367" s="113"/>
      <c r="C367" s="114"/>
      <c r="D367" s="114"/>
      <c r="E367" s="146"/>
      <c r="F367" s="146"/>
      <c r="G367" s="114"/>
    </row>
    <row r="368">
      <c r="A368" s="102" t="s">
        <v>4</v>
      </c>
      <c r="B368" s="102" t="s">
        <v>5</v>
      </c>
      <c r="C368" s="102" t="s">
        <v>126</v>
      </c>
      <c r="D368" s="102" t="s">
        <v>6</v>
      </c>
      <c r="E368" s="102" t="s">
        <v>7</v>
      </c>
      <c r="F368" s="102" t="s">
        <v>127</v>
      </c>
      <c r="G368" s="102" t="s">
        <v>128</v>
      </c>
    </row>
    <row r="369">
      <c r="A369" s="102">
        <v>1.0</v>
      </c>
      <c r="B369" s="147">
        <v>46106.0</v>
      </c>
      <c r="C369" s="148" t="s">
        <v>299</v>
      </c>
      <c r="D369" s="107"/>
      <c r="E369" s="107"/>
      <c r="F369" s="108"/>
      <c r="G369" s="108"/>
    </row>
    <row r="370">
      <c r="A370" s="102">
        <v>2.0</v>
      </c>
      <c r="B370" s="123"/>
      <c r="C370" s="123"/>
      <c r="D370" s="107"/>
      <c r="E370" s="107"/>
      <c r="F370" s="108"/>
      <c r="G370" s="108"/>
    </row>
    <row r="371">
      <c r="A371" s="102">
        <v>3.0</v>
      </c>
      <c r="B371" s="123"/>
      <c r="C371" s="123"/>
      <c r="D371" s="107"/>
      <c r="E371" s="107"/>
      <c r="F371" s="108"/>
      <c r="G371" s="108"/>
    </row>
    <row r="372">
      <c r="A372" s="102">
        <v>4.0</v>
      </c>
      <c r="B372" s="123"/>
      <c r="C372" s="123"/>
      <c r="D372" s="107"/>
      <c r="E372" s="107"/>
      <c r="F372" s="108"/>
      <c r="G372" s="108"/>
    </row>
    <row r="373">
      <c r="A373" s="102">
        <v>5.0</v>
      </c>
      <c r="B373" s="123"/>
      <c r="C373" s="123"/>
      <c r="D373" s="107"/>
      <c r="E373" s="107"/>
      <c r="F373" s="108"/>
      <c r="G373" s="108"/>
    </row>
    <row r="374">
      <c r="A374" s="102">
        <v>6.0</v>
      </c>
      <c r="B374" s="123"/>
      <c r="C374" s="123"/>
      <c r="D374" s="107"/>
      <c r="E374" s="107"/>
      <c r="F374" s="108"/>
      <c r="G374" s="108"/>
    </row>
    <row r="375">
      <c r="A375" s="102">
        <v>7.0</v>
      </c>
      <c r="B375" s="123"/>
      <c r="C375" s="123"/>
      <c r="D375" s="107"/>
      <c r="E375" s="107"/>
      <c r="F375" s="108"/>
      <c r="G375" s="108"/>
    </row>
    <row r="376">
      <c r="A376" s="102">
        <v>8.0</v>
      </c>
      <c r="B376" s="123"/>
      <c r="C376" s="123"/>
      <c r="D376" s="107"/>
      <c r="E376" s="107"/>
      <c r="F376" s="108"/>
      <c r="G376" s="108"/>
    </row>
    <row r="377">
      <c r="A377" s="102">
        <v>9.0</v>
      </c>
      <c r="B377" s="123"/>
      <c r="C377" s="123"/>
      <c r="D377" s="107"/>
      <c r="E377" s="107"/>
      <c r="F377" s="108"/>
      <c r="G377" s="108"/>
    </row>
    <row r="378">
      <c r="A378" s="102">
        <v>10.0</v>
      </c>
      <c r="B378" s="123"/>
      <c r="C378" s="123"/>
      <c r="D378" s="107"/>
      <c r="E378" s="107"/>
      <c r="F378" s="108"/>
      <c r="G378" s="108"/>
    </row>
    <row r="379">
      <c r="A379" s="102">
        <v>11.0</v>
      </c>
      <c r="B379" s="123"/>
      <c r="C379" s="123"/>
      <c r="D379" s="107"/>
      <c r="E379" s="107"/>
      <c r="F379" s="108"/>
      <c r="G379" s="108"/>
    </row>
    <row r="380">
      <c r="A380" s="102">
        <v>12.0</v>
      </c>
      <c r="B380" s="123"/>
      <c r="C380" s="123"/>
      <c r="D380" s="107"/>
      <c r="E380" s="107"/>
      <c r="F380" s="108"/>
      <c r="G380" s="108"/>
    </row>
    <row r="381">
      <c r="A381" s="102">
        <v>13.0</v>
      </c>
      <c r="B381" s="123"/>
      <c r="C381" s="123"/>
      <c r="D381" s="107"/>
      <c r="E381" s="107"/>
      <c r="F381" s="108"/>
      <c r="G381" s="108"/>
    </row>
    <row r="382">
      <c r="A382" s="102">
        <v>14.0</v>
      </c>
      <c r="B382" s="123"/>
      <c r="C382" s="123"/>
      <c r="D382" s="107"/>
      <c r="E382" s="107"/>
      <c r="F382" s="108"/>
      <c r="G382" s="108"/>
    </row>
    <row r="383">
      <c r="A383" s="102">
        <v>15.0</v>
      </c>
      <c r="B383" s="123"/>
      <c r="C383" s="123"/>
      <c r="D383" s="107"/>
      <c r="E383" s="107"/>
      <c r="F383" s="108"/>
      <c r="G383" s="108"/>
    </row>
    <row r="384">
      <c r="A384" s="58"/>
      <c r="B384" s="149"/>
      <c r="C384" s="58"/>
      <c r="D384" s="58"/>
      <c r="E384" s="102" t="s">
        <v>144</v>
      </c>
      <c r="F384" s="102"/>
      <c r="G384" s="58"/>
    </row>
    <row r="385">
      <c r="A385" s="58"/>
      <c r="B385" s="149"/>
      <c r="C385" s="58"/>
      <c r="D385" s="58"/>
      <c r="E385" s="102" t="s">
        <v>145</v>
      </c>
      <c r="F385" s="102"/>
      <c r="G385" s="58"/>
    </row>
    <row r="386">
      <c r="A386" s="58"/>
      <c r="B386" s="149"/>
      <c r="C386" s="58"/>
      <c r="D386" s="58"/>
      <c r="E386" s="102" t="s">
        <v>146</v>
      </c>
      <c r="F386" s="102"/>
      <c r="G386" s="58"/>
    </row>
    <row r="387">
      <c r="A387" s="58"/>
      <c r="B387" s="149"/>
      <c r="C387" s="58"/>
      <c r="D387" s="58"/>
      <c r="E387" s="102" t="s">
        <v>147</v>
      </c>
      <c r="F387" s="102"/>
      <c r="G387" s="58"/>
    </row>
    <row r="388">
      <c r="A388" s="58"/>
      <c r="B388" s="149"/>
      <c r="C388" s="58"/>
      <c r="D388" s="58"/>
      <c r="E388" s="102" t="s">
        <v>148</v>
      </c>
      <c r="F388" s="102"/>
      <c r="G388" s="58"/>
    </row>
    <row r="389">
      <c r="A389" s="121"/>
      <c r="B389" s="403"/>
      <c r="C389" s="121"/>
      <c r="D389" s="121"/>
      <c r="E389" s="121"/>
      <c r="F389" s="121"/>
      <c r="G389" s="121"/>
    </row>
    <row r="390">
      <c r="A390" s="102" t="s">
        <v>4</v>
      </c>
      <c r="B390" s="102" t="s">
        <v>5</v>
      </c>
      <c r="C390" s="102" t="s">
        <v>126</v>
      </c>
      <c r="D390" s="102" t="s">
        <v>6</v>
      </c>
      <c r="E390" s="102" t="s">
        <v>7</v>
      </c>
      <c r="F390" s="102" t="s">
        <v>127</v>
      </c>
      <c r="G390" s="102" t="s">
        <v>128</v>
      </c>
    </row>
    <row r="391">
      <c r="A391" s="102">
        <v>1.0</v>
      </c>
      <c r="B391" s="147">
        <v>46109.0</v>
      </c>
      <c r="C391" s="148" t="s">
        <v>341</v>
      </c>
      <c r="D391" s="107"/>
      <c r="E391" s="107" t="s">
        <v>2253</v>
      </c>
      <c r="F391" s="108"/>
      <c r="G391" s="111" t="s">
        <v>2254</v>
      </c>
    </row>
    <row r="392">
      <c r="A392" s="102">
        <v>2.0</v>
      </c>
      <c r="B392" s="123"/>
      <c r="C392" s="123"/>
      <c r="D392" s="107"/>
      <c r="E392" s="107" t="s">
        <v>2255</v>
      </c>
      <c r="F392" s="108" t="s">
        <v>2256</v>
      </c>
      <c r="G392" s="108"/>
    </row>
    <row r="393">
      <c r="A393" s="102">
        <v>3.0</v>
      </c>
      <c r="B393" s="123"/>
      <c r="C393" s="123"/>
      <c r="D393" s="107"/>
      <c r="E393" s="107" t="s">
        <v>2257</v>
      </c>
      <c r="F393" s="108"/>
      <c r="G393" s="108"/>
    </row>
    <row r="394">
      <c r="A394" s="102">
        <v>4.0</v>
      </c>
      <c r="B394" s="123"/>
      <c r="C394" s="123"/>
      <c r="D394" s="107"/>
      <c r="E394" s="107" t="s">
        <v>2113</v>
      </c>
      <c r="F394" s="108"/>
      <c r="G394" s="108"/>
    </row>
    <row r="395">
      <c r="A395" s="102">
        <v>5.0</v>
      </c>
      <c r="B395" s="123"/>
      <c r="C395" s="123"/>
      <c r="D395" s="107"/>
      <c r="E395" s="107" t="s">
        <v>2258</v>
      </c>
      <c r="F395" s="108"/>
      <c r="G395" s="108"/>
    </row>
    <row r="396">
      <c r="A396" s="102">
        <v>6.0</v>
      </c>
      <c r="B396" s="123"/>
      <c r="C396" s="123"/>
      <c r="D396" s="107"/>
      <c r="E396" s="107" t="s">
        <v>2259</v>
      </c>
      <c r="F396" s="108"/>
      <c r="G396" s="108"/>
    </row>
    <row r="397">
      <c r="A397" s="102">
        <v>7.0</v>
      </c>
      <c r="B397" s="123"/>
      <c r="C397" s="123"/>
      <c r="D397" s="107"/>
      <c r="E397" s="107"/>
      <c r="F397" s="108"/>
      <c r="G397" s="111" t="s">
        <v>2260</v>
      </c>
    </row>
    <row r="398">
      <c r="A398" s="102">
        <v>8.0</v>
      </c>
      <c r="B398" s="123"/>
      <c r="C398" s="123"/>
      <c r="D398" s="107"/>
      <c r="E398" s="107"/>
      <c r="F398" s="108"/>
      <c r="G398" s="108"/>
    </row>
    <row r="399">
      <c r="A399" s="102">
        <v>9.0</v>
      </c>
      <c r="B399" s="123"/>
      <c r="C399" s="123"/>
      <c r="D399" s="107"/>
      <c r="E399" s="107"/>
      <c r="F399" s="108"/>
      <c r="G399" s="108"/>
    </row>
    <row r="400">
      <c r="A400" s="102">
        <v>10.0</v>
      </c>
      <c r="B400" s="123"/>
      <c r="C400" s="123"/>
      <c r="D400" s="107"/>
      <c r="E400" s="107"/>
      <c r="F400" s="108"/>
      <c r="G400" s="108"/>
    </row>
    <row r="401">
      <c r="A401" s="102">
        <v>11.0</v>
      </c>
      <c r="B401" s="123"/>
      <c r="C401" s="123"/>
      <c r="D401" s="107"/>
      <c r="E401" s="107"/>
      <c r="F401" s="108"/>
      <c r="G401" s="108"/>
    </row>
    <row r="402">
      <c r="A402" s="102">
        <v>12.0</v>
      </c>
      <c r="B402" s="123"/>
      <c r="C402" s="123"/>
      <c r="D402" s="107"/>
      <c r="E402" s="107"/>
      <c r="F402" s="108"/>
      <c r="G402" s="108"/>
    </row>
    <row r="403">
      <c r="A403" s="102">
        <v>13.0</v>
      </c>
      <c r="B403" s="123"/>
      <c r="C403" s="123"/>
      <c r="D403" s="107"/>
      <c r="E403" s="107"/>
      <c r="F403" s="108"/>
      <c r="G403" s="108"/>
    </row>
    <row r="404">
      <c r="A404" s="102">
        <v>14.0</v>
      </c>
      <c r="B404" s="123"/>
      <c r="C404" s="123"/>
      <c r="D404" s="107"/>
      <c r="E404" s="107"/>
      <c r="F404" s="108"/>
      <c r="G404" s="108"/>
    </row>
    <row r="405">
      <c r="A405" s="102">
        <v>15.0</v>
      </c>
      <c r="B405" s="123"/>
      <c r="C405" s="123"/>
      <c r="D405" s="107"/>
      <c r="E405" s="107"/>
      <c r="F405" s="108"/>
      <c r="G405" s="108"/>
    </row>
    <row r="406">
      <c r="A406" s="58"/>
      <c r="B406" s="149"/>
      <c r="C406" s="58"/>
      <c r="D406" s="58"/>
      <c r="E406" s="102" t="s">
        <v>144</v>
      </c>
      <c r="F406" s="102"/>
      <c r="G406" s="101" t="s">
        <v>2261</v>
      </c>
    </row>
    <row r="407">
      <c r="A407" s="58"/>
      <c r="B407" s="149"/>
      <c r="C407" s="58"/>
      <c r="D407" s="58"/>
      <c r="E407" s="102" t="s">
        <v>145</v>
      </c>
      <c r="F407" s="150">
        <v>285.0</v>
      </c>
      <c r="G407" s="101" t="s">
        <v>2262</v>
      </c>
    </row>
    <row r="408">
      <c r="A408" s="58"/>
      <c r="B408" s="149"/>
      <c r="C408" s="58"/>
      <c r="D408" s="58"/>
      <c r="E408" s="102" t="s">
        <v>146</v>
      </c>
      <c r="F408" s="150">
        <v>355.0</v>
      </c>
      <c r="G408" s="101" t="s">
        <v>2263</v>
      </c>
    </row>
    <row r="409">
      <c r="A409" s="58"/>
      <c r="B409" s="149"/>
      <c r="C409" s="58"/>
      <c r="D409" s="58"/>
      <c r="E409" s="102" t="s">
        <v>147</v>
      </c>
      <c r="F409" s="150">
        <v>260.0</v>
      </c>
      <c r="G409" s="58"/>
    </row>
    <row r="410">
      <c r="A410" s="58"/>
      <c r="B410" s="149"/>
      <c r="C410" s="58"/>
      <c r="D410" s="58"/>
      <c r="E410" s="102" t="s">
        <v>148</v>
      </c>
      <c r="F410" s="150">
        <v>25.0</v>
      </c>
      <c r="G410" s="58"/>
    </row>
    <row r="411">
      <c r="A411" s="121"/>
      <c r="B411" s="121"/>
      <c r="C411" s="121"/>
      <c r="D411" s="121"/>
      <c r="E411" s="121"/>
      <c r="F411" s="121"/>
      <c r="G411" s="121"/>
    </row>
    <row r="412">
      <c r="A412" s="102" t="s">
        <v>4</v>
      </c>
      <c r="B412" s="102" t="s">
        <v>5</v>
      </c>
      <c r="C412" s="102" t="s">
        <v>126</v>
      </c>
      <c r="D412" s="102" t="s">
        <v>6</v>
      </c>
      <c r="E412" s="102" t="s">
        <v>7</v>
      </c>
      <c r="F412" s="102" t="s">
        <v>127</v>
      </c>
      <c r="G412" s="102" t="s">
        <v>128</v>
      </c>
    </row>
    <row r="413">
      <c r="A413" s="102">
        <v>1.0</v>
      </c>
      <c r="B413" s="147">
        <v>46111.0</v>
      </c>
      <c r="C413" s="148" t="s">
        <v>1018</v>
      </c>
      <c r="D413" s="107" t="s">
        <v>2264</v>
      </c>
      <c r="E413" s="107" t="s">
        <v>2265</v>
      </c>
      <c r="F413" s="108"/>
      <c r="G413" s="111"/>
    </row>
    <row r="414">
      <c r="A414" s="102">
        <v>2.0</v>
      </c>
      <c r="B414" s="123"/>
      <c r="C414" s="123"/>
      <c r="D414" s="107"/>
      <c r="E414" s="107" t="s">
        <v>2266</v>
      </c>
      <c r="F414" s="108"/>
      <c r="G414" s="108"/>
    </row>
    <row r="415">
      <c r="A415" s="102">
        <v>3.0</v>
      </c>
      <c r="B415" s="123"/>
      <c r="C415" s="123"/>
      <c r="D415" s="107"/>
      <c r="E415" s="107" t="s">
        <v>2267</v>
      </c>
      <c r="F415" s="111"/>
      <c r="G415" s="108"/>
    </row>
    <row r="416">
      <c r="A416" s="102">
        <v>4.0</v>
      </c>
      <c r="B416" s="123"/>
      <c r="C416" s="123"/>
      <c r="D416" s="107"/>
      <c r="E416" s="107" t="s">
        <v>2268</v>
      </c>
      <c r="F416" s="108"/>
      <c r="G416" s="108"/>
    </row>
    <row r="417">
      <c r="A417" s="102">
        <v>5.0</v>
      </c>
      <c r="B417" s="123"/>
      <c r="C417" s="123"/>
      <c r="D417" s="107"/>
      <c r="E417" s="107" t="s">
        <v>2269</v>
      </c>
      <c r="F417" s="111"/>
      <c r="G417" s="108"/>
    </row>
    <row r="418">
      <c r="A418" s="102">
        <v>6.0</v>
      </c>
      <c r="B418" s="123"/>
      <c r="C418" s="123"/>
      <c r="D418" s="107"/>
      <c r="E418" s="107" t="s">
        <v>2270</v>
      </c>
      <c r="F418" s="111"/>
      <c r="G418" s="108"/>
    </row>
    <row r="419">
      <c r="A419" s="102">
        <v>7.0</v>
      </c>
      <c r="B419" s="123"/>
      <c r="C419" s="123"/>
      <c r="D419" s="107"/>
      <c r="E419" s="107" t="s">
        <v>2271</v>
      </c>
      <c r="F419" s="108"/>
      <c r="G419" s="108"/>
    </row>
    <row r="420">
      <c r="A420" s="102">
        <v>8.0</v>
      </c>
      <c r="B420" s="123"/>
      <c r="C420" s="123"/>
      <c r="D420" s="107"/>
      <c r="E420" s="107"/>
      <c r="F420" s="108"/>
      <c r="G420" s="108"/>
    </row>
    <row r="421">
      <c r="A421" s="102">
        <v>9.0</v>
      </c>
      <c r="B421" s="123"/>
      <c r="C421" s="123"/>
      <c r="D421" s="107"/>
      <c r="E421" s="107"/>
      <c r="F421" s="108"/>
      <c r="G421" s="108"/>
    </row>
    <row r="422">
      <c r="A422" s="102">
        <v>10.0</v>
      </c>
      <c r="B422" s="123"/>
      <c r="C422" s="123"/>
      <c r="D422" s="107"/>
      <c r="E422" s="107"/>
      <c r="F422" s="108"/>
      <c r="G422" s="108"/>
    </row>
    <row r="423">
      <c r="A423" s="102">
        <v>11.0</v>
      </c>
      <c r="B423" s="123"/>
      <c r="C423" s="123"/>
      <c r="D423" s="107"/>
      <c r="E423" s="107"/>
      <c r="F423" s="108"/>
      <c r="G423" s="108"/>
    </row>
    <row r="424">
      <c r="A424" s="102">
        <v>12.0</v>
      </c>
      <c r="B424" s="123"/>
      <c r="C424" s="123"/>
      <c r="D424" s="107"/>
      <c r="E424" s="107"/>
      <c r="F424" s="108"/>
      <c r="G424" s="108"/>
    </row>
    <row r="425">
      <c r="A425" s="102">
        <v>13.0</v>
      </c>
      <c r="B425" s="123"/>
      <c r="C425" s="123"/>
      <c r="D425" s="107"/>
      <c r="E425" s="107"/>
      <c r="F425" s="111"/>
      <c r="G425" s="108"/>
    </row>
    <row r="426">
      <c r="A426" s="102">
        <v>14.0</v>
      </c>
      <c r="B426" s="123"/>
      <c r="C426" s="123"/>
      <c r="D426" s="107"/>
      <c r="E426" s="107"/>
      <c r="F426" s="108"/>
      <c r="G426" s="108"/>
    </row>
    <row r="427">
      <c r="A427" s="102">
        <v>15.0</v>
      </c>
      <c r="B427" s="123"/>
      <c r="C427" s="123"/>
      <c r="D427" s="107"/>
      <c r="E427" s="107"/>
      <c r="F427" s="108"/>
      <c r="G427" s="108"/>
    </row>
    <row r="428">
      <c r="A428" s="58"/>
      <c r="B428" s="149"/>
      <c r="C428" s="58"/>
      <c r="D428" s="58"/>
      <c r="E428" s="102" t="s">
        <v>144</v>
      </c>
      <c r="F428" s="150"/>
      <c r="G428" s="58"/>
    </row>
    <row r="429">
      <c r="A429" s="58"/>
      <c r="B429" s="149"/>
      <c r="C429" s="58"/>
      <c r="D429" s="58"/>
      <c r="E429" s="102" t="s">
        <v>145</v>
      </c>
      <c r="F429" s="150">
        <v>230.0</v>
      </c>
      <c r="G429" s="58"/>
    </row>
    <row r="430">
      <c r="A430" s="58"/>
      <c r="B430" s="149"/>
      <c r="C430" s="58"/>
      <c r="D430" s="58"/>
      <c r="E430" s="102" t="s">
        <v>146</v>
      </c>
      <c r="F430" s="150">
        <v>355.0</v>
      </c>
      <c r="G430" s="58"/>
    </row>
    <row r="431">
      <c r="A431" s="58"/>
      <c r="B431" s="149"/>
      <c r="C431" s="58"/>
      <c r="D431" s="58"/>
      <c r="E431" s="102" t="s">
        <v>147</v>
      </c>
      <c r="F431" s="150">
        <v>265.0</v>
      </c>
      <c r="G431" s="58"/>
    </row>
    <row r="432">
      <c r="A432" s="58"/>
      <c r="B432" s="149"/>
      <c r="C432" s="58"/>
      <c r="D432" s="58"/>
      <c r="E432" s="102" t="s">
        <v>148</v>
      </c>
      <c r="F432" s="151" t="s">
        <v>2272</v>
      </c>
      <c r="G432" s="58"/>
    </row>
    <row r="433">
      <c r="A433" s="373"/>
      <c r="B433" s="373"/>
      <c r="C433" s="373"/>
      <c r="D433" s="373"/>
      <c r="E433" s="313"/>
      <c r="F433" s="314"/>
      <c r="G433" s="373"/>
    </row>
    <row r="434">
      <c r="A434" s="102" t="s">
        <v>4</v>
      </c>
      <c r="B434" s="102" t="s">
        <v>5</v>
      </c>
      <c r="C434" s="102" t="s">
        <v>126</v>
      </c>
      <c r="D434" s="102" t="s">
        <v>6</v>
      </c>
      <c r="E434" s="102" t="s">
        <v>7</v>
      </c>
      <c r="F434" s="102" t="s">
        <v>127</v>
      </c>
      <c r="G434" s="102" t="s">
        <v>128</v>
      </c>
    </row>
    <row r="435">
      <c r="A435" s="102">
        <v>1.0</v>
      </c>
      <c r="B435" s="147">
        <v>46112.0</v>
      </c>
      <c r="C435" s="148" t="s">
        <v>1018</v>
      </c>
      <c r="D435" s="107" t="s">
        <v>2264</v>
      </c>
      <c r="E435" s="107" t="s">
        <v>2273</v>
      </c>
      <c r="F435" s="108"/>
      <c r="G435" s="111"/>
    </row>
    <row r="436">
      <c r="A436" s="102">
        <v>2.0</v>
      </c>
      <c r="B436" s="123"/>
      <c r="C436" s="123"/>
      <c r="D436" s="107"/>
      <c r="E436" s="107" t="s">
        <v>2274</v>
      </c>
      <c r="F436" s="108"/>
      <c r="G436" s="108"/>
    </row>
    <row r="437">
      <c r="A437" s="102">
        <v>3.0</v>
      </c>
      <c r="B437" s="123"/>
      <c r="C437" s="123"/>
      <c r="D437" s="107"/>
      <c r="E437" s="107"/>
      <c r="F437" s="111"/>
      <c r="G437" s="108"/>
    </row>
    <row r="438">
      <c r="A438" s="102">
        <v>4.0</v>
      </c>
      <c r="B438" s="123"/>
      <c r="C438" s="123"/>
      <c r="D438" s="107" t="s">
        <v>2275</v>
      </c>
      <c r="E438" s="107"/>
      <c r="F438" s="108"/>
      <c r="G438" s="108"/>
    </row>
    <row r="439">
      <c r="A439" s="102">
        <v>5.0</v>
      </c>
      <c r="B439" s="123"/>
      <c r="C439" s="123"/>
      <c r="D439" s="107"/>
      <c r="E439" s="107"/>
      <c r="F439" s="111"/>
      <c r="G439" s="108"/>
    </row>
    <row r="440">
      <c r="A440" s="102">
        <v>6.0</v>
      </c>
      <c r="B440" s="123"/>
      <c r="C440" s="123"/>
      <c r="D440" s="107"/>
      <c r="E440" s="107"/>
      <c r="F440" s="111"/>
      <c r="G440" s="108"/>
    </row>
    <row r="441">
      <c r="A441" s="102">
        <v>7.0</v>
      </c>
      <c r="B441" s="123"/>
      <c r="C441" s="123"/>
      <c r="D441" s="107"/>
      <c r="E441" s="107"/>
      <c r="F441" s="108"/>
      <c r="G441" s="108"/>
    </row>
    <row r="442">
      <c r="A442" s="102">
        <v>8.0</v>
      </c>
      <c r="B442" s="123"/>
      <c r="C442" s="123"/>
      <c r="D442" s="107"/>
      <c r="E442" s="107"/>
      <c r="F442" s="108"/>
      <c r="G442" s="108"/>
    </row>
    <row r="443">
      <c r="A443" s="102">
        <v>9.0</v>
      </c>
      <c r="B443" s="123"/>
      <c r="C443" s="123"/>
      <c r="D443" s="107"/>
      <c r="E443" s="107"/>
      <c r="F443" s="108"/>
      <c r="G443" s="108"/>
    </row>
    <row r="444">
      <c r="A444" s="102">
        <v>10.0</v>
      </c>
      <c r="B444" s="123"/>
      <c r="C444" s="123"/>
      <c r="D444" s="107" t="s">
        <v>2276</v>
      </c>
      <c r="F444" s="108"/>
      <c r="G444" s="108"/>
    </row>
    <row r="445">
      <c r="A445" s="102">
        <v>11.0</v>
      </c>
      <c r="B445" s="123"/>
      <c r="C445" s="123"/>
      <c r="D445" s="107" t="s">
        <v>2277</v>
      </c>
      <c r="E445" s="107"/>
      <c r="F445" s="108"/>
      <c r="G445" s="108"/>
    </row>
    <row r="446">
      <c r="A446" s="102">
        <v>12.0</v>
      </c>
      <c r="B446" s="123"/>
      <c r="C446" s="123"/>
      <c r="D446" s="107" t="s">
        <v>1875</v>
      </c>
      <c r="E446" s="107"/>
      <c r="F446" s="108"/>
      <c r="G446" s="108"/>
    </row>
    <row r="447">
      <c r="A447" s="102">
        <v>13.0</v>
      </c>
      <c r="B447" s="123"/>
      <c r="C447" s="123"/>
      <c r="D447" s="107" t="s">
        <v>2278</v>
      </c>
      <c r="E447" s="107"/>
      <c r="F447" s="111"/>
      <c r="G447" s="108"/>
    </row>
    <row r="448">
      <c r="A448" s="102">
        <v>14.0</v>
      </c>
      <c r="B448" s="123"/>
      <c r="C448" s="123"/>
      <c r="D448" s="107"/>
      <c r="E448" s="107"/>
      <c r="F448" s="108"/>
      <c r="G448" s="108"/>
    </row>
    <row r="449">
      <c r="A449" s="102">
        <v>15.0</v>
      </c>
      <c r="B449" s="123"/>
      <c r="C449" s="123"/>
      <c r="D449" s="107"/>
      <c r="E449" s="107"/>
      <c r="F449" s="108"/>
      <c r="G449" s="108"/>
    </row>
    <row r="450">
      <c r="A450" s="58"/>
      <c r="B450" s="149"/>
      <c r="C450" s="58"/>
      <c r="D450" s="58"/>
      <c r="E450" s="102" t="s">
        <v>144</v>
      </c>
      <c r="F450" s="150"/>
      <c r="G450" s="58"/>
    </row>
    <row r="451">
      <c r="A451" s="58"/>
      <c r="B451" s="149"/>
      <c r="C451" s="58"/>
      <c r="D451" s="58"/>
      <c r="E451" s="102" t="s">
        <v>145</v>
      </c>
      <c r="F451" s="150"/>
      <c r="G451" s="58"/>
    </row>
    <row r="452">
      <c r="A452" s="58"/>
      <c r="B452" s="149"/>
      <c r="C452" s="58"/>
      <c r="D452" s="58"/>
      <c r="E452" s="102" t="s">
        <v>146</v>
      </c>
      <c r="F452" s="150"/>
      <c r="G452" s="58"/>
    </row>
    <row r="453">
      <c r="A453" s="58"/>
      <c r="B453" s="149"/>
      <c r="C453" s="58"/>
      <c r="D453" s="58"/>
      <c r="E453" s="102" t="s">
        <v>147</v>
      </c>
      <c r="F453" s="150"/>
      <c r="G453" s="58"/>
    </row>
    <row r="454">
      <c r="A454" s="58"/>
      <c r="B454" s="149"/>
      <c r="C454" s="58"/>
      <c r="D454" s="58"/>
      <c r="E454" s="102" t="s">
        <v>148</v>
      </c>
      <c r="F454" s="151"/>
      <c r="G454" s="58"/>
    </row>
    <row r="455">
      <c r="A455" s="121"/>
      <c r="B455" s="121"/>
      <c r="C455" s="121"/>
      <c r="D455" s="121"/>
      <c r="E455" s="121"/>
      <c r="F455" s="121"/>
      <c r="G455" s="121"/>
    </row>
    <row r="456">
      <c r="A456" s="102" t="s">
        <v>4</v>
      </c>
      <c r="B456" s="102" t="s">
        <v>5</v>
      </c>
      <c r="C456" s="102" t="s">
        <v>126</v>
      </c>
      <c r="D456" s="102" t="s">
        <v>6</v>
      </c>
      <c r="E456" s="102" t="s">
        <v>7</v>
      </c>
      <c r="F456" s="102" t="s">
        <v>127</v>
      </c>
      <c r="G456" s="102" t="s">
        <v>128</v>
      </c>
    </row>
    <row r="457">
      <c r="A457" s="102">
        <v>1.0</v>
      </c>
      <c r="B457" s="147">
        <v>46123.0</v>
      </c>
      <c r="C457" s="148" t="s">
        <v>1018</v>
      </c>
      <c r="D457" s="107" t="s">
        <v>2264</v>
      </c>
      <c r="E457" s="107" t="s">
        <v>2279</v>
      </c>
      <c r="F457" s="108" t="s">
        <v>2280</v>
      </c>
      <c r="G457" s="111"/>
    </row>
    <row r="458">
      <c r="A458" s="102">
        <v>2.0</v>
      </c>
      <c r="B458" s="123"/>
      <c r="C458" s="123"/>
      <c r="D458" s="107"/>
      <c r="E458" s="107" t="s">
        <v>2281</v>
      </c>
      <c r="F458" s="111" t="s">
        <v>2282</v>
      </c>
      <c r="G458" s="111" t="s">
        <v>2283</v>
      </c>
    </row>
    <row r="459">
      <c r="A459" s="102">
        <v>3.0</v>
      </c>
      <c r="B459" s="123"/>
      <c r="C459" s="123"/>
      <c r="D459" s="107"/>
      <c r="E459" s="107" t="s">
        <v>277</v>
      </c>
      <c r="F459" s="108">
        <v>45.0</v>
      </c>
      <c r="G459" s="108"/>
    </row>
    <row r="460">
      <c r="A460" s="102">
        <v>4.0</v>
      </c>
      <c r="B460" s="123"/>
      <c r="C460" s="123"/>
      <c r="D460" s="107"/>
      <c r="E460" s="107" t="s">
        <v>2029</v>
      </c>
      <c r="F460" s="108">
        <v>35.0</v>
      </c>
      <c r="G460" s="108"/>
    </row>
    <row r="461">
      <c r="A461" s="102">
        <v>5.0</v>
      </c>
      <c r="B461" s="123"/>
      <c r="C461" s="123"/>
      <c r="D461" s="107"/>
      <c r="E461" s="107" t="s">
        <v>2284</v>
      </c>
      <c r="F461" s="108" t="s">
        <v>1104</v>
      </c>
      <c r="G461" s="108"/>
    </row>
    <row r="462">
      <c r="A462" s="102">
        <v>6.0</v>
      </c>
      <c r="B462" s="123"/>
      <c r="C462" s="123"/>
      <c r="D462" s="107"/>
      <c r="E462" s="107" t="s">
        <v>2285</v>
      </c>
      <c r="F462" s="108">
        <v>50.0</v>
      </c>
      <c r="G462" s="111" t="s">
        <v>2286</v>
      </c>
    </row>
    <row r="463">
      <c r="A463" s="58"/>
      <c r="B463" s="149"/>
      <c r="C463" s="58"/>
      <c r="D463" s="58"/>
      <c r="E463" s="102" t="s">
        <v>144</v>
      </c>
      <c r="F463" s="150">
        <v>0.0</v>
      </c>
      <c r="G463" s="58"/>
    </row>
    <row r="464">
      <c r="A464" s="58"/>
      <c r="B464" s="149"/>
      <c r="C464" s="58"/>
      <c r="D464" s="58"/>
      <c r="E464" s="102" t="s">
        <v>145</v>
      </c>
      <c r="F464" s="150">
        <v>335.0</v>
      </c>
      <c r="G464" s="58"/>
    </row>
    <row r="465">
      <c r="A465" s="58"/>
      <c r="B465" s="149"/>
      <c r="C465" s="58"/>
      <c r="D465" s="58"/>
      <c r="E465" s="102" t="s">
        <v>146</v>
      </c>
      <c r="F465" s="150">
        <v>505.0</v>
      </c>
      <c r="G465" s="58"/>
    </row>
    <row r="466">
      <c r="A466" s="58"/>
      <c r="B466" s="149"/>
      <c r="C466" s="58"/>
      <c r="D466" s="58"/>
      <c r="E466" s="102" t="s">
        <v>147</v>
      </c>
      <c r="F466" s="150">
        <v>380.0</v>
      </c>
      <c r="G466" s="58"/>
    </row>
    <row r="467">
      <c r="A467" s="58"/>
      <c r="B467" s="149"/>
      <c r="C467" s="58"/>
      <c r="D467" s="58"/>
      <c r="E467" s="102" t="s">
        <v>148</v>
      </c>
      <c r="F467" s="151" t="s">
        <v>2287</v>
      </c>
      <c r="G467" s="58"/>
    </row>
    <row r="468">
      <c r="A468" s="121"/>
      <c r="B468" s="121"/>
      <c r="C468" s="121"/>
      <c r="D468" s="121"/>
      <c r="E468" s="121"/>
      <c r="F468" s="121"/>
      <c r="G468" s="121"/>
    </row>
    <row r="469">
      <c r="A469" s="121"/>
      <c r="B469" s="121"/>
      <c r="C469" s="121"/>
      <c r="D469" s="121"/>
      <c r="E469" s="121"/>
      <c r="F469" s="121"/>
      <c r="G469" s="121"/>
    </row>
    <row r="470">
      <c r="A470" s="121"/>
      <c r="B470" s="121"/>
      <c r="C470" s="121"/>
      <c r="D470" s="121"/>
      <c r="E470" s="121"/>
      <c r="F470" s="121"/>
      <c r="G470" s="121"/>
    </row>
    <row r="471">
      <c r="A471" s="121"/>
      <c r="B471" s="121"/>
      <c r="C471" s="121"/>
      <c r="D471" s="121"/>
      <c r="E471" s="121"/>
      <c r="F471" s="121"/>
      <c r="G471" s="121"/>
    </row>
    <row r="472">
      <c r="A472" s="121"/>
      <c r="B472" s="121"/>
      <c r="C472" s="121"/>
      <c r="D472" s="121"/>
      <c r="E472" s="121"/>
      <c r="F472" s="121"/>
      <c r="G472" s="121"/>
    </row>
    <row r="473">
      <c r="A473" s="121"/>
      <c r="B473" s="121"/>
      <c r="C473" s="121"/>
      <c r="D473" s="121"/>
      <c r="E473" s="121"/>
      <c r="F473" s="121"/>
      <c r="G473" s="121"/>
    </row>
    <row r="474">
      <c r="A474" s="121"/>
      <c r="B474" s="121"/>
      <c r="C474" s="121"/>
      <c r="D474" s="121"/>
      <c r="E474" s="121"/>
      <c r="F474" s="121"/>
      <c r="G474" s="121"/>
    </row>
    <row r="475">
      <c r="A475" s="121"/>
      <c r="B475" s="121"/>
      <c r="C475" s="121"/>
      <c r="D475" s="121"/>
      <c r="E475" s="121"/>
      <c r="F475" s="121"/>
      <c r="G475" s="121"/>
    </row>
    <row r="476">
      <c r="A476" s="121"/>
      <c r="B476" s="121"/>
      <c r="C476" s="121"/>
      <c r="D476" s="121"/>
      <c r="E476" s="121"/>
      <c r="F476" s="121"/>
      <c r="G476" s="121"/>
    </row>
    <row r="477">
      <c r="A477" s="121"/>
      <c r="B477" s="121"/>
      <c r="C477" s="121"/>
      <c r="D477" s="121"/>
      <c r="E477" s="121"/>
      <c r="F477" s="121"/>
      <c r="G477" s="121"/>
    </row>
    <row r="478">
      <c r="A478" s="121"/>
      <c r="B478" s="121"/>
      <c r="C478" s="121"/>
      <c r="D478" s="121"/>
      <c r="E478" s="121"/>
      <c r="F478" s="121"/>
      <c r="G478" s="121"/>
    </row>
    <row r="479">
      <c r="A479" s="121"/>
      <c r="B479" s="121"/>
      <c r="C479" s="121"/>
      <c r="D479" s="121"/>
      <c r="E479" s="121"/>
      <c r="F479" s="121"/>
      <c r="G479" s="121"/>
    </row>
    <row r="480">
      <c r="A480" s="121"/>
      <c r="B480" s="121"/>
      <c r="C480" s="121"/>
      <c r="D480" s="121"/>
      <c r="E480" s="121"/>
      <c r="F480" s="121"/>
      <c r="G480" s="121"/>
    </row>
    <row r="481">
      <c r="A481" s="121"/>
      <c r="B481" s="121"/>
      <c r="C481" s="121"/>
      <c r="D481" s="121"/>
      <c r="E481" s="121"/>
      <c r="F481" s="121"/>
      <c r="G481" s="121"/>
    </row>
    <row r="482">
      <c r="A482" s="121"/>
      <c r="B482" s="121"/>
      <c r="C482" s="121"/>
      <c r="D482" s="121"/>
      <c r="E482" s="121"/>
      <c r="F482" s="121"/>
      <c r="G482" s="121"/>
    </row>
    <row r="483">
      <c r="A483" s="121"/>
      <c r="B483" s="121"/>
      <c r="C483" s="121"/>
      <c r="D483" s="121"/>
      <c r="E483" s="121"/>
      <c r="F483" s="121"/>
      <c r="G483" s="121"/>
    </row>
    <row r="484">
      <c r="A484" s="121"/>
      <c r="B484" s="121"/>
      <c r="C484" s="121"/>
      <c r="D484" s="121"/>
      <c r="E484" s="121"/>
      <c r="F484" s="121"/>
      <c r="G484" s="121"/>
    </row>
    <row r="485">
      <c r="A485" s="121"/>
      <c r="B485" s="121"/>
      <c r="C485" s="121"/>
      <c r="D485" s="121"/>
      <c r="E485" s="121"/>
      <c r="F485" s="121"/>
      <c r="G485" s="121"/>
    </row>
    <row r="486">
      <c r="A486" s="121"/>
      <c r="B486" s="121"/>
      <c r="C486" s="121"/>
      <c r="D486" s="121"/>
      <c r="E486" s="121"/>
      <c r="F486" s="121"/>
      <c r="G486" s="121"/>
    </row>
    <row r="487">
      <c r="A487" s="121"/>
      <c r="B487" s="121"/>
      <c r="C487" s="121"/>
      <c r="D487" s="121"/>
      <c r="E487" s="121"/>
      <c r="F487" s="121"/>
      <c r="G487" s="121"/>
    </row>
    <row r="488">
      <c r="A488" s="121"/>
      <c r="B488" s="121"/>
      <c r="C488" s="121"/>
      <c r="D488" s="121"/>
      <c r="E488" s="121"/>
      <c r="F488" s="121"/>
      <c r="G488" s="121"/>
    </row>
    <row r="489">
      <c r="A489" s="121"/>
      <c r="B489" s="121"/>
      <c r="C489" s="121"/>
      <c r="D489" s="121"/>
      <c r="E489" s="121"/>
      <c r="F489" s="121"/>
      <c r="G489" s="121"/>
    </row>
    <row r="490">
      <c r="A490" s="121"/>
      <c r="B490" s="121"/>
      <c r="C490" s="121"/>
      <c r="D490" s="121"/>
      <c r="E490" s="121"/>
      <c r="F490" s="121"/>
      <c r="G490" s="121"/>
    </row>
    <row r="491">
      <c r="A491" s="121"/>
      <c r="B491" s="121"/>
      <c r="C491" s="121"/>
      <c r="D491" s="121"/>
      <c r="E491" s="121"/>
      <c r="F491" s="121"/>
      <c r="G491" s="121"/>
    </row>
    <row r="492">
      <c r="A492" s="121"/>
      <c r="B492" s="121"/>
      <c r="C492" s="121"/>
      <c r="D492" s="121"/>
      <c r="E492" s="121"/>
      <c r="F492" s="121"/>
      <c r="G492" s="121"/>
    </row>
    <row r="493">
      <c r="A493" s="121"/>
      <c r="B493" s="121"/>
      <c r="C493" s="121"/>
      <c r="D493" s="121"/>
      <c r="E493" s="121"/>
      <c r="F493" s="121"/>
      <c r="G493" s="121"/>
    </row>
    <row r="494">
      <c r="A494" s="121"/>
      <c r="B494" s="121"/>
      <c r="C494" s="121"/>
      <c r="D494" s="121"/>
      <c r="E494" s="121"/>
      <c r="F494" s="121"/>
      <c r="G494" s="121"/>
    </row>
    <row r="495">
      <c r="A495" s="121"/>
      <c r="B495" s="121"/>
      <c r="C495" s="121"/>
      <c r="D495" s="121"/>
      <c r="E495" s="121"/>
      <c r="F495" s="121"/>
      <c r="G495" s="121"/>
    </row>
    <row r="496">
      <c r="A496" s="121"/>
      <c r="B496" s="121"/>
      <c r="C496" s="121"/>
      <c r="D496" s="121"/>
      <c r="E496" s="121"/>
      <c r="F496" s="121"/>
      <c r="G496" s="121"/>
    </row>
    <row r="497">
      <c r="A497" s="121"/>
      <c r="B497" s="121"/>
      <c r="C497" s="121"/>
      <c r="D497" s="121"/>
      <c r="E497" s="121"/>
      <c r="F497" s="121"/>
      <c r="G497" s="121"/>
    </row>
    <row r="498">
      <c r="A498" s="121"/>
      <c r="B498" s="121"/>
      <c r="C498" s="121"/>
      <c r="D498" s="121"/>
      <c r="E498" s="121"/>
      <c r="F498" s="121"/>
      <c r="G498" s="121"/>
    </row>
    <row r="499">
      <c r="A499" s="121"/>
      <c r="B499" s="121"/>
      <c r="C499" s="121"/>
      <c r="D499" s="121"/>
      <c r="E499" s="121"/>
      <c r="F499" s="121"/>
      <c r="G499" s="121"/>
    </row>
    <row r="500">
      <c r="A500" s="121"/>
      <c r="B500" s="121"/>
      <c r="C500" s="121"/>
      <c r="D500" s="121"/>
      <c r="E500" s="121"/>
      <c r="F500" s="121"/>
      <c r="G500" s="121"/>
    </row>
    <row r="501">
      <c r="A501" s="121"/>
      <c r="B501" s="121"/>
      <c r="C501" s="121"/>
      <c r="D501" s="121"/>
      <c r="E501" s="121"/>
      <c r="F501" s="121"/>
      <c r="G501" s="121"/>
    </row>
    <row r="502">
      <c r="A502" s="121"/>
      <c r="B502" s="121"/>
      <c r="C502" s="121"/>
      <c r="D502" s="121"/>
      <c r="E502" s="121"/>
      <c r="F502" s="121"/>
      <c r="G502" s="121"/>
    </row>
    <row r="503">
      <c r="A503" s="121"/>
      <c r="B503" s="121"/>
      <c r="C503" s="121"/>
      <c r="D503" s="121"/>
      <c r="E503" s="121"/>
      <c r="F503" s="121"/>
      <c r="G503" s="121"/>
    </row>
    <row r="504">
      <c r="A504" s="121"/>
      <c r="B504" s="121"/>
      <c r="C504" s="121"/>
      <c r="D504" s="121"/>
      <c r="E504" s="121"/>
      <c r="F504" s="121"/>
      <c r="G504" s="121"/>
    </row>
    <row r="505">
      <c r="A505" s="121"/>
      <c r="B505" s="121"/>
      <c r="C505" s="121"/>
      <c r="D505" s="121"/>
      <c r="E505" s="121"/>
      <c r="F505" s="121"/>
      <c r="G505" s="121"/>
    </row>
    <row r="506">
      <c r="A506" s="121"/>
      <c r="B506" s="121"/>
      <c r="C506" s="121"/>
      <c r="D506" s="121"/>
      <c r="E506" s="121"/>
      <c r="F506" s="121"/>
      <c r="G506" s="121"/>
    </row>
    <row r="507">
      <c r="A507" s="121"/>
      <c r="B507" s="121"/>
      <c r="C507" s="121"/>
      <c r="D507" s="121"/>
      <c r="E507" s="121"/>
      <c r="F507" s="121"/>
      <c r="G507" s="121"/>
    </row>
    <row r="508">
      <c r="A508" s="121"/>
      <c r="B508" s="121"/>
      <c r="C508" s="121"/>
      <c r="D508" s="121"/>
      <c r="E508" s="121"/>
      <c r="F508" s="121"/>
      <c r="G508" s="121"/>
    </row>
    <row r="509">
      <c r="A509" s="121"/>
      <c r="B509" s="121"/>
      <c r="C509" s="121"/>
      <c r="D509" s="121"/>
      <c r="E509" s="121"/>
      <c r="F509" s="121"/>
      <c r="G509" s="121"/>
    </row>
    <row r="510">
      <c r="A510" s="121"/>
      <c r="B510" s="121"/>
      <c r="C510" s="121"/>
      <c r="D510" s="121"/>
      <c r="E510" s="121"/>
      <c r="F510" s="121"/>
      <c r="G510" s="121"/>
    </row>
    <row r="511">
      <c r="A511" s="121"/>
      <c r="B511" s="121"/>
      <c r="C511" s="121"/>
      <c r="D511" s="121"/>
      <c r="E511" s="121"/>
      <c r="F511" s="121"/>
      <c r="G511" s="121"/>
    </row>
    <row r="512">
      <c r="A512" s="121"/>
      <c r="B512" s="121"/>
      <c r="C512" s="121"/>
      <c r="D512" s="121"/>
      <c r="E512" s="121"/>
      <c r="F512" s="121"/>
      <c r="G512" s="121"/>
    </row>
    <row r="513">
      <c r="A513" s="121"/>
      <c r="B513" s="121"/>
      <c r="C513" s="121"/>
      <c r="D513" s="121"/>
      <c r="E513" s="121"/>
      <c r="F513" s="121"/>
      <c r="G513" s="121"/>
    </row>
    <row r="514">
      <c r="A514" s="121"/>
      <c r="B514" s="121"/>
      <c r="C514" s="121"/>
      <c r="D514" s="121"/>
      <c r="E514" s="121"/>
      <c r="F514" s="121"/>
      <c r="G514" s="121"/>
    </row>
    <row r="515">
      <c r="A515" s="121"/>
      <c r="B515" s="121"/>
      <c r="C515" s="121"/>
      <c r="D515" s="121"/>
      <c r="E515" s="121"/>
      <c r="F515" s="121"/>
      <c r="G515" s="121"/>
    </row>
    <row r="516">
      <c r="A516" s="121"/>
      <c r="B516" s="121"/>
      <c r="C516" s="121"/>
      <c r="D516" s="121"/>
      <c r="E516" s="121"/>
      <c r="F516" s="121"/>
      <c r="G516" s="121"/>
    </row>
    <row r="517">
      <c r="A517" s="121"/>
      <c r="B517" s="121"/>
      <c r="C517" s="121"/>
      <c r="D517" s="121"/>
      <c r="E517" s="121"/>
      <c r="F517" s="121"/>
      <c r="G517" s="121"/>
    </row>
    <row r="518">
      <c r="A518" s="121"/>
      <c r="B518" s="121"/>
      <c r="C518" s="121"/>
      <c r="D518" s="121"/>
      <c r="E518" s="121"/>
      <c r="F518" s="121"/>
      <c r="G518" s="121"/>
    </row>
    <row r="519">
      <c r="A519" s="121"/>
      <c r="B519" s="121"/>
      <c r="C519" s="121"/>
      <c r="D519" s="121"/>
      <c r="E519" s="121"/>
      <c r="F519" s="121"/>
      <c r="G519" s="121"/>
    </row>
    <row r="520">
      <c r="A520" s="121"/>
      <c r="B520" s="121"/>
      <c r="C520" s="121"/>
      <c r="D520" s="121"/>
      <c r="E520" s="121"/>
      <c r="F520" s="121"/>
      <c r="G520" s="121"/>
    </row>
    <row r="521">
      <c r="A521" s="121"/>
      <c r="B521" s="121"/>
      <c r="C521" s="121"/>
      <c r="D521" s="121"/>
      <c r="E521" s="121"/>
      <c r="F521" s="121"/>
      <c r="G521" s="121"/>
    </row>
    <row r="522">
      <c r="A522" s="121"/>
      <c r="B522" s="121"/>
      <c r="C522" s="121"/>
      <c r="D522" s="121"/>
      <c r="E522" s="121"/>
      <c r="F522" s="121"/>
      <c r="G522" s="121"/>
    </row>
    <row r="523">
      <c r="A523" s="121"/>
      <c r="B523" s="121"/>
      <c r="C523" s="121"/>
      <c r="D523" s="121"/>
      <c r="E523" s="121"/>
      <c r="F523" s="121"/>
      <c r="G523" s="121"/>
    </row>
    <row r="524">
      <c r="A524" s="121"/>
      <c r="B524" s="121"/>
      <c r="C524" s="121"/>
      <c r="D524" s="121"/>
      <c r="E524" s="121"/>
      <c r="F524" s="121"/>
      <c r="G524" s="121"/>
    </row>
    <row r="525">
      <c r="A525" s="121"/>
      <c r="B525" s="121"/>
      <c r="C525" s="121"/>
      <c r="D525" s="121"/>
      <c r="E525" s="121"/>
      <c r="F525" s="121"/>
      <c r="G525" s="121"/>
    </row>
    <row r="526">
      <c r="A526" s="121"/>
      <c r="B526" s="121"/>
      <c r="C526" s="121"/>
      <c r="D526" s="121"/>
      <c r="E526" s="121"/>
      <c r="F526" s="121"/>
      <c r="G526" s="121"/>
    </row>
    <row r="527">
      <c r="A527" s="121"/>
      <c r="B527" s="121"/>
      <c r="C527" s="121"/>
      <c r="D527" s="121"/>
      <c r="E527" s="121"/>
      <c r="F527" s="121"/>
      <c r="G527" s="121"/>
    </row>
    <row r="528">
      <c r="A528" s="121"/>
      <c r="B528" s="121"/>
      <c r="C528" s="121"/>
      <c r="D528" s="121"/>
      <c r="E528" s="121"/>
      <c r="F528" s="121"/>
      <c r="G528" s="121"/>
    </row>
    <row r="529">
      <c r="A529" s="121"/>
      <c r="B529" s="121"/>
      <c r="C529" s="121"/>
      <c r="D529" s="121"/>
      <c r="E529" s="121"/>
      <c r="F529" s="121"/>
      <c r="G529" s="121"/>
    </row>
    <row r="530">
      <c r="A530" s="121"/>
      <c r="B530" s="121"/>
      <c r="C530" s="121"/>
      <c r="D530" s="121"/>
      <c r="E530" s="121"/>
      <c r="F530" s="121"/>
      <c r="G530" s="121"/>
    </row>
    <row r="531">
      <c r="A531" s="121"/>
      <c r="B531" s="121"/>
      <c r="C531" s="121"/>
      <c r="D531" s="121"/>
      <c r="E531" s="121"/>
      <c r="F531" s="121"/>
      <c r="G531" s="121"/>
    </row>
    <row r="532">
      <c r="A532" s="121"/>
      <c r="B532" s="121"/>
      <c r="C532" s="121"/>
      <c r="D532" s="121"/>
      <c r="E532" s="121"/>
      <c r="F532" s="121"/>
      <c r="G532" s="121"/>
    </row>
    <row r="533">
      <c r="A533" s="121"/>
      <c r="B533" s="121"/>
      <c r="C533" s="121"/>
      <c r="D533" s="121"/>
      <c r="E533" s="121"/>
      <c r="F533" s="121"/>
      <c r="G533" s="121"/>
    </row>
    <row r="534">
      <c r="A534" s="121"/>
      <c r="B534" s="121"/>
      <c r="C534" s="121"/>
      <c r="D534" s="121"/>
      <c r="E534" s="121"/>
      <c r="F534" s="121"/>
      <c r="G534" s="121"/>
    </row>
    <row r="535">
      <c r="A535" s="121"/>
      <c r="B535" s="121"/>
      <c r="C535" s="121"/>
      <c r="D535" s="121"/>
      <c r="E535" s="121"/>
      <c r="F535" s="121"/>
      <c r="G535" s="121"/>
    </row>
    <row r="536">
      <c r="A536" s="121"/>
      <c r="B536" s="121"/>
      <c r="C536" s="121"/>
      <c r="D536" s="121"/>
      <c r="E536" s="121"/>
      <c r="F536" s="121"/>
      <c r="G536" s="121"/>
    </row>
    <row r="537">
      <c r="A537" s="121"/>
      <c r="B537" s="121"/>
      <c r="C537" s="121"/>
      <c r="D537" s="121"/>
      <c r="E537" s="121"/>
      <c r="F537" s="121"/>
      <c r="G537" s="121"/>
    </row>
    <row r="538">
      <c r="A538" s="121"/>
      <c r="B538" s="121"/>
      <c r="C538" s="121"/>
      <c r="D538" s="121"/>
      <c r="E538" s="121"/>
      <c r="F538" s="121"/>
      <c r="G538" s="121"/>
    </row>
    <row r="539">
      <c r="A539" s="121"/>
      <c r="B539" s="121"/>
      <c r="C539" s="121"/>
      <c r="D539" s="121"/>
      <c r="E539" s="121"/>
      <c r="F539" s="121"/>
      <c r="G539" s="121"/>
    </row>
    <row r="540">
      <c r="A540" s="121"/>
      <c r="B540" s="121"/>
      <c r="C540" s="121"/>
      <c r="D540" s="121"/>
      <c r="E540" s="121"/>
      <c r="F540" s="121"/>
      <c r="G540" s="121"/>
    </row>
    <row r="541">
      <c r="A541" s="121"/>
      <c r="B541" s="121"/>
      <c r="C541" s="121"/>
      <c r="D541" s="121"/>
      <c r="E541" s="121"/>
      <c r="F541" s="121"/>
      <c r="G541" s="121"/>
    </row>
    <row r="542">
      <c r="A542" s="121"/>
      <c r="B542" s="121"/>
      <c r="C542" s="121"/>
      <c r="D542" s="121"/>
      <c r="E542" s="121"/>
      <c r="F542" s="121"/>
      <c r="G542" s="121"/>
    </row>
    <row r="543">
      <c r="A543" s="121"/>
      <c r="B543" s="121"/>
      <c r="C543" s="121"/>
      <c r="D543" s="121"/>
      <c r="E543" s="121"/>
      <c r="F543" s="121"/>
      <c r="G543" s="121"/>
    </row>
    <row r="544">
      <c r="A544" s="121"/>
      <c r="B544" s="121"/>
      <c r="C544" s="121"/>
      <c r="D544" s="121"/>
      <c r="E544" s="121"/>
      <c r="F544" s="121"/>
      <c r="G544" s="121"/>
    </row>
    <row r="545">
      <c r="A545" s="121"/>
      <c r="B545" s="121"/>
      <c r="C545" s="121"/>
      <c r="D545" s="121"/>
      <c r="E545" s="121"/>
      <c r="F545" s="121"/>
      <c r="G545" s="121"/>
    </row>
    <row r="546">
      <c r="A546" s="121"/>
      <c r="B546" s="121"/>
      <c r="C546" s="121"/>
      <c r="D546" s="121"/>
      <c r="E546" s="121"/>
      <c r="F546" s="121"/>
      <c r="G546" s="121"/>
    </row>
    <row r="547">
      <c r="A547" s="121"/>
      <c r="B547" s="121"/>
      <c r="C547" s="121"/>
      <c r="D547" s="121"/>
      <c r="E547" s="121"/>
      <c r="F547" s="121"/>
      <c r="G547" s="121"/>
    </row>
    <row r="548">
      <c r="A548" s="121"/>
      <c r="B548" s="121"/>
      <c r="C548" s="121"/>
      <c r="D548" s="121"/>
      <c r="E548" s="121"/>
      <c r="F548" s="121"/>
      <c r="G548" s="121"/>
    </row>
    <row r="549">
      <c r="A549" s="121"/>
      <c r="B549" s="121"/>
      <c r="C549" s="121"/>
      <c r="D549" s="121"/>
      <c r="E549" s="121"/>
      <c r="F549" s="121"/>
      <c r="G549" s="121"/>
    </row>
    <row r="550">
      <c r="A550" s="121"/>
      <c r="B550" s="121"/>
      <c r="C550" s="121"/>
      <c r="D550" s="121"/>
      <c r="E550" s="121"/>
      <c r="F550" s="121"/>
      <c r="G550" s="121"/>
    </row>
    <row r="551">
      <c r="A551" s="121"/>
      <c r="B551" s="121"/>
      <c r="C551" s="121"/>
      <c r="D551" s="121"/>
      <c r="E551" s="121"/>
      <c r="F551" s="121"/>
      <c r="G551" s="121"/>
    </row>
    <row r="552">
      <c r="A552" s="121"/>
      <c r="B552" s="121"/>
      <c r="C552" s="121"/>
      <c r="D552" s="121"/>
      <c r="E552" s="121"/>
      <c r="F552" s="121"/>
      <c r="G552" s="121"/>
    </row>
    <row r="553">
      <c r="A553" s="121"/>
      <c r="B553" s="121"/>
      <c r="C553" s="121"/>
      <c r="D553" s="121"/>
      <c r="E553" s="121"/>
      <c r="F553" s="121"/>
      <c r="G553" s="121"/>
    </row>
    <row r="554">
      <c r="A554" s="121"/>
      <c r="B554" s="121"/>
      <c r="C554" s="121"/>
      <c r="D554" s="121"/>
      <c r="E554" s="121"/>
      <c r="F554" s="121"/>
      <c r="G554" s="121"/>
    </row>
    <row r="555">
      <c r="A555" s="121"/>
      <c r="B555" s="121"/>
      <c r="C555" s="121"/>
      <c r="D555" s="121"/>
      <c r="E555" s="121"/>
      <c r="F555" s="121"/>
      <c r="G555" s="121"/>
    </row>
    <row r="556">
      <c r="A556" s="121"/>
      <c r="B556" s="121"/>
      <c r="C556" s="121"/>
      <c r="D556" s="121"/>
      <c r="E556" s="121"/>
      <c r="F556" s="121"/>
      <c r="G556" s="121"/>
    </row>
    <row r="557">
      <c r="A557" s="121"/>
      <c r="B557" s="121"/>
      <c r="C557" s="121"/>
      <c r="D557" s="121"/>
      <c r="E557" s="121"/>
      <c r="F557" s="121"/>
      <c r="G557" s="121"/>
    </row>
    <row r="558">
      <c r="A558" s="121"/>
      <c r="B558" s="121"/>
      <c r="C558" s="121"/>
      <c r="D558" s="121"/>
      <c r="E558" s="121"/>
      <c r="F558" s="121"/>
      <c r="G558" s="121"/>
    </row>
    <row r="559">
      <c r="A559" s="121"/>
      <c r="B559" s="121"/>
      <c r="C559" s="121"/>
      <c r="D559" s="121"/>
      <c r="E559" s="121"/>
      <c r="F559" s="121"/>
      <c r="G559" s="121"/>
    </row>
    <row r="560">
      <c r="A560" s="121"/>
      <c r="B560" s="121"/>
      <c r="C560" s="121"/>
      <c r="D560" s="121"/>
      <c r="E560" s="121"/>
      <c r="F560" s="121"/>
      <c r="G560" s="121"/>
    </row>
    <row r="561">
      <c r="A561" s="121"/>
      <c r="B561" s="121"/>
      <c r="C561" s="121"/>
      <c r="D561" s="121"/>
      <c r="E561" s="121"/>
      <c r="F561" s="121"/>
      <c r="G561" s="121"/>
    </row>
    <row r="562">
      <c r="A562" s="121"/>
      <c r="B562" s="121"/>
      <c r="C562" s="121"/>
      <c r="D562" s="121"/>
      <c r="E562" s="121"/>
      <c r="F562" s="121"/>
      <c r="G562" s="121"/>
    </row>
    <row r="563">
      <c r="A563" s="121"/>
      <c r="B563" s="121"/>
      <c r="C563" s="121"/>
      <c r="D563" s="121"/>
      <c r="E563" s="121"/>
      <c r="F563" s="121"/>
      <c r="G563" s="121"/>
    </row>
    <row r="564">
      <c r="A564" s="121"/>
      <c r="B564" s="121"/>
      <c r="C564" s="121"/>
      <c r="D564" s="121"/>
      <c r="E564" s="121"/>
      <c r="F564" s="121"/>
      <c r="G564" s="121"/>
    </row>
    <row r="565">
      <c r="A565" s="121"/>
      <c r="B565" s="121"/>
      <c r="C565" s="121"/>
      <c r="D565" s="121"/>
      <c r="E565" s="121"/>
      <c r="F565" s="121"/>
      <c r="G565" s="121"/>
    </row>
    <row r="566">
      <c r="A566" s="121"/>
      <c r="B566" s="121"/>
      <c r="C566" s="121"/>
      <c r="D566" s="121"/>
      <c r="E566" s="121"/>
      <c r="F566" s="121"/>
      <c r="G566" s="121"/>
    </row>
    <row r="567">
      <c r="A567" s="121"/>
      <c r="B567" s="121"/>
      <c r="C567" s="121"/>
      <c r="D567" s="121"/>
      <c r="E567" s="121"/>
      <c r="F567" s="121"/>
      <c r="G567" s="121"/>
    </row>
    <row r="568">
      <c r="A568" s="121"/>
      <c r="B568" s="121"/>
      <c r="C568" s="121"/>
      <c r="D568" s="121"/>
      <c r="E568" s="121"/>
      <c r="F568" s="121"/>
      <c r="G568" s="121"/>
    </row>
    <row r="569">
      <c r="A569" s="121"/>
      <c r="B569" s="121"/>
      <c r="C569" s="121"/>
      <c r="D569" s="121"/>
      <c r="E569" s="121"/>
      <c r="F569" s="121"/>
      <c r="G569" s="121"/>
    </row>
    <row r="570">
      <c r="A570" s="121"/>
      <c r="B570" s="121"/>
      <c r="C570" s="121"/>
      <c r="D570" s="121"/>
      <c r="E570" s="121"/>
      <c r="F570" s="121"/>
      <c r="G570" s="121"/>
    </row>
    <row r="571">
      <c r="A571" s="121"/>
      <c r="B571" s="121"/>
      <c r="C571" s="121"/>
      <c r="D571" s="121"/>
      <c r="E571" s="121"/>
      <c r="F571" s="121"/>
      <c r="G571" s="121"/>
    </row>
    <row r="572">
      <c r="A572" s="121"/>
      <c r="B572" s="121"/>
      <c r="C572" s="121"/>
      <c r="D572" s="121"/>
      <c r="E572" s="121"/>
      <c r="F572" s="121"/>
      <c r="G572" s="121"/>
    </row>
    <row r="573">
      <c r="A573" s="121"/>
      <c r="B573" s="121"/>
      <c r="C573" s="121"/>
      <c r="D573" s="121"/>
      <c r="E573" s="121"/>
      <c r="F573" s="121"/>
      <c r="G573" s="121"/>
    </row>
    <row r="574">
      <c r="A574" s="121"/>
      <c r="B574" s="121"/>
      <c r="C574" s="121"/>
      <c r="D574" s="121"/>
      <c r="E574" s="121"/>
      <c r="F574" s="121"/>
      <c r="G574" s="121"/>
    </row>
    <row r="575">
      <c r="A575" s="121"/>
      <c r="B575" s="121"/>
      <c r="C575" s="121"/>
      <c r="D575" s="121"/>
      <c r="E575" s="121"/>
      <c r="F575" s="121"/>
      <c r="G575" s="121"/>
    </row>
    <row r="576">
      <c r="A576" s="121"/>
      <c r="B576" s="121"/>
      <c r="C576" s="121"/>
      <c r="D576" s="121"/>
      <c r="E576" s="121"/>
      <c r="F576" s="121"/>
      <c r="G576" s="121"/>
    </row>
    <row r="577">
      <c r="A577" s="121"/>
      <c r="B577" s="121"/>
      <c r="C577" s="121"/>
      <c r="D577" s="121"/>
      <c r="E577" s="121"/>
      <c r="F577" s="121"/>
      <c r="G577" s="121"/>
    </row>
    <row r="578">
      <c r="A578" s="121"/>
      <c r="B578" s="121"/>
      <c r="C578" s="121"/>
      <c r="D578" s="121"/>
      <c r="E578" s="121"/>
      <c r="F578" s="121"/>
      <c r="G578" s="121"/>
    </row>
    <row r="579">
      <c r="A579" s="121"/>
      <c r="B579" s="121"/>
      <c r="C579" s="121"/>
      <c r="D579" s="121"/>
      <c r="E579" s="121"/>
      <c r="F579" s="121"/>
      <c r="G579" s="121"/>
    </row>
    <row r="580">
      <c r="A580" s="121"/>
      <c r="B580" s="121"/>
      <c r="C580" s="121"/>
      <c r="D580" s="121"/>
      <c r="E580" s="121"/>
      <c r="F580" s="121"/>
      <c r="G580" s="121"/>
    </row>
    <row r="581">
      <c r="A581" s="121"/>
      <c r="B581" s="121"/>
      <c r="C581" s="121"/>
      <c r="D581" s="121"/>
      <c r="E581" s="121"/>
      <c r="F581" s="121"/>
      <c r="G581" s="121"/>
    </row>
    <row r="582">
      <c r="A582" s="121"/>
      <c r="B582" s="121"/>
      <c r="C582" s="121"/>
      <c r="D582" s="121"/>
      <c r="E582" s="121"/>
      <c r="F582" s="121"/>
      <c r="G582" s="121"/>
    </row>
    <row r="583">
      <c r="A583" s="121"/>
      <c r="B583" s="121"/>
      <c r="C583" s="121"/>
      <c r="D583" s="121"/>
      <c r="E583" s="121"/>
      <c r="F583" s="121"/>
      <c r="G583" s="121"/>
    </row>
    <row r="584">
      <c r="A584" s="121"/>
      <c r="B584" s="121"/>
      <c r="C584" s="121"/>
      <c r="D584" s="121"/>
      <c r="E584" s="121"/>
      <c r="F584" s="121"/>
      <c r="G584" s="121"/>
    </row>
    <row r="585">
      <c r="A585" s="121"/>
      <c r="B585" s="121"/>
      <c r="C585" s="121"/>
      <c r="D585" s="121"/>
      <c r="E585" s="121"/>
      <c r="F585" s="121"/>
      <c r="G585" s="121"/>
    </row>
    <row r="586">
      <c r="A586" s="121"/>
      <c r="B586" s="121"/>
      <c r="C586" s="121"/>
      <c r="D586" s="121"/>
      <c r="E586" s="121"/>
      <c r="F586" s="121"/>
      <c r="G586" s="121"/>
    </row>
    <row r="587">
      <c r="A587" s="121"/>
      <c r="B587" s="121"/>
      <c r="C587" s="121"/>
      <c r="D587" s="121"/>
      <c r="E587" s="121"/>
      <c r="F587" s="121"/>
      <c r="G587" s="121"/>
    </row>
    <row r="588">
      <c r="A588" s="121"/>
      <c r="B588" s="121"/>
      <c r="C588" s="121"/>
      <c r="D588" s="121"/>
      <c r="E588" s="121"/>
      <c r="F588" s="121"/>
      <c r="G588" s="121"/>
    </row>
    <row r="589">
      <c r="A589" s="121"/>
      <c r="B589" s="121"/>
      <c r="C589" s="121"/>
      <c r="D589" s="121"/>
      <c r="E589" s="121"/>
      <c r="F589" s="121"/>
      <c r="G589" s="121"/>
    </row>
    <row r="590">
      <c r="A590" s="121"/>
      <c r="B590" s="121"/>
      <c r="C590" s="121"/>
      <c r="D590" s="121"/>
      <c r="E590" s="121"/>
      <c r="F590" s="121"/>
      <c r="G590" s="121"/>
    </row>
    <row r="591">
      <c r="A591" s="121"/>
      <c r="B591" s="121"/>
      <c r="C591" s="121"/>
      <c r="D591" s="121"/>
      <c r="E591" s="121"/>
      <c r="F591" s="121"/>
      <c r="G591" s="121"/>
    </row>
    <row r="592">
      <c r="A592" s="121"/>
      <c r="B592" s="121"/>
      <c r="C592" s="121"/>
      <c r="D592" s="121"/>
      <c r="E592" s="121"/>
      <c r="F592" s="121"/>
      <c r="G592" s="121"/>
    </row>
    <row r="593">
      <c r="A593" s="121"/>
      <c r="B593" s="121"/>
      <c r="C593" s="121"/>
      <c r="D593" s="121"/>
      <c r="E593" s="121"/>
      <c r="F593" s="121"/>
      <c r="G593" s="121"/>
    </row>
    <row r="594">
      <c r="A594" s="121"/>
      <c r="B594" s="121"/>
      <c r="C594" s="121"/>
      <c r="D594" s="121"/>
      <c r="E594" s="121"/>
      <c r="F594" s="121"/>
      <c r="G594" s="121"/>
    </row>
    <row r="595">
      <c r="A595" s="121"/>
      <c r="B595" s="121"/>
      <c r="C595" s="121"/>
      <c r="D595" s="121"/>
      <c r="E595" s="121"/>
      <c r="F595" s="121"/>
      <c r="G595" s="121"/>
    </row>
    <row r="596">
      <c r="A596" s="121"/>
      <c r="B596" s="121"/>
      <c r="C596" s="121"/>
      <c r="D596" s="121"/>
      <c r="E596" s="121"/>
      <c r="F596" s="121"/>
      <c r="G596" s="121"/>
    </row>
    <row r="597">
      <c r="A597" s="121"/>
      <c r="B597" s="121"/>
      <c r="C597" s="121"/>
      <c r="D597" s="121"/>
      <c r="E597" s="121"/>
      <c r="F597" s="121"/>
      <c r="G597" s="121"/>
    </row>
    <row r="598">
      <c r="A598" s="121"/>
      <c r="B598" s="121"/>
      <c r="C598" s="121"/>
      <c r="D598" s="121"/>
      <c r="E598" s="121"/>
      <c r="F598" s="121"/>
      <c r="G598" s="121"/>
    </row>
    <row r="599">
      <c r="A599" s="121"/>
      <c r="B599" s="121"/>
      <c r="C599" s="121"/>
      <c r="D599" s="121"/>
      <c r="E599" s="121"/>
      <c r="F599" s="121"/>
      <c r="G599" s="121"/>
    </row>
    <row r="600">
      <c r="A600" s="121"/>
      <c r="B600" s="121"/>
      <c r="C600" s="121"/>
      <c r="D600" s="121"/>
      <c r="E600" s="121"/>
      <c r="F600" s="121"/>
      <c r="G600" s="121"/>
    </row>
    <row r="601">
      <c r="A601" s="121"/>
      <c r="B601" s="121"/>
      <c r="C601" s="121"/>
      <c r="D601" s="121"/>
      <c r="E601" s="121"/>
      <c r="F601" s="121"/>
      <c r="G601" s="121"/>
    </row>
    <row r="602">
      <c r="A602" s="121"/>
      <c r="B602" s="121"/>
      <c r="C602" s="121"/>
      <c r="D602" s="121"/>
      <c r="E602" s="121"/>
      <c r="F602" s="121"/>
      <c r="G602" s="121"/>
    </row>
    <row r="603">
      <c r="A603" s="121"/>
      <c r="B603" s="121"/>
      <c r="C603" s="121"/>
      <c r="D603" s="121"/>
      <c r="E603" s="121"/>
      <c r="F603" s="121"/>
      <c r="G603" s="121"/>
    </row>
    <row r="604">
      <c r="A604" s="121"/>
      <c r="B604" s="121"/>
      <c r="C604" s="121"/>
      <c r="D604" s="121"/>
      <c r="E604" s="121"/>
      <c r="F604" s="121"/>
      <c r="G604" s="121"/>
    </row>
    <row r="605">
      <c r="A605" s="121"/>
      <c r="B605" s="121"/>
      <c r="C605" s="121"/>
      <c r="D605" s="121"/>
      <c r="E605" s="121"/>
      <c r="F605" s="121"/>
      <c r="G605" s="121"/>
    </row>
    <row r="606">
      <c r="A606" s="121"/>
      <c r="B606" s="121"/>
      <c r="C606" s="121"/>
      <c r="D606" s="121"/>
      <c r="E606" s="121"/>
      <c r="F606" s="121"/>
      <c r="G606" s="121"/>
    </row>
    <row r="607">
      <c r="A607" s="121"/>
      <c r="B607" s="121"/>
      <c r="C607" s="121"/>
      <c r="D607" s="121"/>
      <c r="E607" s="121"/>
      <c r="F607" s="121"/>
      <c r="G607" s="121"/>
    </row>
    <row r="608">
      <c r="A608" s="121"/>
      <c r="B608" s="121"/>
      <c r="C608" s="121"/>
      <c r="D608" s="121"/>
      <c r="E608" s="121"/>
      <c r="F608" s="121"/>
      <c r="G608" s="121"/>
    </row>
    <row r="609">
      <c r="A609" s="121"/>
      <c r="B609" s="121"/>
      <c r="C609" s="121"/>
      <c r="D609" s="121"/>
      <c r="E609" s="121"/>
      <c r="F609" s="121"/>
      <c r="G609" s="121"/>
    </row>
    <row r="610">
      <c r="A610" s="121"/>
      <c r="B610" s="121"/>
      <c r="C610" s="121"/>
      <c r="D610" s="121"/>
      <c r="E610" s="121"/>
      <c r="F610" s="121"/>
      <c r="G610" s="121"/>
    </row>
    <row r="611">
      <c r="A611" s="121"/>
      <c r="B611" s="121"/>
      <c r="C611" s="121"/>
      <c r="D611" s="121"/>
      <c r="E611" s="121"/>
      <c r="F611" s="121"/>
      <c r="G611" s="121"/>
    </row>
    <row r="612">
      <c r="A612" s="121"/>
      <c r="B612" s="121"/>
      <c r="C612" s="121"/>
      <c r="D612" s="121"/>
      <c r="E612" s="121"/>
      <c r="F612" s="121"/>
      <c r="G612" s="121"/>
    </row>
    <row r="613">
      <c r="A613" s="121"/>
      <c r="B613" s="121"/>
      <c r="C613" s="121"/>
      <c r="D613" s="121"/>
      <c r="E613" s="121"/>
      <c r="F613" s="121"/>
      <c r="G613" s="121"/>
    </row>
    <row r="614">
      <c r="A614" s="121"/>
      <c r="B614" s="121"/>
      <c r="C614" s="121"/>
      <c r="D614" s="121"/>
      <c r="E614" s="121"/>
      <c r="F614" s="121"/>
      <c r="G614" s="121"/>
    </row>
    <row r="615">
      <c r="A615" s="121"/>
      <c r="B615" s="121"/>
      <c r="C615" s="121"/>
      <c r="D615" s="121"/>
      <c r="E615" s="121"/>
      <c r="F615" s="121"/>
      <c r="G615" s="121"/>
    </row>
    <row r="616">
      <c r="A616" s="121"/>
      <c r="B616" s="121"/>
      <c r="C616" s="121"/>
      <c r="D616" s="121"/>
      <c r="E616" s="121"/>
      <c r="F616" s="121"/>
      <c r="G616" s="121"/>
    </row>
    <row r="617">
      <c r="A617" s="121"/>
      <c r="B617" s="121"/>
      <c r="C617" s="121"/>
      <c r="D617" s="121"/>
      <c r="E617" s="121"/>
      <c r="F617" s="121"/>
      <c r="G617" s="121"/>
    </row>
    <row r="618">
      <c r="A618" s="121"/>
      <c r="B618" s="121"/>
      <c r="C618" s="121"/>
      <c r="D618" s="121"/>
      <c r="E618" s="121"/>
      <c r="F618" s="121"/>
      <c r="G618" s="121"/>
    </row>
    <row r="619">
      <c r="A619" s="121"/>
      <c r="B619" s="121"/>
      <c r="C619" s="121"/>
      <c r="D619" s="121"/>
      <c r="E619" s="121"/>
      <c r="F619" s="121"/>
      <c r="G619" s="121"/>
    </row>
    <row r="620">
      <c r="A620" s="121"/>
      <c r="B620" s="121"/>
      <c r="C620" s="121"/>
      <c r="D620" s="121"/>
      <c r="E620" s="121"/>
      <c r="F620" s="121"/>
      <c r="G620" s="121"/>
    </row>
    <row r="621">
      <c r="A621" s="121"/>
      <c r="B621" s="121"/>
      <c r="C621" s="121"/>
      <c r="D621" s="121"/>
      <c r="E621" s="121"/>
      <c r="F621" s="121"/>
      <c r="G621" s="121"/>
    </row>
    <row r="622">
      <c r="A622" s="121"/>
      <c r="B622" s="121"/>
      <c r="C622" s="121"/>
      <c r="D622" s="121"/>
      <c r="E622" s="121"/>
      <c r="F622" s="121"/>
      <c r="G622" s="121"/>
    </row>
    <row r="623">
      <c r="A623" s="121"/>
      <c r="B623" s="121"/>
      <c r="C623" s="121"/>
      <c r="D623" s="121"/>
      <c r="E623" s="121"/>
      <c r="F623" s="121"/>
      <c r="G623" s="121"/>
    </row>
    <row r="624">
      <c r="A624" s="121"/>
      <c r="B624" s="121"/>
      <c r="C624" s="121"/>
      <c r="D624" s="121"/>
      <c r="E624" s="121"/>
      <c r="F624" s="121"/>
      <c r="G624" s="121"/>
    </row>
    <row r="625">
      <c r="A625" s="121"/>
      <c r="B625" s="121"/>
      <c r="C625" s="121"/>
      <c r="D625" s="121"/>
      <c r="E625" s="121"/>
      <c r="F625" s="121"/>
      <c r="G625" s="121"/>
    </row>
    <row r="626">
      <c r="A626" s="121"/>
      <c r="B626" s="121"/>
      <c r="C626" s="121"/>
      <c r="D626" s="121"/>
      <c r="E626" s="121"/>
      <c r="F626" s="121"/>
      <c r="G626" s="121"/>
    </row>
    <row r="627">
      <c r="A627" s="121"/>
      <c r="B627" s="121"/>
      <c r="C627" s="121"/>
      <c r="D627" s="121"/>
      <c r="E627" s="121"/>
      <c r="F627" s="121"/>
      <c r="G627" s="121"/>
    </row>
    <row r="628">
      <c r="A628" s="121"/>
      <c r="B628" s="121"/>
      <c r="C628" s="121"/>
      <c r="D628" s="121"/>
      <c r="E628" s="121"/>
      <c r="F628" s="121"/>
      <c r="G628" s="121"/>
    </row>
    <row r="629">
      <c r="A629" s="121"/>
      <c r="B629" s="121"/>
      <c r="C629" s="121"/>
      <c r="D629" s="121"/>
      <c r="E629" s="121"/>
      <c r="F629" s="121"/>
      <c r="G629" s="121"/>
    </row>
    <row r="630">
      <c r="A630" s="121"/>
      <c r="B630" s="121"/>
      <c r="C630" s="121"/>
      <c r="D630" s="121"/>
      <c r="E630" s="121"/>
      <c r="F630" s="121"/>
      <c r="G630" s="121"/>
    </row>
    <row r="631">
      <c r="A631" s="121"/>
      <c r="B631" s="121"/>
      <c r="C631" s="121"/>
      <c r="D631" s="121"/>
      <c r="E631" s="121"/>
      <c r="F631" s="121"/>
      <c r="G631" s="121"/>
    </row>
    <row r="632">
      <c r="A632" s="121"/>
      <c r="B632" s="121"/>
      <c r="C632" s="121"/>
      <c r="D632" s="121"/>
      <c r="E632" s="121"/>
      <c r="F632" s="121"/>
      <c r="G632" s="121"/>
    </row>
    <row r="633">
      <c r="A633" s="121"/>
      <c r="B633" s="121"/>
      <c r="C633" s="121"/>
      <c r="D633" s="121"/>
      <c r="E633" s="121"/>
      <c r="F633" s="121"/>
      <c r="G633" s="121"/>
    </row>
    <row r="634">
      <c r="A634" s="121"/>
      <c r="B634" s="121"/>
      <c r="C634" s="121"/>
      <c r="D634" s="121"/>
      <c r="E634" s="121"/>
      <c r="F634" s="121"/>
      <c r="G634" s="121"/>
    </row>
    <row r="635">
      <c r="A635" s="121"/>
      <c r="B635" s="121"/>
      <c r="C635" s="121"/>
      <c r="D635" s="121"/>
      <c r="E635" s="121"/>
      <c r="F635" s="121"/>
      <c r="G635" s="121"/>
    </row>
    <row r="636">
      <c r="A636" s="121"/>
      <c r="B636" s="121"/>
      <c r="C636" s="121"/>
      <c r="D636" s="121"/>
      <c r="E636" s="121"/>
      <c r="F636" s="121"/>
      <c r="G636" s="121"/>
    </row>
    <row r="637">
      <c r="A637" s="121"/>
      <c r="B637" s="121"/>
      <c r="C637" s="121"/>
      <c r="D637" s="121"/>
      <c r="E637" s="121"/>
      <c r="F637" s="121"/>
      <c r="G637" s="121"/>
    </row>
    <row r="638">
      <c r="A638" s="121"/>
      <c r="B638" s="121"/>
      <c r="C638" s="121"/>
      <c r="D638" s="121"/>
      <c r="E638" s="121"/>
      <c r="F638" s="121"/>
      <c r="G638" s="121"/>
    </row>
    <row r="639">
      <c r="A639" s="121"/>
      <c r="B639" s="121"/>
      <c r="C639" s="121"/>
      <c r="D639" s="121"/>
      <c r="E639" s="121"/>
      <c r="F639" s="121"/>
      <c r="G639" s="121"/>
    </row>
    <row r="640">
      <c r="A640" s="121"/>
      <c r="B640" s="121"/>
      <c r="C640" s="121"/>
      <c r="D640" s="121"/>
      <c r="E640" s="121"/>
      <c r="F640" s="121"/>
      <c r="G640" s="121"/>
    </row>
    <row r="641">
      <c r="A641" s="121"/>
      <c r="B641" s="121"/>
      <c r="C641" s="121"/>
      <c r="D641" s="121"/>
      <c r="E641" s="121"/>
      <c r="F641" s="121"/>
      <c r="G641" s="121"/>
    </row>
    <row r="642">
      <c r="A642" s="121"/>
      <c r="B642" s="121"/>
      <c r="C642" s="121"/>
      <c r="D642" s="121"/>
      <c r="E642" s="121"/>
      <c r="F642" s="121"/>
      <c r="G642" s="121"/>
    </row>
    <row r="643">
      <c r="A643" s="121"/>
      <c r="B643" s="121"/>
      <c r="C643" s="121"/>
      <c r="D643" s="121"/>
      <c r="E643" s="121"/>
      <c r="F643" s="121"/>
      <c r="G643" s="121"/>
    </row>
    <row r="644">
      <c r="A644" s="121"/>
      <c r="B644" s="121"/>
      <c r="C644" s="121"/>
      <c r="D644" s="121"/>
      <c r="E644" s="121"/>
      <c r="F644" s="121"/>
      <c r="G644" s="121"/>
    </row>
    <row r="645">
      <c r="A645" s="121"/>
      <c r="B645" s="121"/>
      <c r="C645" s="121"/>
      <c r="D645" s="121"/>
      <c r="E645" s="121"/>
      <c r="F645" s="121"/>
      <c r="G645" s="121"/>
    </row>
    <row r="646">
      <c r="A646" s="121"/>
      <c r="B646" s="121"/>
      <c r="C646" s="121"/>
      <c r="D646" s="121"/>
      <c r="E646" s="121"/>
      <c r="F646" s="121"/>
      <c r="G646" s="121"/>
    </row>
    <row r="647">
      <c r="A647" s="121"/>
      <c r="B647" s="121"/>
      <c r="C647" s="121"/>
      <c r="D647" s="121"/>
      <c r="E647" s="121"/>
      <c r="F647" s="121"/>
      <c r="G647" s="121"/>
    </row>
    <row r="648">
      <c r="A648" s="121"/>
      <c r="B648" s="121"/>
      <c r="C648" s="121"/>
      <c r="D648" s="121"/>
      <c r="E648" s="121"/>
      <c r="F648" s="121"/>
      <c r="G648" s="121"/>
    </row>
    <row r="649">
      <c r="A649" s="121"/>
      <c r="B649" s="121"/>
      <c r="C649" s="121"/>
      <c r="D649" s="121"/>
      <c r="E649" s="121"/>
      <c r="F649" s="121"/>
      <c r="G649" s="121"/>
    </row>
    <row r="650">
      <c r="A650" s="121"/>
      <c r="B650" s="121"/>
      <c r="C650" s="121"/>
      <c r="D650" s="121"/>
      <c r="E650" s="121"/>
      <c r="F650" s="121"/>
      <c r="G650" s="121"/>
    </row>
    <row r="651">
      <c r="A651" s="121"/>
      <c r="B651" s="121"/>
      <c r="C651" s="121"/>
      <c r="D651" s="121"/>
      <c r="E651" s="121"/>
      <c r="F651" s="121"/>
      <c r="G651" s="121"/>
    </row>
    <row r="652">
      <c r="A652" s="121"/>
      <c r="B652" s="121"/>
      <c r="C652" s="121"/>
      <c r="D652" s="121"/>
      <c r="E652" s="121"/>
      <c r="F652" s="121"/>
      <c r="G652" s="121"/>
    </row>
    <row r="653">
      <c r="A653" s="121"/>
      <c r="B653" s="121"/>
      <c r="C653" s="121"/>
      <c r="D653" s="121"/>
      <c r="E653" s="121"/>
      <c r="F653" s="121"/>
      <c r="G653" s="121"/>
    </row>
    <row r="654">
      <c r="A654" s="121"/>
      <c r="B654" s="121"/>
      <c r="C654" s="121"/>
      <c r="D654" s="121"/>
      <c r="E654" s="121"/>
      <c r="F654" s="121"/>
      <c r="G654" s="121"/>
    </row>
    <row r="655">
      <c r="A655" s="121"/>
      <c r="B655" s="121"/>
      <c r="C655" s="121"/>
      <c r="D655" s="121"/>
      <c r="E655" s="121"/>
      <c r="F655" s="121"/>
      <c r="G655" s="121"/>
    </row>
    <row r="656">
      <c r="A656" s="121"/>
      <c r="B656" s="121"/>
      <c r="C656" s="121"/>
      <c r="D656" s="121"/>
      <c r="E656" s="121"/>
      <c r="F656" s="121"/>
      <c r="G656" s="121"/>
    </row>
    <row r="657">
      <c r="A657" s="121"/>
      <c r="B657" s="121"/>
      <c r="C657" s="121"/>
      <c r="D657" s="121"/>
      <c r="E657" s="121"/>
      <c r="F657" s="121"/>
      <c r="G657" s="121"/>
    </row>
    <row r="658">
      <c r="A658" s="121"/>
      <c r="B658" s="121"/>
      <c r="C658" s="121"/>
      <c r="D658" s="121"/>
      <c r="E658" s="121"/>
      <c r="F658" s="121"/>
      <c r="G658" s="121"/>
    </row>
    <row r="659">
      <c r="A659" s="121"/>
      <c r="B659" s="121"/>
      <c r="C659" s="121"/>
      <c r="D659" s="121"/>
      <c r="E659" s="121"/>
      <c r="F659" s="121"/>
      <c r="G659" s="121"/>
    </row>
    <row r="660">
      <c r="A660" s="121"/>
      <c r="B660" s="121"/>
      <c r="C660" s="121"/>
      <c r="D660" s="121"/>
      <c r="E660" s="121"/>
      <c r="F660" s="121"/>
      <c r="G660" s="121"/>
    </row>
    <row r="661">
      <c r="A661" s="121"/>
      <c r="B661" s="121"/>
      <c r="C661" s="121"/>
      <c r="D661" s="121"/>
      <c r="E661" s="121"/>
      <c r="F661" s="121"/>
      <c r="G661" s="121"/>
    </row>
    <row r="662">
      <c r="A662" s="121"/>
      <c r="B662" s="121"/>
      <c r="C662" s="121"/>
      <c r="D662" s="121"/>
      <c r="E662" s="121"/>
      <c r="F662" s="121"/>
      <c r="G662" s="121"/>
    </row>
    <row r="663">
      <c r="A663" s="121"/>
      <c r="B663" s="121"/>
      <c r="C663" s="121"/>
      <c r="D663" s="121"/>
      <c r="E663" s="121"/>
      <c r="F663" s="121"/>
      <c r="G663" s="121"/>
    </row>
    <row r="664">
      <c r="A664" s="121"/>
      <c r="B664" s="121"/>
      <c r="C664" s="121"/>
      <c r="D664" s="121"/>
      <c r="E664" s="121"/>
      <c r="F664" s="121"/>
      <c r="G664" s="121"/>
    </row>
    <row r="665">
      <c r="A665" s="121"/>
      <c r="B665" s="121"/>
      <c r="C665" s="121"/>
      <c r="D665" s="121"/>
      <c r="E665" s="121"/>
      <c r="F665" s="121"/>
      <c r="G665" s="121"/>
    </row>
    <row r="666">
      <c r="A666" s="121"/>
      <c r="B666" s="121"/>
      <c r="C666" s="121"/>
      <c r="D666" s="121"/>
      <c r="E666" s="121"/>
      <c r="F666" s="121"/>
      <c r="G666" s="121"/>
    </row>
    <row r="667">
      <c r="A667" s="121"/>
      <c r="B667" s="121"/>
      <c r="C667" s="121"/>
      <c r="D667" s="121"/>
      <c r="E667" s="121"/>
      <c r="F667" s="121"/>
      <c r="G667" s="121"/>
    </row>
    <row r="668">
      <c r="A668" s="121"/>
      <c r="B668" s="121"/>
      <c r="C668" s="121"/>
      <c r="D668" s="121"/>
      <c r="E668" s="121"/>
      <c r="F668" s="121"/>
      <c r="G668" s="121"/>
    </row>
    <row r="669">
      <c r="A669" s="121"/>
      <c r="B669" s="121"/>
      <c r="C669" s="121"/>
      <c r="D669" s="121"/>
      <c r="E669" s="121"/>
      <c r="F669" s="121"/>
      <c r="G669" s="121"/>
    </row>
    <row r="670">
      <c r="A670" s="121"/>
      <c r="B670" s="121"/>
      <c r="C670" s="121"/>
      <c r="D670" s="121"/>
      <c r="E670" s="121"/>
      <c r="F670" s="121"/>
      <c r="G670" s="121"/>
    </row>
    <row r="671">
      <c r="A671" s="121"/>
      <c r="B671" s="121"/>
      <c r="C671" s="121"/>
      <c r="D671" s="121"/>
      <c r="E671" s="121"/>
      <c r="F671" s="121"/>
      <c r="G671" s="121"/>
    </row>
    <row r="672">
      <c r="A672" s="121"/>
      <c r="B672" s="121"/>
      <c r="C672" s="121"/>
      <c r="D672" s="121"/>
      <c r="E672" s="121"/>
      <c r="F672" s="121"/>
      <c r="G672" s="121"/>
    </row>
    <row r="673">
      <c r="A673" s="121"/>
      <c r="B673" s="121"/>
      <c r="C673" s="121"/>
      <c r="D673" s="121"/>
      <c r="E673" s="121"/>
      <c r="F673" s="121"/>
      <c r="G673" s="121"/>
    </row>
    <row r="674">
      <c r="A674" s="121"/>
      <c r="B674" s="121"/>
      <c r="C674" s="121"/>
      <c r="D674" s="121"/>
      <c r="E674" s="121"/>
      <c r="F674" s="121"/>
      <c r="G674" s="121"/>
    </row>
    <row r="675">
      <c r="A675" s="121"/>
      <c r="B675" s="121"/>
      <c r="C675" s="121"/>
      <c r="D675" s="121"/>
      <c r="E675" s="121"/>
      <c r="F675" s="121"/>
      <c r="G675" s="121"/>
    </row>
    <row r="676">
      <c r="A676" s="121"/>
      <c r="B676" s="121"/>
      <c r="C676" s="121"/>
      <c r="D676" s="121"/>
      <c r="E676" s="121"/>
      <c r="F676" s="121"/>
      <c r="G676" s="121"/>
    </row>
    <row r="677">
      <c r="A677" s="121"/>
      <c r="B677" s="121"/>
      <c r="C677" s="121"/>
      <c r="D677" s="121"/>
      <c r="E677" s="121"/>
      <c r="F677" s="121"/>
      <c r="G677" s="121"/>
    </row>
    <row r="678">
      <c r="A678" s="121"/>
      <c r="B678" s="121"/>
      <c r="C678" s="121"/>
      <c r="D678" s="121"/>
      <c r="E678" s="121"/>
      <c r="F678" s="121"/>
      <c r="G678" s="121"/>
    </row>
    <row r="679">
      <c r="A679" s="121"/>
      <c r="B679" s="121"/>
      <c r="C679" s="121"/>
      <c r="D679" s="121"/>
      <c r="E679" s="121"/>
      <c r="F679" s="121"/>
      <c r="G679" s="121"/>
    </row>
    <row r="680">
      <c r="A680" s="121"/>
      <c r="B680" s="121"/>
      <c r="C680" s="121"/>
      <c r="D680" s="121"/>
      <c r="E680" s="121"/>
      <c r="F680" s="121"/>
      <c r="G680" s="121"/>
    </row>
    <row r="681">
      <c r="A681" s="121"/>
      <c r="B681" s="121"/>
      <c r="C681" s="121"/>
      <c r="D681" s="121"/>
      <c r="E681" s="121"/>
      <c r="F681" s="121"/>
      <c r="G681" s="121"/>
    </row>
    <row r="682">
      <c r="A682" s="121"/>
      <c r="B682" s="121"/>
      <c r="C682" s="121"/>
      <c r="D682" s="121"/>
      <c r="E682" s="121"/>
      <c r="F682" s="121"/>
      <c r="G682" s="121"/>
    </row>
    <row r="683">
      <c r="A683" s="121"/>
      <c r="B683" s="121"/>
      <c r="C683" s="121"/>
      <c r="D683" s="121"/>
      <c r="E683" s="121"/>
      <c r="F683" s="121"/>
      <c r="G683" s="121"/>
    </row>
    <row r="684">
      <c r="A684" s="121"/>
      <c r="B684" s="121"/>
      <c r="C684" s="121"/>
      <c r="D684" s="121"/>
      <c r="E684" s="121"/>
      <c r="F684" s="121"/>
      <c r="G684" s="121"/>
    </row>
    <row r="685">
      <c r="A685" s="121"/>
      <c r="B685" s="121"/>
      <c r="C685" s="121"/>
      <c r="D685" s="121"/>
      <c r="E685" s="121"/>
      <c r="F685" s="121"/>
      <c r="G685" s="121"/>
    </row>
    <row r="686">
      <c r="A686" s="121"/>
      <c r="B686" s="121"/>
      <c r="C686" s="121"/>
      <c r="D686" s="121"/>
      <c r="E686" s="121"/>
      <c r="F686" s="121"/>
      <c r="G686" s="121"/>
    </row>
    <row r="687">
      <c r="A687" s="121"/>
      <c r="B687" s="121"/>
      <c r="C687" s="121"/>
      <c r="D687" s="121"/>
      <c r="E687" s="121"/>
      <c r="F687" s="121"/>
      <c r="G687" s="121"/>
    </row>
    <row r="688">
      <c r="A688" s="121"/>
      <c r="B688" s="121"/>
      <c r="C688" s="121"/>
      <c r="D688" s="121"/>
      <c r="E688" s="121"/>
      <c r="F688" s="121"/>
      <c r="G688" s="121"/>
    </row>
    <row r="689">
      <c r="A689" s="121"/>
      <c r="B689" s="121"/>
      <c r="C689" s="121"/>
      <c r="D689" s="121"/>
      <c r="E689" s="121"/>
      <c r="F689" s="121"/>
      <c r="G689" s="121"/>
    </row>
    <row r="690">
      <c r="A690" s="121"/>
      <c r="B690" s="121"/>
      <c r="C690" s="121"/>
      <c r="D690" s="121"/>
      <c r="E690" s="121"/>
      <c r="F690" s="121"/>
      <c r="G690" s="121"/>
    </row>
    <row r="691">
      <c r="A691" s="121"/>
      <c r="B691" s="121"/>
      <c r="C691" s="121"/>
      <c r="D691" s="121"/>
      <c r="E691" s="121"/>
      <c r="F691" s="121"/>
      <c r="G691" s="121"/>
    </row>
    <row r="692">
      <c r="A692" s="121"/>
      <c r="B692" s="121"/>
      <c r="C692" s="121"/>
      <c r="D692" s="121"/>
      <c r="E692" s="121"/>
      <c r="F692" s="121"/>
      <c r="G692" s="121"/>
    </row>
    <row r="693">
      <c r="A693" s="121"/>
      <c r="B693" s="121"/>
      <c r="C693" s="121"/>
      <c r="D693" s="121"/>
      <c r="E693" s="121"/>
      <c r="F693" s="121"/>
      <c r="G693" s="121"/>
    </row>
    <row r="694">
      <c r="A694" s="121"/>
      <c r="B694" s="121"/>
      <c r="C694" s="121"/>
      <c r="D694" s="121"/>
      <c r="E694" s="121"/>
      <c r="F694" s="121"/>
      <c r="G694" s="121"/>
    </row>
    <row r="695">
      <c r="A695" s="121"/>
      <c r="B695" s="121"/>
      <c r="C695" s="121"/>
      <c r="D695" s="121"/>
      <c r="E695" s="121"/>
      <c r="F695" s="121"/>
      <c r="G695" s="121"/>
    </row>
    <row r="696">
      <c r="A696" s="121"/>
      <c r="B696" s="121"/>
      <c r="C696" s="121"/>
      <c r="D696" s="121"/>
      <c r="E696" s="121"/>
      <c r="F696" s="121"/>
      <c r="G696" s="121"/>
    </row>
    <row r="697">
      <c r="A697" s="121"/>
      <c r="B697" s="121"/>
      <c r="C697" s="121"/>
      <c r="D697" s="121"/>
      <c r="E697" s="121"/>
      <c r="F697" s="121"/>
      <c r="G697" s="121"/>
    </row>
    <row r="698">
      <c r="A698" s="121"/>
      <c r="B698" s="121"/>
      <c r="C698" s="121"/>
      <c r="D698" s="121"/>
      <c r="E698" s="121"/>
      <c r="F698" s="121"/>
      <c r="G698" s="121"/>
    </row>
    <row r="699">
      <c r="A699" s="121"/>
      <c r="B699" s="121"/>
      <c r="C699" s="121"/>
      <c r="D699" s="121"/>
      <c r="E699" s="121"/>
      <c r="F699" s="121"/>
      <c r="G699" s="121"/>
    </row>
    <row r="700">
      <c r="A700" s="121"/>
      <c r="B700" s="121"/>
      <c r="C700" s="121"/>
      <c r="D700" s="121"/>
      <c r="E700" s="121"/>
      <c r="F700" s="121"/>
      <c r="G700" s="121"/>
    </row>
    <row r="701">
      <c r="A701" s="121"/>
      <c r="B701" s="121"/>
      <c r="C701" s="121"/>
      <c r="D701" s="121"/>
      <c r="E701" s="121"/>
      <c r="F701" s="121"/>
      <c r="G701" s="121"/>
    </row>
    <row r="702">
      <c r="A702" s="121"/>
      <c r="B702" s="121"/>
      <c r="C702" s="121"/>
      <c r="D702" s="121"/>
      <c r="E702" s="121"/>
      <c r="F702" s="121"/>
      <c r="G702" s="121"/>
    </row>
    <row r="703">
      <c r="A703" s="121"/>
      <c r="B703" s="121"/>
      <c r="C703" s="121"/>
      <c r="D703" s="121"/>
      <c r="E703" s="121"/>
      <c r="F703" s="121"/>
      <c r="G703" s="121"/>
    </row>
    <row r="704">
      <c r="A704" s="121"/>
      <c r="B704" s="121"/>
      <c r="C704" s="121"/>
      <c r="D704" s="121"/>
      <c r="E704" s="121"/>
      <c r="F704" s="121"/>
      <c r="G704" s="121"/>
    </row>
    <row r="705">
      <c r="A705" s="121"/>
      <c r="B705" s="121"/>
      <c r="C705" s="121"/>
      <c r="D705" s="121"/>
      <c r="E705" s="121"/>
      <c r="F705" s="121"/>
      <c r="G705" s="121"/>
    </row>
    <row r="706">
      <c r="A706" s="121"/>
      <c r="B706" s="121"/>
      <c r="C706" s="121"/>
      <c r="D706" s="121"/>
      <c r="E706" s="121"/>
      <c r="F706" s="121"/>
      <c r="G706" s="121"/>
    </row>
    <row r="707">
      <c r="A707" s="121"/>
      <c r="B707" s="121"/>
      <c r="C707" s="121"/>
      <c r="D707" s="121"/>
      <c r="E707" s="121"/>
      <c r="F707" s="121"/>
      <c r="G707" s="121"/>
    </row>
    <row r="708">
      <c r="A708" s="121"/>
      <c r="B708" s="121"/>
      <c r="C708" s="121"/>
      <c r="D708" s="121"/>
      <c r="E708" s="121"/>
      <c r="F708" s="121"/>
      <c r="G708" s="121"/>
    </row>
    <row r="709">
      <c r="A709" s="121"/>
      <c r="B709" s="121"/>
      <c r="C709" s="121"/>
      <c r="D709" s="121"/>
      <c r="E709" s="121"/>
      <c r="F709" s="121"/>
      <c r="G709" s="121"/>
    </row>
    <row r="710">
      <c r="A710" s="121"/>
      <c r="B710" s="121"/>
      <c r="C710" s="121"/>
      <c r="D710" s="121"/>
      <c r="E710" s="121"/>
      <c r="F710" s="121"/>
      <c r="G710" s="121"/>
    </row>
    <row r="711">
      <c r="A711" s="121"/>
      <c r="B711" s="121"/>
      <c r="C711" s="121"/>
      <c r="D711" s="121"/>
      <c r="E711" s="121"/>
      <c r="F711" s="121"/>
      <c r="G711" s="121"/>
    </row>
    <row r="712">
      <c r="A712" s="121"/>
      <c r="B712" s="121"/>
      <c r="C712" s="121"/>
      <c r="D712" s="121"/>
      <c r="E712" s="121"/>
      <c r="F712" s="121"/>
      <c r="G712" s="121"/>
    </row>
    <row r="713">
      <c r="A713" s="121"/>
      <c r="B713" s="121"/>
      <c r="C713" s="121"/>
      <c r="D713" s="121"/>
      <c r="E713" s="121"/>
      <c r="F713" s="121"/>
      <c r="G713" s="121"/>
    </row>
    <row r="714">
      <c r="A714" s="121"/>
      <c r="B714" s="121"/>
      <c r="C714" s="121"/>
      <c r="D714" s="121"/>
      <c r="E714" s="121"/>
      <c r="F714" s="121"/>
      <c r="G714" s="121"/>
    </row>
    <row r="715">
      <c r="A715" s="121"/>
      <c r="B715" s="121"/>
      <c r="C715" s="121"/>
      <c r="D715" s="121"/>
      <c r="E715" s="121"/>
      <c r="F715" s="121"/>
      <c r="G715" s="121"/>
    </row>
    <row r="716">
      <c r="A716" s="121"/>
      <c r="B716" s="121"/>
      <c r="C716" s="121"/>
      <c r="D716" s="121"/>
      <c r="E716" s="121"/>
      <c r="F716" s="121"/>
      <c r="G716" s="121"/>
    </row>
    <row r="717">
      <c r="A717" s="121"/>
      <c r="B717" s="121"/>
      <c r="C717" s="121"/>
      <c r="D717" s="121"/>
      <c r="E717" s="121"/>
      <c r="F717" s="121"/>
      <c r="G717" s="121"/>
    </row>
    <row r="718">
      <c r="A718" s="121"/>
      <c r="B718" s="121"/>
      <c r="C718" s="121"/>
      <c r="D718" s="121"/>
      <c r="E718" s="121"/>
      <c r="F718" s="121"/>
      <c r="G718" s="121"/>
    </row>
    <row r="719">
      <c r="A719" s="121"/>
      <c r="B719" s="121"/>
      <c r="C719" s="121"/>
      <c r="D719" s="121"/>
      <c r="E719" s="121"/>
      <c r="F719" s="121"/>
      <c r="G719" s="121"/>
    </row>
    <row r="720">
      <c r="A720" s="121"/>
      <c r="B720" s="121"/>
      <c r="C720" s="121"/>
      <c r="D720" s="121"/>
      <c r="E720" s="121"/>
      <c r="F720" s="121"/>
      <c r="G720" s="121"/>
    </row>
    <row r="721">
      <c r="A721" s="121"/>
      <c r="B721" s="121"/>
      <c r="C721" s="121"/>
      <c r="D721" s="121"/>
      <c r="E721" s="121"/>
      <c r="F721" s="121"/>
      <c r="G721" s="121"/>
    </row>
    <row r="722">
      <c r="A722" s="121"/>
      <c r="B722" s="121"/>
      <c r="C722" s="121"/>
      <c r="D722" s="121"/>
      <c r="E722" s="121"/>
      <c r="F722" s="121"/>
      <c r="G722" s="121"/>
    </row>
    <row r="723">
      <c r="A723" s="121"/>
      <c r="B723" s="121"/>
      <c r="C723" s="121"/>
      <c r="D723" s="121"/>
      <c r="E723" s="121"/>
      <c r="F723" s="121"/>
      <c r="G723" s="121"/>
    </row>
    <row r="724">
      <c r="A724" s="121"/>
      <c r="B724" s="121"/>
      <c r="C724" s="121"/>
      <c r="D724" s="121"/>
      <c r="E724" s="121"/>
      <c r="F724" s="121"/>
      <c r="G724" s="121"/>
    </row>
    <row r="725">
      <c r="A725" s="121"/>
      <c r="B725" s="121"/>
      <c r="C725" s="121"/>
      <c r="D725" s="121"/>
      <c r="E725" s="121"/>
      <c r="F725" s="121"/>
      <c r="G725" s="121"/>
    </row>
    <row r="726">
      <c r="A726" s="121"/>
      <c r="B726" s="121"/>
      <c r="C726" s="121"/>
      <c r="D726" s="121"/>
      <c r="E726" s="121"/>
      <c r="F726" s="121"/>
      <c r="G726" s="121"/>
    </row>
    <row r="727">
      <c r="A727" s="121"/>
      <c r="B727" s="121"/>
      <c r="C727" s="121"/>
      <c r="D727" s="121"/>
      <c r="E727" s="121"/>
      <c r="F727" s="121"/>
      <c r="G727" s="121"/>
    </row>
    <row r="728">
      <c r="A728" s="121"/>
      <c r="B728" s="121"/>
      <c r="C728" s="121"/>
      <c r="D728" s="121"/>
      <c r="E728" s="121"/>
      <c r="F728" s="121"/>
      <c r="G728" s="121"/>
    </row>
    <row r="729">
      <c r="A729" s="121"/>
      <c r="B729" s="121"/>
      <c r="C729" s="121"/>
      <c r="D729" s="121"/>
      <c r="E729" s="121"/>
      <c r="F729" s="121"/>
      <c r="G729" s="121"/>
    </row>
    <row r="730">
      <c r="A730" s="121"/>
      <c r="B730" s="121"/>
      <c r="C730" s="121"/>
      <c r="D730" s="121"/>
      <c r="E730" s="121"/>
      <c r="F730" s="121"/>
      <c r="G730" s="121"/>
    </row>
    <row r="731">
      <c r="A731" s="121"/>
      <c r="B731" s="121"/>
      <c r="C731" s="121"/>
      <c r="D731" s="121"/>
      <c r="E731" s="121"/>
      <c r="F731" s="121"/>
      <c r="G731" s="121"/>
    </row>
    <row r="732">
      <c r="A732" s="121"/>
      <c r="B732" s="121"/>
      <c r="C732" s="121"/>
      <c r="D732" s="121"/>
      <c r="E732" s="121"/>
      <c r="F732" s="121"/>
      <c r="G732" s="121"/>
    </row>
    <row r="733">
      <c r="A733" s="121"/>
      <c r="B733" s="121"/>
      <c r="C733" s="121"/>
      <c r="D733" s="121"/>
      <c r="E733" s="121"/>
      <c r="F733" s="121"/>
      <c r="G733" s="121"/>
    </row>
    <row r="734">
      <c r="A734" s="121"/>
      <c r="B734" s="121"/>
      <c r="C734" s="121"/>
      <c r="D734" s="121"/>
      <c r="E734" s="121"/>
      <c r="F734" s="121"/>
      <c r="G734" s="121"/>
    </row>
    <row r="735">
      <c r="A735" s="121"/>
      <c r="B735" s="121"/>
      <c r="C735" s="121"/>
      <c r="D735" s="121"/>
      <c r="E735" s="121"/>
      <c r="F735" s="121"/>
      <c r="G735" s="121"/>
    </row>
    <row r="736">
      <c r="A736" s="121"/>
      <c r="B736" s="121"/>
      <c r="C736" s="121"/>
      <c r="D736" s="121"/>
      <c r="E736" s="121"/>
      <c r="F736" s="121"/>
      <c r="G736" s="121"/>
    </row>
    <row r="737">
      <c r="A737" s="121"/>
      <c r="B737" s="121"/>
      <c r="C737" s="121"/>
      <c r="D737" s="121"/>
      <c r="E737" s="121"/>
      <c r="F737" s="121"/>
      <c r="G737" s="121"/>
    </row>
    <row r="738">
      <c r="A738" s="121"/>
      <c r="B738" s="121"/>
      <c r="C738" s="121"/>
      <c r="D738" s="121"/>
      <c r="E738" s="121"/>
      <c r="F738" s="121"/>
      <c r="G738" s="121"/>
    </row>
    <row r="739">
      <c r="A739" s="121"/>
      <c r="B739" s="121"/>
      <c r="C739" s="121"/>
      <c r="D739" s="121"/>
      <c r="E739" s="121"/>
      <c r="F739" s="121"/>
      <c r="G739" s="121"/>
    </row>
    <row r="740">
      <c r="A740" s="121"/>
      <c r="B740" s="121"/>
      <c r="C740" s="121"/>
      <c r="D740" s="121"/>
      <c r="E740" s="121"/>
      <c r="F740" s="121"/>
      <c r="G740" s="121"/>
    </row>
    <row r="741">
      <c r="A741" s="121"/>
      <c r="B741" s="121"/>
      <c r="C741" s="121"/>
      <c r="D741" s="121"/>
      <c r="E741" s="121"/>
      <c r="F741" s="121"/>
      <c r="G741" s="121"/>
    </row>
    <row r="742">
      <c r="A742" s="121"/>
      <c r="B742" s="121"/>
      <c r="C742" s="121"/>
      <c r="D742" s="121"/>
      <c r="E742" s="121"/>
      <c r="F742" s="121"/>
      <c r="G742" s="121"/>
    </row>
    <row r="743">
      <c r="A743" s="121"/>
      <c r="B743" s="121"/>
      <c r="C743" s="121"/>
      <c r="D743" s="121"/>
      <c r="E743" s="121"/>
      <c r="F743" s="121"/>
      <c r="G743" s="121"/>
    </row>
    <row r="744">
      <c r="A744" s="121"/>
      <c r="B744" s="121"/>
      <c r="C744" s="121"/>
      <c r="D744" s="121"/>
      <c r="E744" s="121"/>
      <c r="F744" s="121"/>
      <c r="G744" s="121"/>
    </row>
    <row r="745">
      <c r="A745" s="121"/>
      <c r="B745" s="121"/>
      <c r="C745" s="121"/>
      <c r="D745" s="121"/>
      <c r="E745" s="121"/>
      <c r="F745" s="121"/>
      <c r="G745" s="121"/>
    </row>
    <row r="746">
      <c r="A746" s="121"/>
      <c r="B746" s="121"/>
      <c r="C746" s="121"/>
      <c r="D746" s="121"/>
      <c r="E746" s="121"/>
      <c r="F746" s="121"/>
      <c r="G746" s="121"/>
    </row>
    <row r="747">
      <c r="A747" s="121"/>
      <c r="B747" s="121"/>
      <c r="C747" s="121"/>
      <c r="D747" s="121"/>
      <c r="E747" s="121"/>
      <c r="F747" s="121"/>
      <c r="G747" s="121"/>
    </row>
    <row r="748">
      <c r="A748" s="121"/>
      <c r="B748" s="121"/>
      <c r="C748" s="121"/>
      <c r="D748" s="121"/>
      <c r="E748" s="121"/>
      <c r="F748" s="121"/>
      <c r="G748" s="121"/>
    </row>
    <row r="749">
      <c r="A749" s="121"/>
      <c r="B749" s="121"/>
      <c r="C749" s="121"/>
      <c r="D749" s="121"/>
      <c r="E749" s="121"/>
      <c r="F749" s="121"/>
      <c r="G749" s="121"/>
    </row>
    <row r="750">
      <c r="A750" s="121"/>
      <c r="B750" s="121"/>
      <c r="C750" s="121"/>
      <c r="D750" s="121"/>
      <c r="E750" s="121"/>
      <c r="F750" s="121"/>
      <c r="G750" s="121"/>
    </row>
    <row r="751">
      <c r="A751" s="121"/>
      <c r="B751" s="121"/>
      <c r="C751" s="121"/>
      <c r="D751" s="121"/>
      <c r="E751" s="121"/>
      <c r="F751" s="121"/>
      <c r="G751" s="121"/>
    </row>
    <row r="752">
      <c r="A752" s="121"/>
      <c r="B752" s="121"/>
      <c r="C752" s="121"/>
      <c r="D752" s="121"/>
      <c r="E752" s="121"/>
      <c r="F752" s="121"/>
      <c r="G752" s="121"/>
    </row>
    <row r="753">
      <c r="A753" s="121"/>
      <c r="B753" s="121"/>
      <c r="C753" s="121"/>
      <c r="D753" s="121"/>
      <c r="E753" s="121"/>
      <c r="F753" s="121"/>
      <c r="G753" s="121"/>
    </row>
    <row r="754">
      <c r="A754" s="121"/>
      <c r="B754" s="121"/>
      <c r="C754" s="121"/>
      <c r="D754" s="121"/>
      <c r="E754" s="121"/>
      <c r="F754" s="121"/>
      <c r="G754" s="121"/>
    </row>
    <row r="755">
      <c r="A755" s="121"/>
      <c r="B755" s="121"/>
      <c r="C755" s="121"/>
      <c r="D755" s="121"/>
      <c r="E755" s="121"/>
      <c r="F755" s="121"/>
      <c r="G755" s="121"/>
    </row>
    <row r="756">
      <c r="A756" s="121"/>
      <c r="B756" s="121"/>
      <c r="C756" s="121"/>
      <c r="D756" s="121"/>
      <c r="E756" s="121"/>
      <c r="F756" s="121"/>
      <c r="G756" s="121"/>
    </row>
    <row r="757">
      <c r="A757" s="121"/>
      <c r="B757" s="121"/>
      <c r="C757" s="121"/>
      <c r="D757" s="121"/>
      <c r="E757" s="121"/>
      <c r="F757" s="121"/>
      <c r="G757" s="121"/>
    </row>
    <row r="758">
      <c r="A758" s="121"/>
      <c r="B758" s="121"/>
      <c r="C758" s="121"/>
      <c r="D758" s="121"/>
      <c r="E758" s="121"/>
      <c r="F758" s="121"/>
      <c r="G758" s="121"/>
    </row>
    <row r="759">
      <c r="A759" s="121"/>
      <c r="B759" s="121"/>
      <c r="C759" s="121"/>
      <c r="D759" s="121"/>
      <c r="E759" s="121"/>
      <c r="F759" s="121"/>
      <c r="G759" s="121"/>
    </row>
    <row r="760">
      <c r="A760" s="121"/>
      <c r="B760" s="121"/>
      <c r="C760" s="121"/>
      <c r="D760" s="121"/>
      <c r="E760" s="121"/>
      <c r="F760" s="121"/>
      <c r="G760" s="121"/>
    </row>
    <row r="761">
      <c r="A761" s="121"/>
      <c r="B761" s="121"/>
      <c r="C761" s="121"/>
      <c r="D761" s="121"/>
      <c r="E761" s="121"/>
      <c r="F761" s="121"/>
      <c r="G761" s="121"/>
    </row>
    <row r="762">
      <c r="A762" s="121"/>
      <c r="B762" s="121"/>
      <c r="C762" s="121"/>
      <c r="D762" s="121"/>
      <c r="E762" s="121"/>
      <c r="F762" s="121"/>
      <c r="G762" s="121"/>
    </row>
    <row r="763">
      <c r="A763" s="121"/>
      <c r="B763" s="121"/>
      <c r="C763" s="121"/>
      <c r="D763" s="121"/>
      <c r="E763" s="121"/>
      <c r="F763" s="121"/>
      <c r="G763" s="121"/>
    </row>
    <row r="764">
      <c r="A764" s="121"/>
      <c r="B764" s="121"/>
      <c r="C764" s="121"/>
      <c r="D764" s="121"/>
      <c r="E764" s="121"/>
      <c r="F764" s="121"/>
      <c r="G764" s="121"/>
    </row>
    <row r="765">
      <c r="A765" s="121"/>
      <c r="B765" s="121"/>
      <c r="C765" s="121"/>
      <c r="D765" s="121"/>
      <c r="E765" s="121"/>
      <c r="F765" s="121"/>
      <c r="G765" s="121"/>
    </row>
    <row r="766">
      <c r="A766" s="121"/>
      <c r="B766" s="121"/>
      <c r="C766" s="121"/>
      <c r="D766" s="121"/>
      <c r="E766" s="121"/>
      <c r="F766" s="121"/>
      <c r="G766" s="121"/>
    </row>
    <row r="767">
      <c r="A767" s="121"/>
      <c r="B767" s="121"/>
      <c r="C767" s="121"/>
      <c r="D767" s="121"/>
      <c r="E767" s="121"/>
      <c r="F767" s="121"/>
      <c r="G767" s="121"/>
    </row>
    <row r="768">
      <c r="A768" s="121"/>
      <c r="B768" s="121"/>
      <c r="C768" s="121"/>
      <c r="D768" s="121"/>
      <c r="E768" s="121"/>
      <c r="F768" s="121"/>
      <c r="G768" s="121"/>
    </row>
    <row r="769">
      <c r="A769" s="121"/>
      <c r="B769" s="121"/>
      <c r="C769" s="121"/>
      <c r="D769" s="121"/>
      <c r="E769" s="121"/>
      <c r="F769" s="121"/>
      <c r="G769" s="121"/>
    </row>
    <row r="770">
      <c r="A770" s="121"/>
      <c r="B770" s="121"/>
      <c r="C770" s="121"/>
      <c r="D770" s="121"/>
      <c r="E770" s="121"/>
      <c r="F770" s="121"/>
      <c r="G770" s="121"/>
    </row>
    <row r="771">
      <c r="A771" s="121"/>
      <c r="B771" s="121"/>
      <c r="C771" s="121"/>
      <c r="D771" s="121"/>
      <c r="E771" s="121"/>
      <c r="F771" s="121"/>
      <c r="G771" s="121"/>
    </row>
    <row r="772">
      <c r="A772" s="121"/>
      <c r="B772" s="121"/>
      <c r="C772" s="121"/>
      <c r="D772" s="121"/>
      <c r="E772" s="121"/>
      <c r="F772" s="121"/>
      <c r="G772" s="121"/>
    </row>
    <row r="773">
      <c r="A773" s="121"/>
      <c r="B773" s="121"/>
      <c r="C773" s="121"/>
      <c r="D773" s="121"/>
      <c r="E773" s="121"/>
      <c r="F773" s="121"/>
      <c r="G773" s="121"/>
    </row>
    <row r="774">
      <c r="A774" s="121"/>
      <c r="B774" s="121"/>
      <c r="C774" s="121"/>
      <c r="D774" s="121"/>
      <c r="E774" s="121"/>
      <c r="F774" s="121"/>
      <c r="G774" s="121"/>
    </row>
    <row r="775">
      <c r="A775" s="121"/>
      <c r="B775" s="121"/>
      <c r="C775" s="121"/>
      <c r="D775" s="121"/>
      <c r="E775" s="121"/>
      <c r="F775" s="121"/>
      <c r="G775" s="121"/>
    </row>
    <row r="776">
      <c r="A776" s="121"/>
      <c r="B776" s="121"/>
      <c r="C776" s="121"/>
      <c r="D776" s="121"/>
      <c r="E776" s="121"/>
      <c r="F776" s="121"/>
      <c r="G776" s="121"/>
    </row>
    <row r="777">
      <c r="A777" s="121"/>
      <c r="B777" s="121"/>
      <c r="C777" s="121"/>
      <c r="D777" s="121"/>
      <c r="E777" s="121"/>
      <c r="F777" s="121"/>
      <c r="G777" s="121"/>
    </row>
    <row r="778">
      <c r="A778" s="121"/>
      <c r="B778" s="121"/>
      <c r="C778" s="121"/>
      <c r="D778" s="121"/>
      <c r="E778" s="121"/>
      <c r="F778" s="121"/>
      <c r="G778" s="121"/>
    </row>
    <row r="779">
      <c r="A779" s="121"/>
      <c r="B779" s="121"/>
      <c r="C779" s="121"/>
      <c r="D779" s="121"/>
      <c r="E779" s="121"/>
      <c r="F779" s="121"/>
      <c r="G779" s="121"/>
    </row>
    <row r="780">
      <c r="A780" s="121"/>
      <c r="B780" s="121"/>
      <c r="C780" s="121"/>
      <c r="D780" s="121"/>
      <c r="E780" s="121"/>
      <c r="F780" s="121"/>
      <c r="G780" s="121"/>
    </row>
    <row r="781">
      <c r="A781" s="121"/>
      <c r="B781" s="121"/>
      <c r="C781" s="121"/>
      <c r="D781" s="121"/>
      <c r="E781" s="121"/>
      <c r="F781" s="121"/>
      <c r="G781" s="121"/>
    </row>
    <row r="782">
      <c r="A782" s="121"/>
      <c r="B782" s="121"/>
      <c r="C782" s="121"/>
      <c r="D782" s="121"/>
      <c r="E782" s="121"/>
      <c r="F782" s="121"/>
      <c r="G782" s="121"/>
    </row>
    <row r="783">
      <c r="A783" s="121"/>
      <c r="B783" s="121"/>
      <c r="C783" s="121"/>
      <c r="D783" s="121"/>
      <c r="E783" s="121"/>
      <c r="F783" s="121"/>
      <c r="G783" s="121"/>
    </row>
    <row r="784">
      <c r="A784" s="121"/>
      <c r="B784" s="121"/>
      <c r="C784" s="121"/>
      <c r="D784" s="121"/>
      <c r="E784" s="121"/>
      <c r="F784" s="121"/>
      <c r="G784" s="121"/>
    </row>
    <row r="785">
      <c r="A785" s="121"/>
      <c r="B785" s="121"/>
      <c r="C785" s="121"/>
      <c r="D785" s="121"/>
      <c r="E785" s="121"/>
      <c r="F785" s="121"/>
      <c r="G785" s="121"/>
    </row>
    <row r="786">
      <c r="A786" s="121"/>
      <c r="B786" s="121"/>
      <c r="C786" s="121"/>
      <c r="D786" s="121"/>
      <c r="E786" s="121"/>
      <c r="F786" s="121"/>
      <c r="G786" s="121"/>
    </row>
    <row r="787">
      <c r="A787" s="121"/>
      <c r="B787" s="121"/>
      <c r="C787" s="121"/>
      <c r="D787" s="121"/>
      <c r="E787" s="121"/>
      <c r="F787" s="121"/>
      <c r="G787" s="121"/>
    </row>
    <row r="788">
      <c r="A788" s="121"/>
      <c r="B788" s="121"/>
      <c r="C788" s="121"/>
      <c r="D788" s="121"/>
      <c r="E788" s="121"/>
      <c r="F788" s="121"/>
      <c r="G788" s="121"/>
    </row>
    <row r="789">
      <c r="A789" s="121"/>
      <c r="B789" s="121"/>
      <c r="C789" s="121"/>
      <c r="D789" s="121"/>
      <c r="E789" s="121"/>
      <c r="F789" s="121"/>
      <c r="G789" s="121"/>
    </row>
    <row r="790">
      <c r="A790" s="121"/>
      <c r="B790" s="121"/>
      <c r="C790" s="121"/>
      <c r="D790" s="121"/>
      <c r="E790" s="121"/>
      <c r="F790" s="121"/>
      <c r="G790" s="121"/>
    </row>
    <row r="791">
      <c r="A791" s="121"/>
      <c r="B791" s="121"/>
      <c r="C791" s="121"/>
      <c r="D791" s="121"/>
      <c r="E791" s="121"/>
      <c r="F791" s="121"/>
      <c r="G791" s="121"/>
    </row>
    <row r="792">
      <c r="A792" s="121"/>
      <c r="B792" s="121"/>
      <c r="C792" s="121"/>
      <c r="D792" s="121"/>
      <c r="E792" s="121"/>
      <c r="F792" s="121"/>
      <c r="G792" s="121"/>
    </row>
    <row r="793">
      <c r="A793" s="121"/>
      <c r="B793" s="121"/>
      <c r="C793" s="121"/>
      <c r="D793" s="121"/>
      <c r="E793" s="121"/>
      <c r="F793" s="121"/>
      <c r="G793" s="121"/>
    </row>
    <row r="794">
      <c r="A794" s="121"/>
      <c r="B794" s="121"/>
      <c r="C794" s="121"/>
      <c r="D794" s="121"/>
      <c r="E794" s="121"/>
      <c r="F794" s="121"/>
      <c r="G794" s="121"/>
    </row>
    <row r="795">
      <c r="A795" s="121"/>
      <c r="B795" s="121"/>
      <c r="C795" s="121"/>
      <c r="D795" s="121"/>
      <c r="E795" s="121"/>
      <c r="F795" s="121"/>
      <c r="G795" s="121"/>
    </row>
    <row r="796">
      <c r="A796" s="121"/>
      <c r="B796" s="121"/>
      <c r="C796" s="121"/>
      <c r="D796" s="121"/>
      <c r="E796" s="121"/>
      <c r="F796" s="121"/>
      <c r="G796" s="121"/>
    </row>
    <row r="797">
      <c r="A797" s="121"/>
      <c r="B797" s="121"/>
      <c r="C797" s="121"/>
      <c r="D797" s="121"/>
      <c r="E797" s="121"/>
      <c r="F797" s="121"/>
      <c r="G797" s="121"/>
    </row>
    <row r="798">
      <c r="A798" s="121"/>
      <c r="B798" s="121"/>
      <c r="C798" s="121"/>
      <c r="D798" s="121"/>
      <c r="E798" s="121"/>
      <c r="F798" s="121"/>
      <c r="G798" s="121"/>
    </row>
    <row r="799">
      <c r="A799" s="121"/>
      <c r="B799" s="121"/>
      <c r="C799" s="121"/>
      <c r="D799" s="121"/>
      <c r="E799" s="121"/>
      <c r="F799" s="121"/>
      <c r="G799" s="121"/>
    </row>
    <row r="800">
      <c r="A800" s="121"/>
      <c r="B800" s="121"/>
      <c r="C800" s="121"/>
      <c r="D800" s="121"/>
      <c r="E800" s="121"/>
      <c r="F800" s="121"/>
      <c r="G800" s="121"/>
    </row>
    <row r="801">
      <c r="A801" s="121"/>
      <c r="B801" s="121"/>
      <c r="C801" s="121"/>
      <c r="D801" s="121"/>
      <c r="E801" s="121"/>
      <c r="F801" s="121"/>
      <c r="G801" s="121"/>
    </row>
    <row r="802">
      <c r="A802" s="121"/>
      <c r="B802" s="121"/>
      <c r="C802" s="121"/>
      <c r="D802" s="121"/>
      <c r="E802" s="121"/>
      <c r="F802" s="121"/>
      <c r="G802" s="121"/>
    </row>
    <row r="803">
      <c r="A803" s="121"/>
      <c r="B803" s="121"/>
      <c r="C803" s="121"/>
      <c r="D803" s="121"/>
      <c r="E803" s="121"/>
      <c r="F803" s="121"/>
      <c r="G803" s="121"/>
    </row>
    <row r="804">
      <c r="A804" s="121"/>
      <c r="B804" s="121"/>
      <c r="C804" s="121"/>
      <c r="D804" s="121"/>
      <c r="E804" s="121"/>
      <c r="F804" s="121"/>
      <c r="G804" s="121"/>
    </row>
    <row r="805">
      <c r="A805" s="121"/>
      <c r="B805" s="121"/>
      <c r="C805" s="121"/>
      <c r="D805" s="121"/>
      <c r="E805" s="121"/>
      <c r="F805" s="121"/>
      <c r="G805" s="121"/>
    </row>
    <row r="806">
      <c r="A806" s="121"/>
      <c r="B806" s="121"/>
      <c r="C806" s="121"/>
      <c r="D806" s="121"/>
      <c r="E806" s="121"/>
      <c r="F806" s="121"/>
      <c r="G806" s="121"/>
    </row>
    <row r="807">
      <c r="A807" s="121"/>
      <c r="B807" s="121"/>
      <c r="C807" s="121"/>
      <c r="D807" s="121"/>
      <c r="E807" s="121"/>
      <c r="F807" s="121"/>
      <c r="G807" s="121"/>
    </row>
    <row r="808">
      <c r="A808" s="121"/>
      <c r="B808" s="121"/>
      <c r="C808" s="121"/>
      <c r="D808" s="121"/>
      <c r="E808" s="121"/>
      <c r="F808" s="121"/>
      <c r="G808" s="121"/>
    </row>
    <row r="809">
      <c r="A809" s="121"/>
      <c r="B809" s="121"/>
      <c r="C809" s="121"/>
      <c r="D809" s="121"/>
      <c r="E809" s="121"/>
      <c r="F809" s="121"/>
      <c r="G809" s="121"/>
    </row>
    <row r="810">
      <c r="A810" s="121"/>
      <c r="B810" s="121"/>
      <c r="C810" s="121"/>
      <c r="D810" s="121"/>
      <c r="E810" s="121"/>
      <c r="F810" s="121"/>
      <c r="G810" s="121"/>
    </row>
    <row r="811">
      <c r="A811" s="121"/>
      <c r="B811" s="121"/>
      <c r="C811" s="121"/>
      <c r="D811" s="121"/>
      <c r="E811" s="121"/>
      <c r="F811" s="121"/>
      <c r="G811" s="121"/>
    </row>
    <row r="812">
      <c r="A812" s="121"/>
      <c r="B812" s="121"/>
      <c r="C812" s="121"/>
      <c r="D812" s="121"/>
      <c r="E812" s="121"/>
      <c r="F812" s="121"/>
      <c r="G812" s="121"/>
    </row>
    <row r="813">
      <c r="A813" s="121"/>
      <c r="B813" s="121"/>
      <c r="C813" s="121"/>
      <c r="D813" s="121"/>
      <c r="E813" s="121"/>
      <c r="F813" s="121"/>
      <c r="G813" s="121"/>
    </row>
    <row r="814">
      <c r="A814" s="121"/>
      <c r="B814" s="121"/>
      <c r="C814" s="121"/>
      <c r="D814" s="121"/>
      <c r="E814" s="121"/>
      <c r="F814" s="121"/>
      <c r="G814" s="121"/>
    </row>
    <row r="815">
      <c r="A815" s="121"/>
      <c r="B815" s="121"/>
      <c r="C815" s="121"/>
      <c r="D815" s="121"/>
      <c r="E815" s="121"/>
      <c r="F815" s="121"/>
      <c r="G815" s="121"/>
    </row>
    <row r="816">
      <c r="A816" s="121"/>
      <c r="B816" s="121"/>
      <c r="C816" s="121"/>
      <c r="D816" s="121"/>
      <c r="E816" s="121"/>
      <c r="F816" s="121"/>
      <c r="G816" s="121"/>
    </row>
    <row r="817">
      <c r="A817" s="121"/>
      <c r="B817" s="121"/>
      <c r="C817" s="121"/>
      <c r="D817" s="121"/>
      <c r="E817" s="121"/>
      <c r="F817" s="121"/>
      <c r="G817" s="121"/>
    </row>
    <row r="818">
      <c r="A818" s="121"/>
      <c r="B818" s="121"/>
      <c r="C818" s="121"/>
      <c r="D818" s="121"/>
      <c r="E818" s="121"/>
      <c r="F818" s="121"/>
      <c r="G818" s="121"/>
    </row>
    <row r="819">
      <c r="A819" s="121"/>
      <c r="B819" s="121"/>
      <c r="C819" s="121"/>
      <c r="D819" s="121"/>
      <c r="E819" s="121"/>
      <c r="F819" s="121"/>
      <c r="G819" s="121"/>
    </row>
    <row r="820">
      <c r="A820" s="121"/>
      <c r="B820" s="121"/>
      <c r="C820" s="121"/>
      <c r="D820" s="121"/>
      <c r="E820" s="121"/>
      <c r="F820" s="121"/>
      <c r="G820" s="121"/>
    </row>
    <row r="821">
      <c r="A821" s="121"/>
      <c r="B821" s="121"/>
      <c r="C821" s="121"/>
      <c r="D821" s="121"/>
      <c r="E821" s="121"/>
      <c r="F821" s="121"/>
      <c r="G821" s="121"/>
    </row>
    <row r="822">
      <c r="A822" s="121"/>
      <c r="B822" s="121"/>
      <c r="C822" s="121"/>
      <c r="D822" s="121"/>
      <c r="E822" s="121"/>
      <c r="F822" s="121"/>
      <c r="G822" s="121"/>
    </row>
    <row r="823">
      <c r="A823" s="121"/>
      <c r="B823" s="121"/>
      <c r="C823" s="121"/>
      <c r="D823" s="121"/>
      <c r="E823" s="121"/>
      <c r="F823" s="121"/>
      <c r="G823" s="121"/>
    </row>
    <row r="824">
      <c r="A824" s="121"/>
      <c r="B824" s="121"/>
      <c r="C824" s="121"/>
      <c r="D824" s="121"/>
      <c r="E824" s="121"/>
      <c r="F824" s="121"/>
      <c r="G824" s="121"/>
    </row>
    <row r="825">
      <c r="A825" s="121"/>
      <c r="B825" s="121"/>
      <c r="C825" s="121"/>
      <c r="D825" s="121"/>
      <c r="E825" s="121"/>
      <c r="F825" s="121"/>
      <c r="G825" s="121"/>
    </row>
    <row r="826">
      <c r="A826" s="121"/>
      <c r="B826" s="121"/>
      <c r="C826" s="121"/>
      <c r="D826" s="121"/>
      <c r="E826" s="121"/>
      <c r="F826" s="121"/>
      <c r="G826" s="121"/>
    </row>
    <row r="827">
      <c r="A827" s="121"/>
      <c r="B827" s="121"/>
      <c r="C827" s="121"/>
      <c r="D827" s="121"/>
      <c r="E827" s="121"/>
      <c r="F827" s="121"/>
      <c r="G827" s="121"/>
    </row>
    <row r="828">
      <c r="A828" s="121"/>
      <c r="B828" s="121"/>
      <c r="C828" s="121"/>
      <c r="D828" s="121"/>
      <c r="E828" s="121"/>
      <c r="F828" s="121"/>
      <c r="G828" s="121"/>
    </row>
    <row r="829">
      <c r="A829" s="121"/>
      <c r="B829" s="121"/>
      <c r="C829" s="121"/>
      <c r="D829" s="121"/>
      <c r="E829" s="121"/>
      <c r="F829" s="121"/>
      <c r="G829" s="121"/>
    </row>
    <row r="830">
      <c r="A830" s="121"/>
      <c r="B830" s="121"/>
      <c r="C830" s="121"/>
      <c r="D830" s="121"/>
      <c r="E830" s="121"/>
      <c r="F830" s="121"/>
      <c r="G830" s="121"/>
    </row>
    <row r="831">
      <c r="A831" s="121"/>
      <c r="B831" s="121"/>
      <c r="C831" s="121"/>
      <c r="D831" s="121"/>
      <c r="E831" s="121"/>
      <c r="F831" s="121"/>
      <c r="G831" s="121"/>
    </row>
    <row r="832">
      <c r="A832" s="121"/>
      <c r="B832" s="121"/>
      <c r="C832" s="121"/>
      <c r="D832" s="121"/>
      <c r="E832" s="121"/>
      <c r="F832" s="121"/>
      <c r="G832" s="121"/>
    </row>
    <row r="833">
      <c r="A833" s="121"/>
      <c r="B833" s="121"/>
      <c r="C833" s="121"/>
      <c r="D833" s="121"/>
      <c r="E833" s="121"/>
      <c r="F833" s="121"/>
      <c r="G833" s="121"/>
    </row>
    <row r="834">
      <c r="A834" s="121"/>
      <c r="B834" s="121"/>
      <c r="C834" s="121"/>
      <c r="D834" s="121"/>
      <c r="E834" s="121"/>
      <c r="F834" s="121"/>
      <c r="G834" s="121"/>
    </row>
    <row r="835">
      <c r="A835" s="121"/>
      <c r="B835" s="121"/>
      <c r="C835" s="121"/>
      <c r="D835" s="121"/>
      <c r="E835" s="121"/>
      <c r="F835" s="121"/>
      <c r="G835" s="121"/>
    </row>
    <row r="836">
      <c r="A836" s="121"/>
      <c r="B836" s="121"/>
      <c r="C836" s="121"/>
      <c r="D836" s="121"/>
      <c r="E836" s="121"/>
      <c r="F836" s="121"/>
      <c r="G836" s="121"/>
    </row>
    <row r="837">
      <c r="A837" s="121"/>
      <c r="B837" s="121"/>
      <c r="C837" s="121"/>
      <c r="D837" s="121"/>
      <c r="E837" s="121"/>
      <c r="F837" s="121"/>
      <c r="G837" s="121"/>
    </row>
    <row r="838">
      <c r="A838" s="121"/>
      <c r="B838" s="121"/>
      <c r="C838" s="121"/>
      <c r="D838" s="121"/>
      <c r="E838" s="121"/>
      <c r="F838" s="121"/>
      <c r="G838" s="121"/>
    </row>
    <row r="839">
      <c r="A839" s="121"/>
      <c r="B839" s="121"/>
      <c r="C839" s="121"/>
      <c r="D839" s="121"/>
      <c r="E839" s="121"/>
      <c r="F839" s="121"/>
      <c r="G839" s="121"/>
    </row>
    <row r="840">
      <c r="A840" s="121"/>
      <c r="B840" s="121"/>
      <c r="C840" s="121"/>
      <c r="D840" s="121"/>
      <c r="E840" s="121"/>
      <c r="F840" s="121"/>
      <c r="G840" s="121"/>
    </row>
    <row r="841">
      <c r="A841" s="121"/>
      <c r="B841" s="121"/>
      <c r="C841" s="121"/>
      <c r="D841" s="121"/>
      <c r="E841" s="121"/>
      <c r="F841" s="121"/>
      <c r="G841" s="121"/>
    </row>
    <row r="842">
      <c r="A842" s="121"/>
      <c r="B842" s="121"/>
      <c r="C842" s="121"/>
      <c r="D842" s="121"/>
      <c r="E842" s="121"/>
      <c r="F842" s="121"/>
      <c r="G842" s="121"/>
    </row>
    <row r="843">
      <c r="A843" s="121"/>
      <c r="B843" s="121"/>
      <c r="C843" s="121"/>
      <c r="D843" s="121"/>
      <c r="E843" s="121"/>
      <c r="F843" s="121"/>
      <c r="G843" s="121"/>
    </row>
    <row r="844">
      <c r="A844" s="121"/>
      <c r="B844" s="121"/>
      <c r="C844" s="121"/>
      <c r="D844" s="121"/>
      <c r="E844" s="121"/>
      <c r="F844" s="121"/>
      <c r="G844" s="121"/>
    </row>
    <row r="845">
      <c r="A845" s="121"/>
      <c r="B845" s="121"/>
      <c r="C845" s="121"/>
      <c r="D845" s="121"/>
      <c r="E845" s="121"/>
      <c r="F845" s="121"/>
      <c r="G845" s="121"/>
    </row>
    <row r="846">
      <c r="A846" s="121"/>
      <c r="B846" s="121"/>
      <c r="C846" s="121"/>
      <c r="D846" s="121"/>
      <c r="E846" s="121"/>
      <c r="F846" s="121"/>
      <c r="G846" s="121"/>
    </row>
    <row r="847">
      <c r="A847" s="121"/>
      <c r="B847" s="121"/>
      <c r="C847" s="121"/>
      <c r="D847" s="121"/>
      <c r="E847" s="121"/>
      <c r="F847" s="121"/>
      <c r="G847" s="121"/>
    </row>
    <row r="848">
      <c r="A848" s="121"/>
      <c r="B848" s="121"/>
      <c r="C848" s="121"/>
      <c r="D848" s="121"/>
      <c r="E848" s="121"/>
      <c r="F848" s="121"/>
      <c r="G848" s="121"/>
    </row>
    <row r="849">
      <c r="A849" s="121"/>
      <c r="B849" s="121"/>
      <c r="C849" s="121"/>
      <c r="D849" s="121"/>
      <c r="E849" s="121"/>
      <c r="F849" s="121"/>
      <c r="G849" s="121"/>
    </row>
    <row r="850">
      <c r="A850" s="121"/>
      <c r="B850" s="121"/>
      <c r="C850" s="121"/>
      <c r="D850" s="121"/>
      <c r="E850" s="121"/>
      <c r="F850" s="121"/>
      <c r="G850" s="121"/>
    </row>
    <row r="851">
      <c r="A851" s="121"/>
      <c r="B851" s="121"/>
      <c r="C851" s="121"/>
      <c r="D851" s="121"/>
      <c r="E851" s="121"/>
      <c r="F851" s="121"/>
      <c r="G851" s="121"/>
    </row>
    <row r="852">
      <c r="A852" s="121"/>
      <c r="B852" s="121"/>
      <c r="C852" s="121"/>
      <c r="D852" s="121"/>
      <c r="E852" s="121"/>
      <c r="F852" s="121"/>
      <c r="G852" s="121"/>
    </row>
    <row r="853">
      <c r="A853" s="121"/>
      <c r="B853" s="121"/>
      <c r="C853" s="121"/>
      <c r="D853" s="121"/>
      <c r="E853" s="121"/>
      <c r="F853" s="121"/>
      <c r="G853" s="121"/>
    </row>
    <row r="854">
      <c r="A854" s="121"/>
      <c r="B854" s="121"/>
      <c r="C854" s="121"/>
      <c r="D854" s="121"/>
      <c r="E854" s="121"/>
      <c r="F854" s="121"/>
      <c r="G854" s="121"/>
    </row>
    <row r="855">
      <c r="A855" s="121"/>
      <c r="B855" s="121"/>
      <c r="C855" s="121"/>
      <c r="D855" s="121"/>
      <c r="E855" s="121"/>
      <c r="F855" s="121"/>
      <c r="G855" s="121"/>
    </row>
    <row r="856">
      <c r="A856" s="121"/>
      <c r="B856" s="121"/>
      <c r="C856" s="121"/>
      <c r="D856" s="121"/>
      <c r="E856" s="121"/>
      <c r="F856" s="121"/>
      <c r="G856" s="121"/>
    </row>
    <row r="857">
      <c r="A857" s="121"/>
      <c r="B857" s="121"/>
      <c r="C857" s="121"/>
      <c r="D857" s="121"/>
      <c r="E857" s="121"/>
      <c r="F857" s="121"/>
      <c r="G857" s="121"/>
    </row>
    <row r="858">
      <c r="A858" s="121"/>
      <c r="B858" s="121"/>
      <c r="C858" s="121"/>
      <c r="D858" s="121"/>
      <c r="E858" s="121"/>
      <c r="F858" s="121"/>
      <c r="G858" s="121"/>
    </row>
    <row r="859">
      <c r="A859" s="121"/>
      <c r="B859" s="121"/>
      <c r="C859" s="121"/>
      <c r="D859" s="121"/>
      <c r="E859" s="121"/>
      <c r="F859" s="121"/>
      <c r="G859" s="121"/>
    </row>
    <row r="860">
      <c r="A860" s="121"/>
      <c r="B860" s="121"/>
      <c r="C860" s="121"/>
      <c r="D860" s="121"/>
      <c r="E860" s="121"/>
      <c r="F860" s="121"/>
      <c r="G860" s="121"/>
    </row>
    <row r="861">
      <c r="A861" s="121"/>
      <c r="B861" s="121"/>
      <c r="C861" s="121"/>
      <c r="D861" s="121"/>
      <c r="E861" s="121"/>
      <c r="F861" s="121"/>
      <c r="G861" s="121"/>
    </row>
    <row r="862">
      <c r="A862" s="121"/>
      <c r="B862" s="121"/>
      <c r="C862" s="121"/>
      <c r="D862" s="121"/>
      <c r="E862" s="121"/>
      <c r="F862" s="121"/>
      <c r="G862" s="121"/>
    </row>
    <row r="863">
      <c r="A863" s="121"/>
      <c r="B863" s="121"/>
      <c r="C863" s="121"/>
      <c r="D863" s="121"/>
      <c r="E863" s="121"/>
      <c r="F863" s="121"/>
      <c r="G863" s="121"/>
    </row>
    <row r="864">
      <c r="A864" s="121"/>
      <c r="B864" s="121"/>
      <c r="C864" s="121"/>
      <c r="D864" s="121"/>
      <c r="E864" s="121"/>
      <c r="F864" s="121"/>
      <c r="G864" s="121"/>
    </row>
    <row r="865">
      <c r="A865" s="121"/>
      <c r="B865" s="121"/>
      <c r="C865" s="121"/>
      <c r="D865" s="121"/>
      <c r="E865" s="121"/>
      <c r="F865" s="121"/>
      <c r="G865" s="121"/>
    </row>
    <row r="866">
      <c r="A866" s="121"/>
      <c r="B866" s="121"/>
      <c r="C866" s="121"/>
      <c r="D866" s="121"/>
      <c r="E866" s="121"/>
      <c r="F866" s="121"/>
      <c r="G866" s="121"/>
    </row>
    <row r="867">
      <c r="A867" s="121"/>
      <c r="B867" s="121"/>
      <c r="C867" s="121"/>
      <c r="D867" s="121"/>
      <c r="E867" s="121"/>
      <c r="F867" s="121"/>
      <c r="G867" s="121"/>
    </row>
    <row r="868">
      <c r="A868" s="121"/>
      <c r="B868" s="121"/>
      <c r="C868" s="121"/>
      <c r="D868" s="121"/>
      <c r="E868" s="121"/>
      <c r="F868" s="121"/>
      <c r="G868" s="121"/>
    </row>
    <row r="869">
      <c r="A869" s="121"/>
      <c r="B869" s="121"/>
      <c r="C869" s="121"/>
      <c r="D869" s="121"/>
      <c r="E869" s="121"/>
      <c r="F869" s="121"/>
      <c r="G869" s="121"/>
    </row>
    <row r="870">
      <c r="A870" s="121"/>
      <c r="B870" s="121"/>
      <c r="C870" s="121"/>
      <c r="D870" s="121"/>
      <c r="E870" s="121"/>
      <c r="F870" s="121"/>
      <c r="G870" s="121"/>
    </row>
    <row r="871">
      <c r="A871" s="121"/>
      <c r="B871" s="121"/>
      <c r="C871" s="121"/>
      <c r="D871" s="121"/>
      <c r="E871" s="121"/>
      <c r="F871" s="121"/>
      <c r="G871" s="121"/>
    </row>
    <row r="872">
      <c r="A872" s="121"/>
      <c r="B872" s="121"/>
      <c r="C872" s="121"/>
      <c r="D872" s="121"/>
      <c r="E872" s="121"/>
      <c r="F872" s="121"/>
      <c r="G872" s="121"/>
    </row>
    <row r="873">
      <c r="A873" s="121"/>
      <c r="B873" s="121"/>
      <c r="C873" s="121"/>
      <c r="D873" s="121"/>
      <c r="E873" s="121"/>
      <c r="F873" s="121"/>
      <c r="G873" s="121"/>
    </row>
    <row r="874">
      <c r="A874" s="121"/>
      <c r="B874" s="121"/>
      <c r="C874" s="121"/>
      <c r="D874" s="121"/>
      <c r="E874" s="121"/>
      <c r="F874" s="121"/>
      <c r="G874" s="121"/>
    </row>
    <row r="875">
      <c r="A875" s="121"/>
      <c r="B875" s="121"/>
      <c r="C875" s="121"/>
      <c r="D875" s="121"/>
      <c r="E875" s="121"/>
      <c r="F875" s="121"/>
      <c r="G875" s="121"/>
    </row>
    <row r="876">
      <c r="A876" s="121"/>
      <c r="B876" s="121"/>
      <c r="C876" s="121"/>
      <c r="D876" s="121"/>
      <c r="E876" s="121"/>
      <c r="F876" s="121"/>
      <c r="G876" s="121"/>
    </row>
    <row r="877">
      <c r="A877" s="121"/>
      <c r="B877" s="121"/>
      <c r="C877" s="121"/>
      <c r="D877" s="121"/>
      <c r="E877" s="121"/>
      <c r="F877" s="121"/>
      <c r="G877" s="121"/>
    </row>
    <row r="878">
      <c r="A878" s="121"/>
      <c r="B878" s="121"/>
      <c r="C878" s="121"/>
      <c r="D878" s="121"/>
      <c r="E878" s="121"/>
      <c r="F878" s="121"/>
      <c r="G878" s="121"/>
    </row>
    <row r="879">
      <c r="A879" s="121"/>
      <c r="B879" s="121"/>
      <c r="C879" s="121"/>
      <c r="D879" s="121"/>
      <c r="E879" s="121"/>
      <c r="F879" s="121"/>
      <c r="G879" s="121"/>
    </row>
    <row r="880">
      <c r="A880" s="121"/>
      <c r="B880" s="121"/>
      <c r="C880" s="121"/>
      <c r="D880" s="121"/>
      <c r="E880" s="121"/>
      <c r="F880" s="121"/>
      <c r="G880" s="121"/>
    </row>
    <row r="881">
      <c r="A881" s="121"/>
      <c r="B881" s="121"/>
      <c r="C881" s="121"/>
      <c r="D881" s="121"/>
      <c r="E881" s="121"/>
      <c r="F881" s="121"/>
      <c r="G881" s="121"/>
    </row>
    <row r="882">
      <c r="A882" s="121"/>
      <c r="B882" s="121"/>
      <c r="C882" s="121"/>
      <c r="D882" s="121"/>
      <c r="E882" s="121"/>
      <c r="F882" s="121"/>
      <c r="G882" s="121"/>
    </row>
    <row r="883">
      <c r="A883" s="121"/>
      <c r="B883" s="121"/>
      <c r="C883" s="121"/>
      <c r="D883" s="121"/>
      <c r="E883" s="121"/>
      <c r="F883" s="121"/>
      <c r="G883" s="121"/>
    </row>
    <row r="884">
      <c r="A884" s="121"/>
      <c r="B884" s="121"/>
      <c r="C884" s="121"/>
      <c r="D884" s="121"/>
      <c r="E884" s="121"/>
      <c r="F884" s="121"/>
      <c r="G884" s="121"/>
    </row>
    <row r="885">
      <c r="A885" s="121"/>
      <c r="B885" s="121"/>
      <c r="C885" s="121"/>
      <c r="D885" s="121"/>
      <c r="E885" s="121"/>
      <c r="F885" s="121"/>
      <c r="G885" s="121"/>
    </row>
    <row r="886">
      <c r="A886" s="121"/>
      <c r="B886" s="121"/>
      <c r="C886" s="121"/>
      <c r="D886" s="121"/>
      <c r="E886" s="121"/>
      <c r="F886" s="121"/>
      <c r="G886" s="121"/>
    </row>
    <row r="887">
      <c r="A887" s="121"/>
      <c r="B887" s="121"/>
      <c r="C887" s="121"/>
      <c r="D887" s="121"/>
      <c r="E887" s="121"/>
      <c r="F887" s="121"/>
      <c r="G887" s="121"/>
    </row>
    <row r="888">
      <c r="A888" s="121"/>
      <c r="B888" s="121"/>
      <c r="C888" s="121"/>
      <c r="D888" s="121"/>
      <c r="E888" s="121"/>
      <c r="F888" s="121"/>
      <c r="G888" s="121"/>
    </row>
    <row r="889">
      <c r="A889" s="121"/>
      <c r="B889" s="121"/>
      <c r="C889" s="121"/>
      <c r="D889" s="121"/>
      <c r="E889" s="121"/>
      <c r="F889" s="121"/>
      <c r="G889" s="121"/>
    </row>
    <row r="890">
      <c r="A890" s="121"/>
      <c r="B890" s="121"/>
      <c r="C890" s="121"/>
      <c r="D890" s="121"/>
      <c r="E890" s="121"/>
      <c r="F890" s="121"/>
      <c r="G890" s="121"/>
    </row>
    <row r="891">
      <c r="A891" s="121"/>
      <c r="B891" s="121"/>
      <c r="C891" s="121"/>
      <c r="D891" s="121"/>
      <c r="E891" s="121"/>
      <c r="F891" s="121"/>
      <c r="G891" s="121"/>
    </row>
    <row r="892">
      <c r="A892" s="121"/>
      <c r="B892" s="121"/>
      <c r="C892" s="121"/>
      <c r="D892" s="121"/>
      <c r="E892" s="121"/>
      <c r="F892" s="121"/>
      <c r="G892" s="121"/>
    </row>
    <row r="893">
      <c r="A893" s="121"/>
      <c r="B893" s="121"/>
      <c r="C893" s="121"/>
      <c r="D893" s="121"/>
      <c r="E893" s="121"/>
      <c r="F893" s="121"/>
      <c r="G893" s="121"/>
    </row>
    <row r="894">
      <c r="A894" s="121"/>
      <c r="B894" s="121"/>
      <c r="C894" s="121"/>
      <c r="D894" s="121"/>
      <c r="E894" s="121"/>
      <c r="F894" s="121"/>
      <c r="G894" s="121"/>
    </row>
    <row r="895">
      <c r="A895" s="121"/>
      <c r="B895" s="121"/>
      <c r="C895" s="121"/>
      <c r="D895" s="121"/>
      <c r="E895" s="121"/>
      <c r="F895" s="121"/>
      <c r="G895" s="121"/>
    </row>
    <row r="896">
      <c r="A896" s="121"/>
      <c r="B896" s="121"/>
      <c r="C896" s="121"/>
      <c r="D896" s="121"/>
      <c r="E896" s="121"/>
      <c r="F896" s="121"/>
      <c r="G896" s="121"/>
    </row>
    <row r="897">
      <c r="A897" s="121"/>
      <c r="B897" s="121"/>
      <c r="C897" s="121"/>
      <c r="D897" s="121"/>
      <c r="E897" s="121"/>
      <c r="F897" s="121"/>
      <c r="G897" s="121"/>
    </row>
    <row r="898">
      <c r="A898" s="121"/>
      <c r="B898" s="121"/>
      <c r="C898" s="121"/>
      <c r="D898" s="121"/>
      <c r="E898" s="121"/>
      <c r="F898" s="121"/>
      <c r="G898" s="121"/>
    </row>
    <row r="899">
      <c r="A899" s="121"/>
      <c r="B899" s="121"/>
      <c r="C899" s="121"/>
      <c r="D899" s="121"/>
      <c r="E899" s="121"/>
      <c r="F899" s="121"/>
      <c r="G899" s="121"/>
    </row>
    <row r="900">
      <c r="A900" s="121"/>
      <c r="B900" s="121"/>
      <c r="C900" s="121"/>
      <c r="D900" s="121"/>
      <c r="E900" s="121"/>
      <c r="F900" s="121"/>
      <c r="G900" s="121"/>
    </row>
    <row r="901">
      <c r="A901" s="121"/>
      <c r="B901" s="121"/>
      <c r="C901" s="121"/>
      <c r="D901" s="121"/>
      <c r="E901" s="121"/>
      <c r="F901" s="121"/>
      <c r="G901" s="121"/>
    </row>
    <row r="902">
      <c r="A902" s="121"/>
      <c r="B902" s="121"/>
      <c r="C902" s="121"/>
      <c r="D902" s="121"/>
      <c r="E902" s="121"/>
      <c r="F902" s="121"/>
      <c r="G902" s="121"/>
    </row>
    <row r="903">
      <c r="A903" s="121"/>
      <c r="B903" s="121"/>
      <c r="C903" s="121"/>
      <c r="D903" s="121"/>
      <c r="E903" s="121"/>
      <c r="F903" s="121"/>
      <c r="G903" s="121"/>
    </row>
    <row r="904">
      <c r="A904" s="121"/>
      <c r="B904" s="121"/>
      <c r="C904" s="121"/>
      <c r="D904" s="121"/>
      <c r="E904" s="121"/>
      <c r="F904" s="121"/>
      <c r="G904" s="121"/>
    </row>
    <row r="905">
      <c r="A905" s="121"/>
      <c r="B905" s="121"/>
      <c r="C905" s="121"/>
      <c r="D905" s="121"/>
      <c r="E905" s="121"/>
      <c r="F905" s="121"/>
      <c r="G905" s="121"/>
    </row>
    <row r="906">
      <c r="A906" s="121"/>
      <c r="B906" s="121"/>
      <c r="C906" s="121"/>
      <c r="D906" s="121"/>
      <c r="E906" s="121"/>
      <c r="F906" s="121"/>
      <c r="G906" s="121"/>
    </row>
    <row r="907">
      <c r="A907" s="121"/>
      <c r="B907" s="121"/>
      <c r="C907" s="121"/>
      <c r="D907" s="121"/>
      <c r="E907" s="121"/>
      <c r="F907" s="121"/>
      <c r="G907" s="121"/>
    </row>
    <row r="908">
      <c r="A908" s="121"/>
      <c r="B908" s="121"/>
      <c r="C908" s="121"/>
      <c r="D908" s="121"/>
      <c r="E908" s="121"/>
      <c r="F908" s="121"/>
      <c r="G908" s="121"/>
    </row>
    <row r="909">
      <c r="A909" s="121"/>
      <c r="B909" s="121"/>
      <c r="C909" s="121"/>
      <c r="D909" s="121"/>
      <c r="E909" s="121"/>
      <c r="F909" s="121"/>
      <c r="G909" s="121"/>
    </row>
    <row r="910">
      <c r="A910" s="121"/>
      <c r="B910" s="121"/>
      <c r="C910" s="121"/>
      <c r="D910" s="121"/>
      <c r="E910" s="121"/>
      <c r="F910" s="121"/>
      <c r="G910" s="121"/>
    </row>
    <row r="911">
      <c r="A911" s="121"/>
      <c r="B911" s="121"/>
      <c r="C911" s="121"/>
      <c r="D911" s="121"/>
      <c r="E911" s="121"/>
      <c r="F911" s="121"/>
      <c r="G911" s="121"/>
    </row>
    <row r="912">
      <c r="A912" s="121"/>
      <c r="B912" s="121"/>
      <c r="C912" s="121"/>
      <c r="D912" s="121"/>
      <c r="E912" s="121"/>
      <c r="F912" s="121"/>
      <c r="G912" s="121"/>
    </row>
    <row r="913">
      <c r="A913" s="121"/>
      <c r="B913" s="121"/>
      <c r="C913" s="121"/>
      <c r="D913" s="121"/>
      <c r="E913" s="121"/>
      <c r="F913" s="121"/>
      <c r="G913" s="121"/>
    </row>
    <row r="914">
      <c r="A914" s="121"/>
      <c r="B914" s="121"/>
      <c r="C914" s="121"/>
      <c r="D914" s="121"/>
      <c r="E914" s="121"/>
      <c r="F914" s="121"/>
      <c r="G914" s="121"/>
    </row>
    <row r="915">
      <c r="A915" s="121"/>
      <c r="B915" s="121"/>
      <c r="C915" s="121"/>
      <c r="D915" s="121"/>
      <c r="E915" s="121"/>
      <c r="F915" s="121"/>
      <c r="G915" s="121"/>
    </row>
    <row r="916">
      <c r="A916" s="121"/>
      <c r="B916" s="121"/>
      <c r="C916" s="121"/>
      <c r="D916" s="121"/>
      <c r="E916" s="121"/>
      <c r="F916" s="121"/>
      <c r="G916" s="121"/>
    </row>
    <row r="917">
      <c r="A917" s="121"/>
      <c r="B917" s="121"/>
      <c r="C917" s="121"/>
      <c r="D917" s="121"/>
      <c r="E917" s="121"/>
      <c r="F917" s="121"/>
      <c r="G917" s="121"/>
    </row>
    <row r="918">
      <c r="A918" s="121"/>
      <c r="B918" s="121"/>
      <c r="C918" s="121"/>
      <c r="D918" s="121"/>
      <c r="E918" s="121"/>
      <c r="F918" s="121"/>
      <c r="G918" s="121"/>
    </row>
    <row r="919">
      <c r="A919" s="121"/>
      <c r="B919" s="121"/>
      <c r="C919" s="121"/>
      <c r="D919" s="121"/>
      <c r="E919" s="121"/>
      <c r="F919" s="121"/>
      <c r="G919" s="121"/>
    </row>
    <row r="920">
      <c r="A920" s="121"/>
      <c r="B920" s="121"/>
      <c r="C920" s="121"/>
      <c r="D920" s="121"/>
      <c r="E920" s="121"/>
      <c r="F920" s="121"/>
      <c r="G920" s="121"/>
    </row>
    <row r="921">
      <c r="A921" s="121"/>
      <c r="B921" s="121"/>
      <c r="C921" s="121"/>
      <c r="D921" s="121"/>
      <c r="E921" s="121"/>
      <c r="F921" s="121"/>
      <c r="G921" s="121"/>
    </row>
    <row r="922">
      <c r="A922" s="121"/>
      <c r="B922" s="121"/>
      <c r="C922" s="121"/>
      <c r="D922" s="121"/>
      <c r="E922" s="121"/>
      <c r="F922" s="121"/>
      <c r="G922" s="121"/>
    </row>
    <row r="923">
      <c r="A923" s="121"/>
      <c r="B923" s="121"/>
      <c r="C923" s="121"/>
      <c r="D923" s="121"/>
      <c r="E923" s="121"/>
      <c r="F923" s="121"/>
      <c r="G923" s="121"/>
    </row>
    <row r="924">
      <c r="A924" s="121"/>
      <c r="B924" s="121"/>
      <c r="C924" s="121"/>
      <c r="D924" s="121"/>
      <c r="E924" s="121"/>
      <c r="F924" s="121"/>
      <c r="G924" s="121"/>
    </row>
    <row r="925">
      <c r="A925" s="121"/>
      <c r="B925" s="121"/>
      <c r="C925" s="121"/>
      <c r="D925" s="121"/>
      <c r="E925" s="121"/>
      <c r="F925" s="121"/>
      <c r="G925" s="121"/>
    </row>
    <row r="926">
      <c r="A926" s="121"/>
      <c r="B926" s="121"/>
      <c r="C926" s="121"/>
      <c r="D926" s="121"/>
      <c r="E926" s="121"/>
      <c r="F926" s="121"/>
      <c r="G926" s="121"/>
    </row>
    <row r="927">
      <c r="A927" s="121"/>
      <c r="B927" s="121"/>
      <c r="C927" s="121"/>
      <c r="D927" s="121"/>
      <c r="E927" s="121"/>
      <c r="F927" s="121"/>
      <c r="G927" s="121"/>
    </row>
    <row r="928">
      <c r="A928" s="121"/>
      <c r="B928" s="121"/>
      <c r="C928" s="121"/>
      <c r="D928" s="121"/>
      <c r="E928" s="121"/>
      <c r="F928" s="121"/>
      <c r="G928" s="121"/>
    </row>
    <row r="929">
      <c r="A929" s="121"/>
      <c r="B929" s="121"/>
      <c r="C929" s="121"/>
      <c r="D929" s="121"/>
      <c r="E929" s="121"/>
      <c r="F929" s="121"/>
      <c r="G929" s="121"/>
    </row>
    <row r="930">
      <c r="A930" s="121"/>
      <c r="B930" s="121"/>
      <c r="C930" s="121"/>
      <c r="D930" s="121"/>
      <c r="E930" s="121"/>
      <c r="F930" s="121"/>
      <c r="G930" s="121"/>
    </row>
    <row r="931">
      <c r="A931" s="121"/>
      <c r="B931" s="121"/>
      <c r="C931" s="121"/>
      <c r="D931" s="121"/>
      <c r="E931" s="121"/>
      <c r="F931" s="121"/>
      <c r="G931" s="121"/>
    </row>
    <row r="932">
      <c r="A932" s="121"/>
      <c r="B932" s="121"/>
      <c r="C932" s="121"/>
      <c r="D932" s="121"/>
      <c r="E932" s="121"/>
      <c r="F932" s="121"/>
      <c r="G932" s="121"/>
    </row>
    <row r="933">
      <c r="A933" s="121"/>
      <c r="B933" s="121"/>
      <c r="C933" s="121"/>
      <c r="D933" s="121"/>
      <c r="E933" s="121"/>
      <c r="F933" s="121"/>
      <c r="G933" s="121"/>
    </row>
    <row r="934">
      <c r="A934" s="121"/>
      <c r="B934" s="121"/>
      <c r="C934" s="121"/>
      <c r="D934" s="121"/>
      <c r="E934" s="121"/>
      <c r="F934" s="121"/>
      <c r="G934" s="121"/>
    </row>
    <row r="935">
      <c r="A935" s="121"/>
      <c r="B935" s="121"/>
      <c r="C935" s="121"/>
      <c r="D935" s="121"/>
      <c r="E935" s="121"/>
      <c r="F935" s="121"/>
      <c r="G935" s="121"/>
    </row>
    <row r="936">
      <c r="A936" s="121"/>
      <c r="B936" s="121"/>
      <c r="C936" s="121"/>
      <c r="D936" s="121"/>
      <c r="E936" s="121"/>
      <c r="F936" s="121"/>
      <c r="G936" s="121"/>
    </row>
    <row r="937">
      <c r="A937" s="121"/>
      <c r="B937" s="121"/>
      <c r="C937" s="121"/>
      <c r="D937" s="121"/>
      <c r="E937" s="121"/>
      <c r="F937" s="121"/>
      <c r="G937" s="121"/>
    </row>
    <row r="938">
      <c r="A938" s="121"/>
      <c r="B938" s="121"/>
      <c r="C938" s="121"/>
      <c r="D938" s="121"/>
      <c r="E938" s="121"/>
      <c r="F938" s="121"/>
      <c r="G938" s="121"/>
    </row>
    <row r="939">
      <c r="A939" s="121"/>
      <c r="B939" s="121"/>
      <c r="C939" s="121"/>
      <c r="D939" s="121"/>
      <c r="E939" s="121"/>
      <c r="F939" s="121"/>
      <c r="G939" s="121"/>
    </row>
    <row r="940">
      <c r="A940" s="121"/>
      <c r="B940" s="121"/>
      <c r="C940" s="121"/>
      <c r="D940" s="121"/>
      <c r="E940" s="121"/>
      <c r="F940" s="121"/>
      <c r="G940" s="121"/>
    </row>
  </sheetData>
  <mergeCells count="1">
    <mergeCell ref="F74:G74"/>
  </mergeCells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14.71"/>
    <col customWidth="1" min="3" max="3" width="7.71"/>
    <col customWidth="1" min="4" max="4" width="14.29"/>
    <col customWidth="1" min="5" max="5" width="36.71"/>
    <col customWidth="1" min="6" max="6" width="35.14"/>
    <col customWidth="1" min="7" max="7" width="27.29"/>
    <col customWidth="1" hidden="1" min="8" max="8" width="8.86"/>
    <col customWidth="1" hidden="1" min="9" max="9" width="8.14"/>
    <col customWidth="1" hidden="1" min="10" max="10" width="10.57"/>
    <col customWidth="1" hidden="1" min="11" max="12" width="6.0"/>
    <col customWidth="1" hidden="1" min="13" max="13" width="4.71"/>
    <col customWidth="1" hidden="1" min="14" max="14" width="5.29"/>
    <col customWidth="1" hidden="1" min="15" max="15" width="7.14"/>
    <col customWidth="1" hidden="1" min="16" max="16" width="9.57"/>
    <col customWidth="1" hidden="1" min="17" max="17" width="9.0"/>
    <col customWidth="1" hidden="1" min="18" max="18" width="8.0"/>
  </cols>
  <sheetData>
    <row r="1" ht="26.25" customHeight="1">
      <c r="A1" s="158" t="s">
        <v>2288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 ht="26.25" customHeight="1">
      <c r="A2" s="102" t="s">
        <v>4</v>
      </c>
      <c r="B2" s="102" t="s">
        <v>5</v>
      </c>
      <c r="C2" s="102" t="s">
        <v>126</v>
      </c>
      <c r="D2" s="102" t="s">
        <v>6</v>
      </c>
      <c r="E2" s="102" t="s">
        <v>7</v>
      </c>
      <c r="F2" s="102" t="s">
        <v>127</v>
      </c>
      <c r="G2" s="103" t="s">
        <v>128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ht="26.25" customHeight="1">
      <c r="A3" s="104">
        <v>1.0</v>
      </c>
      <c r="B3" s="105">
        <v>46089.0</v>
      </c>
      <c r="C3" s="106" t="s">
        <v>129</v>
      </c>
      <c r="D3" s="107"/>
      <c r="E3" s="107" t="s">
        <v>1358</v>
      </c>
      <c r="F3" s="108">
        <v>35.0</v>
      </c>
      <c r="G3" s="111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ht="26.25" customHeight="1">
      <c r="A4" s="104">
        <v>2.0</v>
      </c>
      <c r="B4" s="120"/>
      <c r="C4" s="110"/>
      <c r="D4" s="107"/>
      <c r="E4" s="107" t="s">
        <v>2289</v>
      </c>
      <c r="F4" s="108"/>
      <c r="G4" s="10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ht="26.25" customHeight="1">
      <c r="A5" s="104">
        <v>3.0</v>
      </c>
      <c r="B5" s="120"/>
      <c r="C5" s="110"/>
      <c r="D5" s="107"/>
      <c r="E5" s="107" t="s">
        <v>2290</v>
      </c>
      <c r="F5" s="108">
        <v>40.0</v>
      </c>
      <c r="G5" s="10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ht="26.25" customHeight="1">
      <c r="A6" s="104">
        <v>4.0</v>
      </c>
      <c r="B6" s="120"/>
      <c r="C6" s="110"/>
      <c r="D6" s="107"/>
      <c r="E6" s="107" t="s">
        <v>848</v>
      </c>
      <c r="F6" s="108">
        <v>50.0</v>
      </c>
      <c r="G6" s="10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ht="26.25" customHeight="1">
      <c r="A7" s="112"/>
      <c r="B7" s="113"/>
      <c r="C7" s="114"/>
      <c r="D7" s="114"/>
      <c r="E7" s="99" t="s">
        <v>144</v>
      </c>
      <c r="F7" s="100">
        <v>0.0</v>
      </c>
      <c r="G7" s="114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ht="26.25" customHeight="1">
      <c r="A8" s="115"/>
      <c r="B8" s="113"/>
      <c r="C8" s="114"/>
      <c r="D8" s="114"/>
      <c r="E8" s="99" t="s">
        <v>145</v>
      </c>
      <c r="F8" s="100">
        <v>125.0</v>
      </c>
      <c r="G8" s="114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</row>
    <row r="9" ht="26.25" customHeight="1">
      <c r="A9" s="115"/>
      <c r="B9" s="113"/>
      <c r="C9" s="114"/>
      <c r="D9" s="114"/>
      <c r="E9" s="99" t="s">
        <v>146</v>
      </c>
      <c r="F9" s="100"/>
      <c r="G9" s="114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</row>
    <row r="10" ht="26.25" customHeight="1">
      <c r="A10" s="115"/>
      <c r="B10" s="113"/>
      <c r="C10" s="114"/>
      <c r="D10" s="114"/>
      <c r="E10" s="99" t="s">
        <v>147</v>
      </c>
      <c r="F10" s="100"/>
      <c r="G10" s="114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ht="26.25" customHeight="1">
      <c r="A11" s="115"/>
      <c r="B11" s="113"/>
      <c r="C11" s="114"/>
      <c r="D11" s="114"/>
      <c r="E11" s="99" t="s">
        <v>148</v>
      </c>
      <c r="F11" s="107"/>
      <c r="G11" s="220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</row>
    <row r="12" ht="26.25" customHeight="1">
      <c r="A12" s="290"/>
      <c r="B12" s="187"/>
      <c r="C12" s="188"/>
      <c r="D12" s="188"/>
      <c r="E12" s="119"/>
      <c r="F12" s="410"/>
      <c r="G12" s="188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</row>
    <row r="13" ht="26.25" customHeight="1">
      <c r="A13" s="290"/>
      <c r="B13" s="187"/>
      <c r="C13" s="188"/>
      <c r="D13" s="188"/>
      <c r="E13" s="119"/>
      <c r="F13" s="410"/>
      <c r="G13" s="188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ht="26.25" customHeight="1">
      <c r="A14" s="290"/>
      <c r="B14" s="187"/>
      <c r="C14" s="188"/>
      <c r="D14" s="188"/>
      <c r="E14" s="119"/>
      <c r="F14" s="410"/>
      <c r="G14" s="188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</row>
    <row r="15" ht="26.25" customHeight="1">
      <c r="A15" s="290"/>
      <c r="B15" s="187"/>
      <c r="C15" s="188"/>
      <c r="D15" s="188"/>
      <c r="E15" s="119"/>
      <c r="F15" s="410"/>
      <c r="G15" s="188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ht="26.25" customHeight="1">
      <c r="A16" s="290"/>
      <c r="B16" s="187"/>
      <c r="C16" s="188"/>
      <c r="D16" s="188"/>
      <c r="E16" s="119"/>
      <c r="F16" s="410"/>
      <c r="G16" s="188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ht="26.25" customHeight="1">
      <c r="A17" s="290"/>
      <c r="B17" s="187"/>
      <c r="C17" s="188"/>
      <c r="D17" s="188"/>
      <c r="E17" s="119"/>
      <c r="F17" s="410"/>
      <c r="G17" s="188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ht="26.25" customHeight="1">
      <c r="A18" s="290"/>
      <c r="B18" s="187"/>
      <c r="C18" s="188"/>
      <c r="D18" s="188"/>
      <c r="E18" s="119"/>
      <c r="F18" s="410"/>
      <c r="G18" s="188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ht="26.25" customHeight="1">
      <c r="A19" s="290"/>
      <c r="B19" s="187"/>
      <c r="C19" s="188"/>
      <c r="D19" s="188"/>
      <c r="E19" s="119"/>
      <c r="F19" s="410"/>
      <c r="G19" s="188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ht="26.25" customHeight="1">
      <c r="A20" s="290"/>
      <c r="B20" s="187"/>
      <c r="C20" s="188"/>
      <c r="D20" s="188"/>
      <c r="E20" s="119"/>
      <c r="F20" s="410"/>
      <c r="G20" s="188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</row>
    <row r="21" ht="26.25" customHeight="1">
      <c r="A21" s="290"/>
      <c r="B21" s="187"/>
      <c r="C21" s="188"/>
      <c r="D21" s="188"/>
      <c r="E21" s="119"/>
      <c r="F21" s="410"/>
      <c r="G21" s="188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ht="26.25" customHeight="1">
      <c r="A22" s="290"/>
      <c r="B22" s="187"/>
      <c r="C22" s="188"/>
      <c r="D22" s="188"/>
      <c r="E22" s="119"/>
      <c r="F22" s="410"/>
      <c r="G22" s="188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ht="26.25" customHeight="1">
      <c r="A23" s="290"/>
      <c r="B23" s="187"/>
      <c r="C23" s="188"/>
      <c r="D23" s="188"/>
      <c r="E23" s="119"/>
      <c r="F23" s="410"/>
      <c r="G23" s="188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</row>
    <row r="24" ht="26.25" customHeight="1">
      <c r="A24" s="290"/>
      <c r="B24" s="187"/>
      <c r="C24" s="188"/>
      <c r="D24" s="188"/>
      <c r="E24" s="119"/>
      <c r="F24" s="410"/>
      <c r="G24" s="188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ht="26.25" customHeight="1">
      <c r="A25" s="290"/>
      <c r="B25" s="187"/>
      <c r="C25" s="188"/>
      <c r="D25" s="188"/>
      <c r="E25" s="119"/>
      <c r="F25" s="410"/>
      <c r="G25" s="18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</row>
    <row r="26" ht="26.25" customHeight="1">
      <c r="A26" s="290"/>
      <c r="B26" s="187"/>
      <c r="C26" s="188"/>
      <c r="D26" s="188"/>
      <c r="E26" s="119"/>
      <c r="F26" s="410"/>
      <c r="G26" s="188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</row>
    <row r="27" ht="26.25" customHeight="1">
      <c r="A27" s="290"/>
      <c r="B27" s="187"/>
      <c r="C27" s="188"/>
      <c r="D27" s="188"/>
      <c r="E27" s="119"/>
      <c r="F27" s="410"/>
      <c r="G27" s="188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</row>
    <row r="28" ht="26.25" customHeight="1">
      <c r="A28" s="290"/>
      <c r="B28" s="187"/>
      <c r="C28" s="188"/>
      <c r="D28" s="188"/>
      <c r="E28" s="119"/>
      <c r="F28" s="410"/>
      <c r="G28" s="188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</row>
    <row r="29" ht="26.25" customHeight="1">
      <c r="A29" s="290"/>
      <c r="B29" s="187"/>
      <c r="C29" s="188"/>
      <c r="D29" s="188"/>
      <c r="E29" s="119"/>
      <c r="F29" s="410"/>
      <c r="G29" s="188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</row>
    <row r="30" ht="26.25" customHeight="1">
      <c r="A30" s="290"/>
      <c r="B30" s="187"/>
      <c r="C30" s="188"/>
      <c r="D30" s="188"/>
      <c r="E30" s="119"/>
      <c r="F30" s="410"/>
      <c r="G30" s="188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</row>
    <row r="31" ht="26.25" customHeight="1">
      <c r="A31" s="290"/>
      <c r="B31" s="187"/>
      <c r="C31" s="188"/>
      <c r="D31" s="188"/>
      <c r="E31" s="119"/>
      <c r="F31" s="410"/>
      <c r="G31" s="188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</row>
    <row r="32" ht="26.25" customHeight="1">
      <c r="A32" s="290"/>
      <c r="B32" s="187"/>
      <c r="C32" s="188"/>
      <c r="D32" s="188"/>
      <c r="E32" s="119"/>
      <c r="F32" s="410"/>
      <c r="G32" s="188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</row>
    <row r="33" ht="26.25" customHeight="1">
      <c r="A33" s="290"/>
      <c r="B33" s="187"/>
      <c r="C33" s="188"/>
      <c r="D33" s="188"/>
      <c r="E33" s="119"/>
      <c r="F33" s="410"/>
      <c r="G33" s="188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</row>
    <row r="34" ht="26.25" customHeight="1">
      <c r="A34" s="290"/>
      <c r="B34" s="187"/>
      <c r="C34" s="188"/>
      <c r="D34" s="188"/>
      <c r="E34" s="119"/>
      <c r="F34" s="410"/>
      <c r="G34" s="188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</row>
    <row r="35" ht="26.25" customHeight="1">
      <c r="A35" s="290"/>
      <c r="B35" s="187"/>
      <c r="C35" s="188"/>
      <c r="D35" s="188"/>
      <c r="E35" s="119"/>
      <c r="F35" s="410"/>
      <c r="G35" s="188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</row>
    <row r="36" ht="26.25" customHeight="1">
      <c r="A36" s="290"/>
      <c r="B36" s="187"/>
      <c r="C36" s="188"/>
      <c r="D36" s="188"/>
      <c r="E36" s="119"/>
      <c r="F36" s="410"/>
      <c r="G36" s="188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</row>
    <row r="37" ht="26.25" customHeight="1">
      <c r="A37" s="290"/>
      <c r="B37" s="187"/>
      <c r="C37" s="188"/>
      <c r="D37" s="188"/>
      <c r="E37" s="119"/>
      <c r="F37" s="410"/>
      <c r="G37" s="188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</row>
    <row r="38" ht="26.25" customHeight="1">
      <c r="A38" s="290"/>
      <c r="B38" s="187"/>
      <c r="C38" s="188"/>
      <c r="D38" s="188"/>
      <c r="E38" s="119"/>
      <c r="F38" s="410"/>
      <c r="G38" s="188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</row>
    <row r="39" ht="26.25" customHeight="1">
      <c r="A39" s="290"/>
      <c r="B39" s="187"/>
      <c r="C39" s="188"/>
      <c r="D39" s="188"/>
      <c r="E39" s="119"/>
      <c r="F39" s="410"/>
      <c r="G39" s="188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</row>
    <row r="40" ht="26.25" customHeight="1">
      <c r="A40" s="290"/>
      <c r="B40" s="187"/>
      <c r="C40" s="188"/>
      <c r="D40" s="188"/>
      <c r="E40" s="119"/>
      <c r="F40" s="410"/>
      <c r="G40" s="188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</row>
    <row r="41" ht="26.25" customHeight="1">
      <c r="A41" s="290"/>
      <c r="B41" s="187"/>
      <c r="C41" s="188"/>
      <c r="D41" s="188"/>
      <c r="E41" s="119"/>
      <c r="F41" s="410"/>
      <c r="G41" s="188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</row>
    <row r="42" ht="26.25" customHeight="1">
      <c r="A42" s="290"/>
      <c r="B42" s="187"/>
      <c r="C42" s="188"/>
      <c r="D42" s="188"/>
      <c r="E42" s="119"/>
      <c r="F42" s="410"/>
      <c r="G42" s="188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</row>
    <row r="43" ht="26.25" customHeight="1">
      <c r="A43" s="290"/>
      <c r="B43" s="187"/>
      <c r="C43" s="188"/>
      <c r="D43" s="188"/>
      <c r="E43" s="119"/>
      <c r="F43" s="410"/>
      <c r="G43" s="188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</row>
    <row r="44" ht="26.25" customHeight="1">
      <c r="A44" s="290"/>
      <c r="B44" s="187"/>
      <c r="C44" s="188"/>
      <c r="D44" s="188"/>
      <c r="E44" s="119"/>
      <c r="F44" s="410"/>
      <c r="G44" s="188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</row>
    <row r="45" ht="26.25" customHeight="1">
      <c r="A45" s="290"/>
      <c r="B45" s="187"/>
      <c r="C45" s="188"/>
      <c r="D45" s="188"/>
      <c r="E45" s="119"/>
      <c r="F45" s="410"/>
      <c r="G45" s="188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</row>
    <row r="46" ht="26.25" customHeight="1">
      <c r="A46" s="290"/>
      <c r="B46" s="187"/>
      <c r="C46" s="188"/>
      <c r="D46" s="188"/>
      <c r="E46" s="119"/>
      <c r="F46" s="410"/>
      <c r="G46" s="188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</row>
    <row r="47" ht="26.25" customHeight="1">
      <c r="A47" s="290"/>
      <c r="B47" s="187"/>
      <c r="C47" s="188"/>
      <c r="D47" s="188"/>
      <c r="E47" s="119"/>
      <c r="F47" s="410"/>
      <c r="G47" s="188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</row>
    <row r="48" ht="26.25" customHeight="1">
      <c r="A48" s="290"/>
      <c r="B48" s="187"/>
      <c r="C48" s="188"/>
      <c r="D48" s="188"/>
      <c r="E48" s="119"/>
      <c r="F48" s="410"/>
      <c r="G48" s="188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</row>
    <row r="49" ht="26.25" customHeight="1">
      <c r="A49" s="290"/>
      <c r="B49" s="187"/>
      <c r="C49" s="188"/>
      <c r="D49" s="188"/>
      <c r="E49" s="119"/>
      <c r="F49" s="410"/>
      <c r="G49" s="188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</row>
    <row r="50" ht="26.25" customHeight="1">
      <c r="A50" s="290"/>
      <c r="B50" s="187"/>
      <c r="C50" s="188"/>
      <c r="D50" s="188"/>
      <c r="E50" s="119"/>
      <c r="F50" s="410"/>
      <c r="G50" s="188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</row>
    <row r="51" ht="26.25" customHeight="1">
      <c r="A51" s="290"/>
      <c r="B51" s="187"/>
      <c r="C51" s="188"/>
      <c r="D51" s="188"/>
      <c r="E51" s="119"/>
      <c r="F51" s="410"/>
      <c r="G51" s="188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</row>
    <row r="52" ht="26.25" customHeight="1">
      <c r="A52" s="290"/>
      <c r="B52" s="187"/>
      <c r="C52" s="188"/>
      <c r="D52" s="188"/>
      <c r="E52" s="119"/>
      <c r="F52" s="410"/>
      <c r="G52" s="188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</row>
    <row r="53" ht="26.25" customHeight="1">
      <c r="A53" s="290"/>
      <c r="B53" s="187"/>
      <c r="C53" s="188"/>
      <c r="D53" s="188"/>
      <c r="E53" s="119"/>
      <c r="F53" s="410"/>
      <c r="G53" s="188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</row>
    <row r="54" ht="26.25" customHeight="1">
      <c r="A54" s="290"/>
      <c r="B54" s="187"/>
      <c r="C54" s="188"/>
      <c r="D54" s="188"/>
      <c r="E54" s="119"/>
      <c r="F54" s="410"/>
      <c r="G54" s="188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</row>
    <row r="55" ht="26.25" customHeight="1">
      <c r="A55" s="290"/>
      <c r="B55" s="187"/>
      <c r="C55" s="188"/>
      <c r="D55" s="188"/>
      <c r="E55" s="119"/>
      <c r="F55" s="410"/>
      <c r="G55" s="188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</row>
    <row r="56" ht="26.25" customHeight="1">
      <c r="A56" s="290"/>
      <c r="B56" s="187"/>
      <c r="C56" s="188"/>
      <c r="D56" s="188"/>
      <c r="E56" s="119"/>
      <c r="F56" s="410"/>
      <c r="G56" s="188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</row>
    <row r="57" ht="26.25" customHeight="1">
      <c r="A57" s="290"/>
      <c r="B57" s="187"/>
      <c r="C57" s="188"/>
      <c r="D57" s="188"/>
      <c r="E57" s="119"/>
      <c r="F57" s="410"/>
      <c r="G57" s="188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</row>
    <row r="58" ht="26.25" customHeight="1">
      <c r="A58" s="290"/>
      <c r="B58" s="187"/>
      <c r="C58" s="188"/>
      <c r="D58" s="188"/>
      <c r="E58" s="119"/>
      <c r="F58" s="410"/>
      <c r="G58" s="188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</row>
    <row r="59" ht="26.25" customHeight="1">
      <c r="A59" s="290"/>
      <c r="B59" s="187"/>
      <c r="C59" s="188"/>
      <c r="D59" s="188"/>
      <c r="E59" s="119"/>
      <c r="F59" s="410"/>
      <c r="G59" s="188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</row>
    <row r="60" ht="26.25" customHeight="1">
      <c r="A60" s="290"/>
      <c r="B60" s="187"/>
      <c r="C60" s="188"/>
      <c r="D60" s="188"/>
      <c r="E60" s="119"/>
      <c r="F60" s="410"/>
      <c r="G60" s="188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</row>
    <row r="61" ht="26.25" customHeight="1">
      <c r="A61" s="290"/>
      <c r="B61" s="187"/>
      <c r="C61" s="188"/>
      <c r="D61" s="188"/>
      <c r="E61" s="119"/>
      <c r="F61" s="410"/>
      <c r="G61" s="188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</row>
    <row r="62" ht="26.25" customHeight="1">
      <c r="A62" s="290"/>
      <c r="B62" s="187"/>
      <c r="C62" s="188"/>
      <c r="D62" s="188"/>
      <c r="E62" s="119"/>
      <c r="F62" s="410"/>
      <c r="G62" s="188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</row>
    <row r="63" ht="26.25" customHeight="1">
      <c r="A63" s="290"/>
      <c r="B63" s="187"/>
      <c r="C63" s="188"/>
      <c r="D63" s="188"/>
      <c r="E63" s="119"/>
      <c r="F63" s="410"/>
      <c r="G63" s="188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</row>
    <row r="64" ht="26.25" customHeight="1">
      <c r="A64" s="290"/>
      <c r="B64" s="187"/>
      <c r="C64" s="188"/>
      <c r="D64" s="188"/>
      <c r="E64" s="119"/>
      <c r="F64" s="410"/>
      <c r="G64" s="18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</row>
    <row r="65" ht="26.25" customHeight="1">
      <c r="A65" s="290"/>
      <c r="B65" s="187"/>
      <c r="C65" s="188"/>
      <c r="D65" s="188"/>
      <c r="E65" s="119"/>
      <c r="F65" s="410"/>
      <c r="G65" s="18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</row>
    <row r="66" ht="26.25" customHeight="1">
      <c r="A66" s="290"/>
      <c r="B66" s="187"/>
      <c r="C66" s="188"/>
      <c r="D66" s="188"/>
      <c r="E66" s="119"/>
      <c r="F66" s="410"/>
      <c r="G66" s="188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</row>
    <row r="67" ht="26.25" customHeight="1">
      <c r="A67" s="290"/>
      <c r="B67" s="187"/>
      <c r="C67" s="188"/>
      <c r="D67" s="188"/>
      <c r="E67" s="119"/>
      <c r="F67" s="410"/>
      <c r="G67" s="188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</row>
    <row r="68" ht="26.25" customHeight="1">
      <c r="A68" s="290"/>
      <c r="B68" s="187"/>
      <c r="C68" s="188"/>
      <c r="D68" s="188"/>
      <c r="E68" s="119"/>
      <c r="F68" s="410"/>
      <c r="G68" s="188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</row>
    <row r="69" ht="26.25" customHeight="1">
      <c r="A69" s="290"/>
      <c r="B69" s="187"/>
      <c r="C69" s="188"/>
      <c r="D69" s="188"/>
      <c r="E69" s="119"/>
      <c r="F69" s="410"/>
      <c r="G69" s="188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</row>
    <row r="70" ht="26.25" customHeight="1">
      <c r="A70" s="290"/>
      <c r="B70" s="187"/>
      <c r="C70" s="188"/>
      <c r="D70" s="188"/>
      <c r="E70" s="119"/>
      <c r="F70" s="410"/>
      <c r="G70" s="188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</row>
    <row r="71" ht="26.25" customHeight="1">
      <c r="A71" s="290"/>
      <c r="B71" s="187"/>
      <c r="C71" s="188"/>
      <c r="D71" s="188"/>
      <c r="E71" s="119"/>
      <c r="F71" s="410"/>
      <c r="G71" s="188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</row>
    <row r="72" ht="26.25" customHeight="1">
      <c r="A72" s="290"/>
      <c r="B72" s="187"/>
      <c r="C72" s="188"/>
      <c r="D72" s="188"/>
      <c r="E72" s="119"/>
      <c r="F72" s="410"/>
      <c r="G72" s="188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</row>
    <row r="73" ht="26.25" customHeight="1">
      <c r="A73" s="290"/>
      <c r="B73" s="187"/>
      <c r="C73" s="188"/>
      <c r="D73" s="188"/>
      <c r="E73" s="119"/>
      <c r="F73" s="410"/>
      <c r="G73" s="188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</row>
    <row r="74" ht="26.25" customHeight="1">
      <c r="A74" s="290"/>
      <c r="B74" s="187"/>
      <c r="C74" s="188"/>
      <c r="D74" s="188"/>
      <c r="E74" s="119"/>
      <c r="F74" s="410"/>
      <c r="G74" s="188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</row>
    <row r="75" ht="26.25" customHeight="1">
      <c r="A75" s="290"/>
      <c r="B75" s="187"/>
      <c r="C75" s="188"/>
      <c r="D75" s="188"/>
      <c r="E75" s="119"/>
      <c r="F75" s="410"/>
      <c r="G75" s="188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</row>
    <row r="76" ht="26.25" customHeight="1">
      <c r="A76" s="290"/>
      <c r="B76" s="187"/>
      <c r="C76" s="188"/>
      <c r="D76" s="188"/>
      <c r="E76" s="119"/>
      <c r="F76" s="410"/>
      <c r="G76" s="188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</row>
    <row r="77" ht="26.25" customHeight="1">
      <c r="A77" s="290"/>
      <c r="B77" s="187"/>
      <c r="C77" s="188"/>
      <c r="D77" s="188"/>
      <c r="E77" s="119"/>
      <c r="F77" s="410"/>
      <c r="G77" s="188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</row>
    <row r="78" ht="26.25" customHeight="1">
      <c r="A78" s="290"/>
      <c r="B78" s="187"/>
      <c r="C78" s="188"/>
      <c r="D78" s="188"/>
      <c r="E78" s="119"/>
      <c r="F78" s="410"/>
      <c r="G78" s="188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</row>
    <row r="79" ht="26.25" customHeight="1">
      <c r="A79" s="290"/>
      <c r="B79" s="187"/>
      <c r="C79" s="188"/>
      <c r="D79" s="188"/>
      <c r="E79" s="119"/>
      <c r="F79" s="410"/>
      <c r="G79" s="188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</row>
    <row r="80" ht="26.25" customHeight="1">
      <c r="A80" s="290"/>
      <c r="B80" s="187"/>
      <c r="C80" s="188"/>
      <c r="D80" s="188"/>
      <c r="E80" s="119"/>
      <c r="F80" s="410"/>
      <c r="G80" s="188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</row>
    <row r="81" ht="26.25" customHeight="1">
      <c r="A81" s="290"/>
      <c r="B81" s="187"/>
      <c r="C81" s="188"/>
      <c r="D81" s="188"/>
      <c r="E81" s="119"/>
      <c r="F81" s="410"/>
      <c r="G81" s="188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</row>
    <row r="82" ht="26.25" customHeight="1">
      <c r="A82" s="290"/>
      <c r="B82" s="187"/>
      <c r="C82" s="188"/>
      <c r="D82" s="188"/>
      <c r="E82" s="119"/>
      <c r="F82" s="410"/>
      <c r="G82" s="188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</row>
    <row r="83" ht="26.25" customHeight="1">
      <c r="A83" s="290"/>
      <c r="B83" s="187"/>
      <c r="C83" s="188"/>
      <c r="D83" s="188"/>
      <c r="E83" s="119"/>
      <c r="F83" s="410"/>
      <c r="G83" s="188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</row>
    <row r="84" ht="26.25" customHeight="1">
      <c r="A84" s="290"/>
      <c r="B84" s="187"/>
      <c r="C84" s="188"/>
      <c r="D84" s="188"/>
      <c r="E84" s="119"/>
      <c r="F84" s="410"/>
      <c r="G84" s="188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</row>
    <row r="85" ht="26.25" customHeight="1">
      <c r="A85" s="290"/>
      <c r="B85" s="187"/>
      <c r="C85" s="188"/>
      <c r="D85" s="188"/>
      <c r="E85" s="119"/>
      <c r="F85" s="410"/>
      <c r="G85" s="188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</row>
    <row r="86" ht="26.25" customHeight="1">
      <c r="A86" s="290"/>
      <c r="B86" s="187"/>
      <c r="C86" s="188"/>
      <c r="D86" s="188"/>
      <c r="E86" s="119"/>
      <c r="F86" s="410"/>
      <c r="G86" s="188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</row>
    <row r="87" ht="26.25" customHeight="1">
      <c r="A87" s="290"/>
      <c r="B87" s="187"/>
      <c r="C87" s="188"/>
      <c r="D87" s="188"/>
      <c r="E87" s="119"/>
      <c r="F87" s="410"/>
      <c r="G87" s="188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</row>
    <row r="88" ht="26.25" customHeight="1">
      <c r="A88" s="290"/>
      <c r="B88" s="187"/>
      <c r="C88" s="188"/>
      <c r="D88" s="188"/>
      <c r="E88" s="119"/>
      <c r="F88" s="410"/>
      <c r="G88" s="188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</row>
    <row r="89" ht="26.25" customHeight="1">
      <c r="A89" s="290"/>
      <c r="B89" s="187"/>
      <c r="C89" s="188"/>
      <c r="D89" s="188"/>
      <c r="E89" s="119"/>
      <c r="F89" s="410"/>
      <c r="G89" s="188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</row>
    <row r="90" ht="26.25" customHeight="1">
      <c r="A90" s="290"/>
      <c r="B90" s="187"/>
      <c r="C90" s="188"/>
      <c r="D90" s="188"/>
      <c r="E90" s="119"/>
      <c r="F90" s="410"/>
      <c r="G90" s="188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</row>
    <row r="91" ht="26.25" customHeight="1">
      <c r="A91" s="290"/>
      <c r="B91" s="187"/>
      <c r="C91" s="188"/>
      <c r="D91" s="188"/>
      <c r="E91" s="119"/>
      <c r="F91" s="410"/>
      <c r="G91" s="188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</row>
    <row r="92" ht="26.25" customHeight="1">
      <c r="A92" s="290"/>
      <c r="B92" s="187"/>
      <c r="C92" s="188"/>
      <c r="D92" s="188"/>
      <c r="E92" s="119"/>
      <c r="F92" s="410"/>
      <c r="G92" s="188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</row>
    <row r="93" ht="26.25" customHeight="1">
      <c r="A93" s="290"/>
      <c r="B93" s="187"/>
      <c r="C93" s="188"/>
      <c r="D93" s="188"/>
      <c r="E93" s="119"/>
      <c r="F93" s="410"/>
      <c r="G93" s="188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</row>
    <row r="94" ht="26.25" customHeight="1">
      <c r="A94" s="290"/>
      <c r="B94" s="187"/>
      <c r="C94" s="188"/>
      <c r="D94" s="188"/>
      <c r="E94" s="119"/>
      <c r="F94" s="410"/>
      <c r="G94" s="188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</row>
    <row r="95" ht="26.25" customHeight="1">
      <c r="A95" s="290"/>
      <c r="B95" s="187"/>
      <c r="C95" s="188"/>
      <c r="D95" s="188"/>
      <c r="E95" s="119"/>
      <c r="F95" s="410"/>
      <c r="G95" s="188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</row>
    <row r="96" ht="26.25" customHeight="1">
      <c r="A96" s="290"/>
      <c r="B96" s="187"/>
      <c r="C96" s="188"/>
      <c r="D96" s="188"/>
      <c r="E96" s="119"/>
      <c r="F96" s="410"/>
      <c r="G96" s="188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</row>
    <row r="97" ht="26.25" customHeight="1">
      <c r="A97" s="290"/>
      <c r="B97" s="187"/>
      <c r="C97" s="188"/>
      <c r="D97" s="188"/>
      <c r="E97" s="119"/>
      <c r="F97" s="410"/>
      <c r="G97" s="188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</row>
    <row r="98" ht="26.25" customHeight="1">
      <c r="A98" s="290"/>
      <c r="B98" s="187"/>
      <c r="C98" s="188"/>
      <c r="D98" s="188"/>
      <c r="E98" s="119"/>
      <c r="F98" s="410"/>
      <c r="G98" s="188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</row>
    <row r="99" ht="26.25" customHeight="1">
      <c r="A99" s="290"/>
      <c r="B99" s="187"/>
      <c r="C99" s="188"/>
      <c r="D99" s="188"/>
      <c r="E99" s="119"/>
      <c r="F99" s="410"/>
      <c r="G99" s="188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</row>
    <row r="100" ht="26.25" customHeight="1">
      <c r="A100" s="290"/>
      <c r="B100" s="187"/>
      <c r="C100" s="188"/>
      <c r="D100" s="188"/>
      <c r="E100" s="119"/>
      <c r="F100" s="410"/>
      <c r="G100" s="188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</row>
    <row r="101" ht="26.25" customHeight="1">
      <c r="A101" s="290"/>
      <c r="B101" s="187"/>
      <c r="C101" s="188"/>
      <c r="D101" s="188"/>
      <c r="E101" s="119"/>
      <c r="F101" s="410"/>
      <c r="G101" s="188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</row>
    <row r="102" ht="26.25" customHeight="1">
      <c r="A102" s="290"/>
      <c r="B102" s="187"/>
      <c r="C102" s="188"/>
      <c r="D102" s="188"/>
      <c r="E102" s="119"/>
      <c r="F102" s="410"/>
      <c r="G102" s="188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</row>
    <row r="103" ht="26.25" customHeight="1">
      <c r="A103" s="290"/>
      <c r="B103" s="187"/>
      <c r="C103" s="188"/>
      <c r="D103" s="188"/>
      <c r="E103" s="119"/>
      <c r="F103" s="410"/>
      <c r="G103" s="188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</row>
    <row r="104" ht="26.25" customHeight="1">
      <c r="A104" s="290"/>
      <c r="B104" s="187"/>
      <c r="C104" s="188"/>
      <c r="D104" s="188"/>
      <c r="E104" s="119"/>
      <c r="F104" s="410"/>
      <c r="G104" s="188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</row>
    <row r="105" ht="26.25" customHeight="1">
      <c r="A105" s="290"/>
      <c r="B105" s="187"/>
      <c r="C105" s="188"/>
      <c r="D105" s="188"/>
      <c r="E105" s="119"/>
      <c r="F105" s="410"/>
      <c r="G105" s="188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</row>
    <row r="106" ht="26.25" customHeight="1">
      <c r="A106" s="290"/>
      <c r="B106" s="187"/>
      <c r="C106" s="188"/>
      <c r="D106" s="188"/>
      <c r="E106" s="119"/>
      <c r="F106" s="410"/>
      <c r="G106" s="188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</row>
    <row r="107" ht="26.25" customHeight="1">
      <c r="A107" s="290"/>
      <c r="B107" s="187"/>
      <c r="C107" s="188"/>
      <c r="D107" s="188"/>
      <c r="E107" s="119"/>
      <c r="F107" s="410"/>
      <c r="G107" s="188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</row>
    <row r="108" ht="26.25" customHeight="1">
      <c r="A108" s="290"/>
      <c r="B108" s="187"/>
      <c r="C108" s="188"/>
      <c r="D108" s="188"/>
      <c r="E108" s="119"/>
      <c r="F108" s="410"/>
      <c r="G108" s="188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</row>
    <row r="109" ht="26.25" customHeight="1">
      <c r="A109" s="290"/>
      <c r="B109" s="187"/>
      <c r="C109" s="188"/>
      <c r="D109" s="188"/>
      <c r="E109" s="119"/>
      <c r="F109" s="410"/>
      <c r="G109" s="188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</row>
    <row r="110" ht="26.25" customHeight="1">
      <c r="A110" s="290"/>
      <c r="B110" s="187"/>
      <c r="C110" s="188"/>
      <c r="D110" s="188"/>
      <c r="E110" s="119"/>
      <c r="F110" s="410"/>
      <c r="G110" s="188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</row>
    <row r="111" ht="26.25" customHeight="1">
      <c r="A111" s="290"/>
      <c r="B111" s="187"/>
      <c r="C111" s="188"/>
      <c r="D111" s="188"/>
      <c r="E111" s="119"/>
      <c r="F111" s="410"/>
      <c r="G111" s="188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</row>
    <row r="112" ht="26.25" customHeight="1">
      <c r="A112" s="290"/>
      <c r="B112" s="187"/>
      <c r="C112" s="188"/>
      <c r="D112" s="188"/>
      <c r="E112" s="119"/>
      <c r="F112" s="410"/>
      <c r="G112" s="188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</row>
    <row r="113" ht="26.25" customHeight="1">
      <c r="A113" s="290"/>
      <c r="B113" s="187"/>
      <c r="C113" s="188"/>
      <c r="D113" s="188"/>
      <c r="E113" s="119"/>
      <c r="F113" s="410"/>
      <c r="G113" s="188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</row>
    <row r="114" ht="26.25" customHeight="1">
      <c r="A114" s="290"/>
      <c r="B114" s="187"/>
      <c r="C114" s="188"/>
      <c r="D114" s="188"/>
      <c r="E114" s="119"/>
      <c r="F114" s="410"/>
      <c r="G114" s="188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</row>
    <row r="115" ht="26.25" customHeight="1">
      <c r="A115" s="290"/>
      <c r="B115" s="187"/>
      <c r="C115" s="188"/>
      <c r="D115" s="188"/>
      <c r="E115" s="119"/>
      <c r="F115" s="410"/>
      <c r="G115" s="188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</row>
    <row r="116" ht="26.25" customHeight="1">
      <c r="A116" s="290"/>
      <c r="B116" s="187"/>
      <c r="C116" s="188"/>
      <c r="D116" s="188"/>
      <c r="E116" s="119"/>
      <c r="F116" s="410"/>
      <c r="G116" s="188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</row>
    <row r="117" ht="26.25" customHeight="1">
      <c r="A117" s="290"/>
      <c r="B117" s="187"/>
      <c r="C117" s="188"/>
      <c r="D117" s="188"/>
      <c r="E117" s="119"/>
      <c r="F117" s="410"/>
      <c r="G117" s="188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</row>
    <row r="118" ht="26.25" customHeight="1">
      <c r="A118" s="290"/>
      <c r="B118" s="187"/>
      <c r="C118" s="188"/>
      <c r="D118" s="188"/>
      <c r="E118" s="119"/>
      <c r="F118" s="410"/>
      <c r="G118" s="188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</row>
    <row r="119" ht="26.25" customHeight="1">
      <c r="A119" s="290"/>
      <c r="B119" s="187"/>
      <c r="C119" s="188"/>
      <c r="D119" s="188"/>
      <c r="E119" s="119"/>
      <c r="F119" s="410"/>
      <c r="G119" s="188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</row>
    <row r="120" ht="26.25" customHeight="1">
      <c r="A120" s="290"/>
      <c r="B120" s="187"/>
      <c r="C120" s="188"/>
      <c r="D120" s="188"/>
      <c r="E120" s="119"/>
      <c r="F120" s="410"/>
      <c r="G120" s="188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</row>
    <row r="121" ht="26.25" customHeight="1">
      <c r="A121" s="290"/>
      <c r="B121" s="187"/>
      <c r="C121" s="188"/>
      <c r="D121" s="188"/>
      <c r="E121" s="119"/>
      <c r="F121" s="410"/>
      <c r="G121" s="188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</row>
    <row r="122" ht="26.25" customHeight="1">
      <c r="A122" s="290"/>
      <c r="B122" s="187"/>
      <c r="C122" s="188"/>
      <c r="D122" s="188"/>
      <c r="E122" s="119"/>
      <c r="F122" s="410"/>
      <c r="G122" s="188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</row>
    <row r="123" ht="26.25" customHeight="1">
      <c r="A123" s="290"/>
      <c r="B123" s="187"/>
      <c r="C123" s="188"/>
      <c r="D123" s="188"/>
      <c r="E123" s="119"/>
      <c r="F123" s="410"/>
      <c r="G123" s="188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</row>
    <row r="124" ht="26.25" customHeight="1">
      <c r="A124" s="290"/>
      <c r="B124" s="187"/>
      <c r="C124" s="188"/>
      <c r="D124" s="188"/>
      <c r="E124" s="119"/>
      <c r="F124" s="410"/>
      <c r="G124" s="188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</row>
    <row r="125" ht="26.25" customHeight="1">
      <c r="A125" s="290"/>
      <c r="B125" s="187"/>
      <c r="C125" s="188"/>
      <c r="D125" s="188"/>
      <c r="E125" s="119"/>
      <c r="F125" s="410"/>
      <c r="G125" s="188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</row>
    <row r="126" ht="26.25" customHeight="1">
      <c r="A126" s="290"/>
      <c r="B126" s="187"/>
      <c r="C126" s="188"/>
      <c r="D126" s="188"/>
      <c r="E126" s="119"/>
      <c r="F126" s="410"/>
      <c r="G126" s="188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</row>
    <row r="127" ht="26.25" customHeight="1">
      <c r="A127" s="290"/>
      <c r="B127" s="187"/>
      <c r="C127" s="188"/>
      <c r="D127" s="188"/>
      <c r="E127" s="119"/>
      <c r="F127" s="410"/>
      <c r="G127" s="188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</row>
    <row r="128" ht="26.25" customHeight="1">
      <c r="A128" s="290"/>
      <c r="B128" s="187"/>
      <c r="C128" s="188"/>
      <c r="D128" s="188"/>
      <c r="E128" s="119"/>
      <c r="F128" s="410"/>
      <c r="G128" s="188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</row>
    <row r="129" ht="26.25" customHeight="1">
      <c r="A129" s="290"/>
      <c r="B129" s="187"/>
      <c r="C129" s="188"/>
      <c r="D129" s="188"/>
      <c r="E129" s="119"/>
      <c r="F129" s="410"/>
      <c r="G129" s="188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</row>
    <row r="130" ht="26.25" customHeight="1">
      <c r="A130" s="290"/>
      <c r="B130" s="187"/>
      <c r="C130" s="188"/>
      <c r="D130" s="188"/>
      <c r="E130" s="119"/>
      <c r="F130" s="410"/>
      <c r="G130" s="188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</row>
    <row r="131" ht="26.25" customHeight="1">
      <c r="A131" s="290"/>
      <c r="B131" s="187"/>
      <c r="C131" s="188"/>
      <c r="D131" s="188"/>
      <c r="E131" s="119"/>
      <c r="F131" s="410"/>
      <c r="G131" s="188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</row>
    <row r="132" ht="26.25" customHeight="1">
      <c r="A132" s="290"/>
      <c r="B132" s="187"/>
      <c r="C132" s="188"/>
      <c r="D132" s="188"/>
      <c r="E132" s="119"/>
      <c r="F132" s="410"/>
      <c r="G132" s="188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</row>
    <row r="133" ht="26.25" customHeight="1">
      <c r="A133" s="290"/>
      <c r="B133" s="187"/>
      <c r="C133" s="188"/>
      <c r="D133" s="188"/>
      <c r="E133" s="119"/>
      <c r="F133" s="410"/>
      <c r="G133" s="188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</row>
    <row r="134" ht="26.25" customHeight="1">
      <c r="A134" s="290"/>
      <c r="B134" s="187"/>
      <c r="C134" s="188"/>
      <c r="D134" s="188"/>
      <c r="E134" s="119"/>
      <c r="F134" s="410"/>
      <c r="G134" s="188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</row>
    <row r="135" ht="26.25" customHeight="1">
      <c r="A135" s="290"/>
      <c r="B135" s="187"/>
      <c r="C135" s="188"/>
      <c r="D135" s="188"/>
      <c r="E135" s="119"/>
      <c r="F135" s="410"/>
      <c r="G135" s="188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</row>
    <row r="136" ht="26.25" customHeight="1">
      <c r="A136" s="290"/>
      <c r="B136" s="187"/>
      <c r="C136" s="188"/>
      <c r="D136" s="188"/>
      <c r="E136" s="119"/>
      <c r="F136" s="410"/>
      <c r="G136" s="188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</row>
    <row r="137" ht="26.25" customHeight="1">
      <c r="A137" s="290"/>
      <c r="B137" s="187"/>
      <c r="C137" s="188"/>
      <c r="D137" s="188"/>
      <c r="E137" s="119"/>
      <c r="F137" s="410"/>
      <c r="G137" s="188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</row>
    <row r="138" ht="26.25" customHeight="1">
      <c r="A138" s="290"/>
      <c r="B138" s="187"/>
      <c r="C138" s="188"/>
      <c r="D138" s="188"/>
      <c r="E138" s="119"/>
      <c r="F138" s="410"/>
      <c r="G138" s="188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</row>
    <row r="139" ht="26.25" customHeight="1">
      <c r="A139" s="290"/>
      <c r="B139" s="187"/>
      <c r="C139" s="188"/>
      <c r="D139" s="188"/>
      <c r="E139" s="119"/>
      <c r="F139" s="410"/>
      <c r="G139" s="188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</row>
    <row r="140" ht="26.25" customHeight="1">
      <c r="A140" s="290"/>
      <c r="B140" s="187"/>
      <c r="C140" s="188"/>
      <c r="D140" s="188"/>
      <c r="E140" s="119"/>
      <c r="F140" s="410"/>
      <c r="G140" s="188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</row>
    <row r="141" ht="26.25" customHeight="1">
      <c r="A141" s="290"/>
      <c r="B141" s="187"/>
      <c r="C141" s="188"/>
      <c r="D141" s="188"/>
      <c r="E141" s="119"/>
      <c r="F141" s="410"/>
      <c r="G141" s="188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</row>
    <row r="142" ht="26.25" customHeight="1">
      <c r="A142" s="290"/>
      <c r="B142" s="187"/>
      <c r="C142" s="188"/>
      <c r="D142" s="188"/>
      <c r="E142" s="119"/>
      <c r="F142" s="410"/>
      <c r="G142" s="188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</row>
    <row r="143" ht="26.25" customHeight="1">
      <c r="A143" s="290"/>
      <c r="B143" s="187"/>
      <c r="C143" s="188"/>
      <c r="D143" s="188"/>
      <c r="E143" s="119"/>
      <c r="F143" s="410"/>
      <c r="G143" s="188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</row>
    <row r="144" ht="26.25" customHeight="1">
      <c r="A144" s="290"/>
      <c r="B144" s="187"/>
      <c r="C144" s="188"/>
      <c r="D144" s="188"/>
      <c r="E144" s="119"/>
      <c r="F144" s="410"/>
      <c r="G144" s="188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</row>
    <row r="145" ht="26.25" customHeight="1">
      <c r="A145" s="290"/>
      <c r="B145" s="187"/>
      <c r="C145" s="188"/>
      <c r="D145" s="188"/>
      <c r="E145" s="119"/>
      <c r="F145" s="410"/>
      <c r="G145" s="188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</row>
    <row r="146" ht="26.25" customHeight="1">
      <c r="A146" s="290"/>
      <c r="B146" s="187"/>
      <c r="C146" s="188"/>
      <c r="D146" s="188"/>
      <c r="E146" s="119"/>
      <c r="F146" s="410"/>
      <c r="G146" s="188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</row>
    <row r="147" ht="26.25" customHeight="1">
      <c r="A147" s="290"/>
      <c r="B147" s="187"/>
      <c r="C147" s="188"/>
      <c r="D147" s="188"/>
      <c r="E147" s="119"/>
      <c r="F147" s="410"/>
      <c r="G147" s="188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</row>
    <row r="148" ht="26.25" customHeight="1">
      <c r="A148" s="290"/>
      <c r="B148" s="187"/>
      <c r="C148" s="188"/>
      <c r="D148" s="188"/>
      <c r="E148" s="119"/>
      <c r="F148" s="410"/>
      <c r="G148" s="188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</row>
    <row r="149" ht="26.25" customHeight="1">
      <c r="A149" s="290"/>
      <c r="B149" s="187"/>
      <c r="C149" s="188"/>
      <c r="D149" s="188"/>
      <c r="E149" s="119"/>
      <c r="F149" s="410"/>
      <c r="G149" s="188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</row>
    <row r="150" ht="26.25" customHeight="1">
      <c r="A150" s="290"/>
      <c r="B150" s="187"/>
      <c r="C150" s="188"/>
      <c r="D150" s="188"/>
      <c r="E150" s="119"/>
      <c r="F150" s="410"/>
      <c r="G150" s="188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</row>
    <row r="151" ht="26.25" customHeight="1">
      <c r="A151" s="290"/>
      <c r="B151" s="187"/>
      <c r="C151" s="188"/>
      <c r="D151" s="188"/>
      <c r="E151" s="119"/>
      <c r="F151" s="410"/>
      <c r="G151" s="188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</row>
    <row r="152" ht="26.25" customHeight="1">
      <c r="A152" s="290"/>
      <c r="B152" s="187"/>
      <c r="C152" s="188"/>
      <c r="D152" s="188"/>
      <c r="E152" s="119"/>
      <c r="F152" s="410"/>
      <c r="G152" s="188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</row>
    <row r="153" ht="26.25" customHeight="1">
      <c r="A153" s="290"/>
      <c r="B153" s="187"/>
      <c r="C153" s="188"/>
      <c r="D153" s="188"/>
      <c r="E153" s="119"/>
      <c r="F153" s="410"/>
      <c r="G153" s="188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</row>
    <row r="154" ht="26.25" customHeight="1">
      <c r="A154" s="290"/>
      <c r="B154" s="187"/>
      <c r="C154" s="188"/>
      <c r="D154" s="188"/>
      <c r="E154" s="119"/>
      <c r="F154" s="410"/>
      <c r="G154" s="188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</row>
    <row r="155" ht="26.25" customHeight="1">
      <c r="A155" s="290"/>
      <c r="B155" s="187"/>
      <c r="C155" s="188"/>
      <c r="D155" s="188"/>
      <c r="E155" s="119"/>
      <c r="F155" s="410"/>
      <c r="G155" s="188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</row>
    <row r="156" ht="26.25" customHeight="1">
      <c r="A156" s="290"/>
      <c r="B156" s="187"/>
      <c r="C156" s="188"/>
      <c r="D156" s="188"/>
      <c r="E156" s="119"/>
      <c r="F156" s="410"/>
      <c r="G156" s="188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</row>
    <row r="157" ht="26.25" customHeight="1">
      <c r="A157" s="290"/>
      <c r="B157" s="187"/>
      <c r="C157" s="188"/>
      <c r="D157" s="188"/>
      <c r="E157" s="119"/>
      <c r="F157" s="410"/>
      <c r="G157" s="188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</row>
    <row r="158" ht="26.25" customHeight="1">
      <c r="A158" s="290"/>
      <c r="B158" s="187"/>
      <c r="C158" s="188"/>
      <c r="D158" s="188"/>
      <c r="E158" s="119"/>
      <c r="F158" s="410"/>
      <c r="G158" s="188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</row>
    <row r="159" ht="26.25" customHeight="1">
      <c r="A159" s="290"/>
      <c r="B159" s="187"/>
      <c r="C159" s="188"/>
      <c r="D159" s="188"/>
      <c r="E159" s="119"/>
      <c r="F159" s="410"/>
      <c r="G159" s="188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</row>
    <row r="160" ht="26.25" customHeight="1">
      <c r="A160" s="290"/>
      <c r="B160" s="187"/>
      <c r="C160" s="188"/>
      <c r="D160" s="188"/>
      <c r="E160" s="119"/>
      <c r="F160" s="410"/>
      <c r="G160" s="188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</row>
    <row r="161" ht="26.25" customHeight="1">
      <c r="A161" s="290"/>
      <c r="B161" s="187"/>
      <c r="C161" s="188"/>
      <c r="D161" s="188"/>
      <c r="E161" s="119"/>
      <c r="F161" s="410"/>
      <c r="G161" s="188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</row>
    <row r="162" ht="26.25" customHeight="1">
      <c r="A162" s="290"/>
      <c r="B162" s="187"/>
      <c r="C162" s="188"/>
      <c r="D162" s="188"/>
      <c r="E162" s="119"/>
      <c r="F162" s="410"/>
      <c r="G162" s="188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</row>
    <row r="163" ht="26.25" customHeight="1">
      <c r="A163" s="290"/>
      <c r="B163" s="187"/>
      <c r="C163" s="188"/>
      <c r="D163" s="188"/>
      <c r="E163" s="119"/>
      <c r="F163" s="410"/>
      <c r="G163" s="188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</row>
    <row r="164" ht="26.25" customHeight="1">
      <c r="A164" s="290"/>
      <c r="B164" s="187"/>
      <c r="C164" s="188"/>
      <c r="D164" s="188"/>
      <c r="E164" s="119"/>
      <c r="F164" s="410"/>
      <c r="G164" s="188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</row>
    <row r="165" ht="26.25" customHeight="1">
      <c r="A165" s="290"/>
      <c r="B165" s="187"/>
      <c r="C165" s="188"/>
      <c r="D165" s="188"/>
      <c r="E165" s="119"/>
      <c r="F165" s="410"/>
      <c r="G165" s="188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</row>
    <row r="166" ht="26.25" customHeight="1">
      <c r="A166" s="290"/>
      <c r="B166" s="187"/>
      <c r="C166" s="188"/>
      <c r="D166" s="188"/>
      <c r="E166" s="119"/>
      <c r="F166" s="410"/>
      <c r="G166" s="188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</row>
    <row r="167" ht="26.25" customHeight="1">
      <c r="A167" s="290"/>
      <c r="B167" s="187"/>
      <c r="C167" s="188"/>
      <c r="D167" s="188"/>
      <c r="E167" s="119"/>
      <c r="F167" s="410"/>
      <c r="G167" s="188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</row>
    <row r="168" ht="26.25" customHeight="1">
      <c r="A168" s="290"/>
      <c r="B168" s="187"/>
      <c r="C168" s="188"/>
      <c r="D168" s="188"/>
      <c r="E168" s="119"/>
      <c r="F168" s="410"/>
      <c r="G168" s="188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</row>
    <row r="169" ht="26.25" customHeight="1">
      <c r="A169" s="290"/>
      <c r="B169" s="187"/>
      <c r="C169" s="188"/>
      <c r="D169" s="188"/>
      <c r="E169" s="119"/>
      <c r="F169" s="410"/>
      <c r="G169" s="188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</row>
    <row r="170" ht="26.25" customHeight="1">
      <c r="A170" s="290"/>
      <c r="B170" s="187"/>
      <c r="C170" s="188"/>
      <c r="D170" s="188"/>
      <c r="E170" s="119"/>
      <c r="F170" s="410"/>
      <c r="G170" s="188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</row>
    <row r="171" ht="26.25" customHeight="1">
      <c r="A171" s="290"/>
      <c r="B171" s="187"/>
      <c r="C171" s="188"/>
      <c r="D171" s="188"/>
      <c r="E171" s="119"/>
      <c r="F171" s="410"/>
      <c r="G171" s="188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</row>
    <row r="172" ht="26.25" customHeight="1">
      <c r="A172" s="290"/>
      <c r="B172" s="187"/>
      <c r="C172" s="188"/>
      <c r="D172" s="188"/>
      <c r="E172" s="119"/>
      <c r="F172" s="410"/>
      <c r="G172" s="188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</row>
    <row r="173" ht="26.25" customHeight="1">
      <c r="A173" s="290"/>
      <c r="B173" s="187"/>
      <c r="C173" s="188"/>
      <c r="D173" s="188"/>
      <c r="E173" s="119"/>
      <c r="F173" s="410"/>
      <c r="G173" s="188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</row>
    <row r="174" ht="26.25" customHeight="1">
      <c r="A174" s="290"/>
      <c r="B174" s="187"/>
      <c r="C174" s="188"/>
      <c r="D174" s="188"/>
      <c r="E174" s="119"/>
      <c r="F174" s="410"/>
      <c r="G174" s="188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</row>
    <row r="175" ht="26.25" customHeight="1">
      <c r="A175" s="290"/>
      <c r="B175" s="187"/>
      <c r="C175" s="188"/>
      <c r="D175" s="188"/>
      <c r="E175" s="119"/>
      <c r="F175" s="410"/>
      <c r="G175" s="188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</row>
    <row r="176" ht="26.25" customHeight="1">
      <c r="A176" s="290"/>
      <c r="B176" s="187"/>
      <c r="C176" s="188"/>
      <c r="D176" s="188"/>
      <c r="E176" s="119"/>
      <c r="F176" s="410"/>
      <c r="G176" s="188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</row>
    <row r="177" ht="26.25" customHeight="1">
      <c r="A177" s="290"/>
      <c r="B177" s="187"/>
      <c r="C177" s="188"/>
      <c r="D177" s="188"/>
      <c r="E177" s="119"/>
      <c r="F177" s="410"/>
      <c r="G177" s="188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</row>
    <row r="178" ht="26.25" customHeight="1">
      <c r="A178" s="290"/>
      <c r="B178" s="187"/>
      <c r="C178" s="188"/>
      <c r="D178" s="188"/>
      <c r="E178" s="119"/>
      <c r="F178" s="410"/>
      <c r="G178" s="188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</row>
    <row r="179" ht="26.25" customHeight="1">
      <c r="A179" s="290"/>
      <c r="B179" s="187"/>
      <c r="C179" s="188"/>
      <c r="D179" s="188"/>
      <c r="E179" s="119"/>
      <c r="F179" s="410"/>
      <c r="G179" s="188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</row>
    <row r="180" ht="26.25" customHeight="1">
      <c r="A180" s="290"/>
      <c r="B180" s="187"/>
      <c r="C180" s="188"/>
      <c r="D180" s="188"/>
      <c r="E180" s="119"/>
      <c r="F180" s="410"/>
      <c r="G180" s="188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</row>
    <row r="181" ht="26.25" customHeight="1">
      <c r="A181" s="290"/>
      <c r="B181" s="187"/>
      <c r="C181" s="188"/>
      <c r="D181" s="188"/>
      <c r="E181" s="119"/>
      <c r="F181" s="410"/>
      <c r="G181" s="188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</row>
    <row r="182" ht="26.25" customHeight="1">
      <c r="A182" s="290"/>
      <c r="B182" s="187"/>
      <c r="C182" s="188"/>
      <c r="D182" s="188"/>
      <c r="E182" s="119"/>
      <c r="F182" s="410"/>
      <c r="G182" s="188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</row>
    <row r="183" ht="26.25" customHeight="1">
      <c r="A183" s="290"/>
      <c r="B183" s="187"/>
      <c r="C183" s="188"/>
      <c r="D183" s="188"/>
      <c r="E183" s="119"/>
      <c r="F183" s="410"/>
      <c r="G183" s="188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</row>
    <row r="184" ht="26.25" customHeight="1">
      <c r="A184" s="290"/>
      <c r="B184" s="187"/>
      <c r="C184" s="188"/>
      <c r="D184" s="188"/>
      <c r="E184" s="119"/>
      <c r="F184" s="410"/>
      <c r="G184" s="188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</row>
    <row r="185" ht="26.25" customHeight="1">
      <c r="A185" s="290"/>
      <c r="B185" s="187"/>
      <c r="C185" s="188"/>
      <c r="D185" s="188"/>
      <c r="E185" s="119"/>
      <c r="F185" s="410"/>
      <c r="G185" s="188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</row>
    <row r="186" ht="26.25" customHeight="1">
      <c r="A186" s="290"/>
      <c r="B186" s="187"/>
      <c r="C186" s="188"/>
      <c r="D186" s="188"/>
      <c r="E186" s="119"/>
      <c r="F186" s="410"/>
      <c r="G186" s="188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</row>
    <row r="187" ht="26.25" customHeight="1">
      <c r="A187" s="290"/>
      <c r="B187" s="187"/>
      <c r="C187" s="188"/>
      <c r="D187" s="188"/>
      <c r="E187" s="119"/>
      <c r="F187" s="410"/>
      <c r="G187" s="188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</row>
    <row r="188" ht="26.25" customHeight="1">
      <c r="A188" s="290"/>
      <c r="B188" s="187"/>
      <c r="C188" s="188"/>
      <c r="D188" s="188"/>
      <c r="E188" s="119"/>
      <c r="F188" s="410"/>
      <c r="G188" s="188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</row>
    <row r="189" ht="26.25" customHeight="1">
      <c r="A189" s="290"/>
      <c r="B189" s="187"/>
      <c r="C189" s="188"/>
      <c r="D189" s="188"/>
      <c r="E189" s="119"/>
      <c r="F189" s="410"/>
      <c r="G189" s="188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</row>
    <row r="190" ht="26.25" customHeight="1">
      <c r="A190" s="290"/>
      <c r="B190" s="187"/>
      <c r="C190" s="188"/>
      <c r="D190" s="188"/>
      <c r="E190" s="119"/>
      <c r="F190" s="410"/>
      <c r="G190" s="188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</row>
    <row r="191" ht="26.25" customHeight="1">
      <c r="A191" s="290"/>
      <c r="B191" s="187"/>
      <c r="C191" s="188"/>
      <c r="D191" s="188"/>
      <c r="E191" s="119"/>
      <c r="F191" s="410"/>
      <c r="G191" s="188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</row>
    <row r="192" ht="26.25" customHeight="1">
      <c r="A192" s="290"/>
      <c r="B192" s="187"/>
      <c r="C192" s="188"/>
      <c r="D192" s="188"/>
      <c r="E192" s="119"/>
      <c r="F192" s="410"/>
      <c r="G192" s="188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</row>
    <row r="193" ht="26.25" customHeight="1">
      <c r="A193" s="290"/>
      <c r="B193" s="187"/>
      <c r="C193" s="188"/>
      <c r="D193" s="188"/>
      <c r="E193" s="119"/>
      <c r="F193" s="410"/>
      <c r="G193" s="188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</row>
    <row r="194" ht="26.25" customHeight="1">
      <c r="A194" s="290"/>
      <c r="B194" s="187"/>
      <c r="C194" s="188"/>
      <c r="D194" s="188"/>
      <c r="E194" s="119"/>
      <c r="F194" s="410"/>
      <c r="G194" s="188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</row>
    <row r="195" ht="26.25" customHeight="1">
      <c r="A195" s="290"/>
      <c r="B195" s="187"/>
      <c r="C195" s="188"/>
      <c r="D195" s="188"/>
      <c r="E195" s="119"/>
      <c r="F195" s="410"/>
      <c r="G195" s="188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</row>
    <row r="196" ht="26.25" customHeight="1">
      <c r="A196" s="290"/>
      <c r="B196" s="187"/>
      <c r="C196" s="188"/>
      <c r="D196" s="188"/>
      <c r="E196" s="119"/>
      <c r="F196" s="410"/>
      <c r="G196" s="188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</row>
    <row r="197" ht="26.25" customHeight="1">
      <c r="A197" s="290"/>
      <c r="B197" s="187"/>
      <c r="C197" s="188"/>
      <c r="D197" s="188"/>
      <c r="E197" s="119"/>
      <c r="F197" s="410"/>
      <c r="G197" s="188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</row>
    <row r="198" ht="26.25" customHeight="1">
      <c r="A198" s="290"/>
      <c r="B198" s="187"/>
      <c r="C198" s="188"/>
      <c r="D198" s="188"/>
      <c r="E198" s="119"/>
      <c r="F198" s="410"/>
      <c r="G198" s="188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</row>
    <row r="199" ht="26.25" customHeight="1">
      <c r="A199" s="290"/>
      <c r="B199" s="187"/>
      <c r="C199" s="188"/>
      <c r="D199" s="188"/>
      <c r="E199" s="119"/>
      <c r="F199" s="410"/>
      <c r="G199" s="188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</row>
    <row r="200" ht="26.25" customHeight="1">
      <c r="A200" s="290"/>
      <c r="B200" s="187"/>
      <c r="C200" s="188"/>
      <c r="D200" s="188"/>
      <c r="E200" s="119"/>
      <c r="F200" s="410"/>
      <c r="G200" s="188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</row>
    <row r="201" ht="26.25" customHeight="1">
      <c r="A201" s="290"/>
      <c r="B201" s="187"/>
      <c r="C201" s="188"/>
      <c r="D201" s="188"/>
      <c r="E201" s="119"/>
      <c r="F201" s="410"/>
      <c r="G201" s="188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</row>
    <row r="202" ht="26.25" customHeight="1">
      <c r="A202" s="290"/>
      <c r="B202" s="187"/>
      <c r="C202" s="188"/>
      <c r="D202" s="188"/>
      <c r="E202" s="119"/>
      <c r="F202" s="410"/>
      <c r="G202" s="188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</row>
    <row r="203" ht="26.25" customHeight="1">
      <c r="A203" s="290"/>
      <c r="B203" s="187"/>
      <c r="C203" s="188"/>
      <c r="D203" s="188"/>
      <c r="E203" s="119"/>
      <c r="F203" s="410"/>
      <c r="G203" s="188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</row>
    <row r="204" ht="26.25" customHeight="1">
      <c r="A204" s="290"/>
      <c r="B204" s="187"/>
      <c r="C204" s="188"/>
      <c r="D204" s="188"/>
      <c r="E204" s="119"/>
      <c r="F204" s="410"/>
      <c r="G204" s="188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</row>
    <row r="205" ht="26.25" customHeight="1">
      <c r="A205" s="290"/>
      <c r="B205" s="187"/>
      <c r="C205" s="188"/>
      <c r="D205" s="188"/>
      <c r="E205" s="119"/>
      <c r="F205" s="410"/>
      <c r="G205" s="188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</row>
    <row r="206" ht="26.25" customHeight="1">
      <c r="A206" s="290"/>
      <c r="B206" s="187"/>
      <c r="C206" s="188"/>
      <c r="D206" s="188"/>
      <c r="E206" s="119"/>
      <c r="F206" s="410"/>
      <c r="G206" s="188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</row>
    <row r="207" ht="26.25" customHeight="1">
      <c r="A207" s="290"/>
      <c r="B207" s="187"/>
      <c r="C207" s="188"/>
      <c r="D207" s="188"/>
      <c r="E207" s="119"/>
      <c r="F207" s="410"/>
      <c r="G207" s="188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</row>
    <row r="208" ht="26.25" customHeight="1">
      <c r="A208" s="290"/>
      <c r="B208" s="187"/>
      <c r="C208" s="188"/>
      <c r="D208" s="188"/>
      <c r="E208" s="119"/>
      <c r="F208" s="410"/>
      <c r="G208" s="188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</row>
    <row r="209" ht="26.25" customHeight="1">
      <c r="A209" s="290"/>
      <c r="B209" s="187"/>
      <c r="C209" s="188"/>
      <c r="D209" s="188"/>
      <c r="E209" s="119"/>
      <c r="F209" s="410"/>
      <c r="G209" s="188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</row>
    <row r="210" ht="26.25" customHeight="1">
      <c r="A210" s="290"/>
      <c r="B210" s="187"/>
      <c r="C210" s="188"/>
      <c r="D210" s="188"/>
      <c r="E210" s="119"/>
      <c r="F210" s="410"/>
      <c r="G210" s="188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</row>
    <row r="211" ht="26.25" customHeight="1">
      <c r="A211" s="290"/>
      <c r="B211" s="187"/>
      <c r="C211" s="188"/>
      <c r="D211" s="188"/>
      <c r="E211" s="119"/>
      <c r="F211" s="410"/>
      <c r="G211" s="188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</row>
    <row r="212" ht="26.25" customHeight="1">
      <c r="A212" s="290"/>
      <c r="B212" s="187"/>
      <c r="C212" s="188"/>
      <c r="D212" s="188"/>
      <c r="E212" s="119"/>
      <c r="F212" s="410"/>
      <c r="G212" s="188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</row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29"/>
    <col customWidth="1" min="2" max="2" width="11.0"/>
    <col customWidth="1" min="3" max="3" width="11.86"/>
    <col customWidth="1" min="4" max="4" width="17.43"/>
    <col customWidth="1" min="5" max="5" width="16.14"/>
    <col customWidth="1" min="6" max="6" width="12.14"/>
    <col customWidth="1" min="7" max="7" width="14.14"/>
    <col customWidth="1" min="9" max="9" width="8.43"/>
    <col customWidth="1" min="10" max="10" width="12.57"/>
    <col customWidth="1" min="11" max="11" width="10.14"/>
    <col customWidth="1" min="12" max="12" width="9.14"/>
    <col customWidth="1" min="13" max="13" width="6.43"/>
    <col customWidth="1" min="14" max="14" width="11.14"/>
    <col customWidth="1" min="15" max="15" width="7.14"/>
    <col customWidth="1" min="16" max="17" width="9.29"/>
    <col customWidth="1" min="18" max="18" width="13.71"/>
    <col customWidth="1" min="19" max="19" width="12.71"/>
    <col customWidth="1" min="20" max="21" width="8.86"/>
    <col customWidth="1" min="22" max="22" width="10.86"/>
    <col customWidth="1" min="23" max="26" width="8.71"/>
  </cols>
  <sheetData>
    <row r="1" ht="23.25" customHeight="1">
      <c r="A1" s="411"/>
      <c r="B1" s="1"/>
      <c r="C1" s="1"/>
      <c r="D1" s="2" t="s">
        <v>0</v>
      </c>
      <c r="E1" s="3"/>
      <c r="F1" s="3"/>
      <c r="G1" s="3"/>
      <c r="H1" s="3"/>
      <c r="I1" s="3"/>
      <c r="J1" s="4"/>
      <c r="K1" s="2" t="s">
        <v>1</v>
      </c>
      <c r="L1" s="3"/>
      <c r="M1" s="3"/>
      <c r="N1" s="4"/>
      <c r="O1" s="2" t="s">
        <v>2</v>
      </c>
      <c r="P1" s="3"/>
      <c r="Q1" s="4"/>
      <c r="R1" s="412"/>
      <c r="S1" s="412"/>
      <c r="T1" s="412"/>
      <c r="U1" s="412"/>
      <c r="V1" s="412"/>
      <c r="W1" s="412"/>
      <c r="X1" s="412"/>
      <c r="Y1" s="412"/>
      <c r="Z1" s="412"/>
    </row>
    <row r="2" ht="27.0" customHeight="1">
      <c r="A2" s="413" t="s">
        <v>4</v>
      </c>
      <c r="B2" s="414" t="s">
        <v>5</v>
      </c>
      <c r="C2" s="414" t="s">
        <v>6</v>
      </c>
      <c r="D2" s="415" t="s">
        <v>7</v>
      </c>
      <c r="E2" s="415" t="s">
        <v>2291</v>
      </c>
      <c r="F2" s="415" t="s">
        <v>8</v>
      </c>
      <c r="G2" s="415" t="s">
        <v>9</v>
      </c>
      <c r="H2" s="416" t="s">
        <v>10</v>
      </c>
      <c r="I2" s="416" t="s">
        <v>11</v>
      </c>
      <c r="J2" s="416" t="s">
        <v>12</v>
      </c>
      <c r="K2" s="417" t="s">
        <v>13</v>
      </c>
      <c r="L2" s="417" t="s">
        <v>14</v>
      </c>
      <c r="M2" s="417" t="s">
        <v>15</v>
      </c>
      <c r="N2" s="417" t="s">
        <v>16</v>
      </c>
      <c r="O2" s="418" t="s">
        <v>17</v>
      </c>
      <c r="P2" s="418" t="s">
        <v>18</v>
      </c>
      <c r="Q2" s="418" t="s">
        <v>19</v>
      </c>
      <c r="R2" s="419" t="s">
        <v>20</v>
      </c>
      <c r="S2" s="420" t="s">
        <v>21</v>
      </c>
      <c r="T2" s="421"/>
      <c r="U2" s="421"/>
      <c r="V2" s="421"/>
      <c r="W2" s="421"/>
      <c r="X2" s="421"/>
      <c r="Y2" s="421"/>
      <c r="Z2" s="421"/>
    </row>
    <row r="3" ht="13.5" customHeight="1">
      <c r="A3" s="422"/>
      <c r="B3" s="423">
        <v>46054.0</v>
      </c>
      <c r="C3" s="424" t="s">
        <v>81</v>
      </c>
      <c r="D3" s="425" t="s">
        <v>82</v>
      </c>
      <c r="E3" s="425" t="s">
        <v>83</v>
      </c>
      <c r="F3" s="426"/>
      <c r="G3" s="425" t="s">
        <v>84</v>
      </c>
      <c r="H3" s="427" t="s">
        <v>85</v>
      </c>
      <c r="I3" s="428"/>
      <c r="J3" s="428"/>
      <c r="K3" s="429"/>
      <c r="L3" s="429"/>
      <c r="M3" s="430"/>
      <c r="N3" s="429"/>
      <c r="O3" s="431">
        <v>775.0</v>
      </c>
      <c r="P3" s="432"/>
      <c r="Q3" s="432">
        <v>35.0</v>
      </c>
      <c r="R3" s="433"/>
      <c r="S3" s="434"/>
      <c r="T3" s="435"/>
      <c r="U3" s="435"/>
      <c r="V3" s="436"/>
      <c r="W3" s="435"/>
      <c r="X3" s="435"/>
      <c r="Y3" s="435"/>
      <c r="Z3" s="435"/>
    </row>
    <row r="4" ht="13.5" customHeight="1">
      <c r="A4" s="422"/>
      <c r="B4" s="423">
        <v>46054.0</v>
      </c>
      <c r="C4" s="437"/>
      <c r="D4" s="426"/>
      <c r="E4" s="425" t="s">
        <v>2292</v>
      </c>
      <c r="F4" s="426"/>
      <c r="G4" s="426"/>
      <c r="H4" s="428"/>
      <c r="I4" s="428"/>
      <c r="J4" s="428"/>
      <c r="K4" s="429"/>
      <c r="L4" s="429"/>
      <c r="M4" s="429"/>
      <c r="N4" s="429">
        <v>35.0</v>
      </c>
      <c r="O4" s="431"/>
      <c r="P4" s="432"/>
      <c r="Q4" s="432"/>
      <c r="R4" s="433"/>
      <c r="S4" s="434"/>
      <c r="T4" s="435"/>
      <c r="U4" s="435"/>
      <c r="V4" s="435"/>
      <c r="W4" s="435"/>
      <c r="X4" s="435"/>
      <c r="Y4" s="435"/>
      <c r="Z4" s="435"/>
    </row>
    <row r="5" ht="13.5" customHeight="1">
      <c r="A5" s="422"/>
      <c r="B5" s="423">
        <v>46054.0</v>
      </c>
      <c r="C5" s="437"/>
      <c r="D5" s="426"/>
      <c r="E5" s="425" t="s">
        <v>2293</v>
      </c>
      <c r="F5" s="426"/>
      <c r="G5" s="426"/>
      <c r="H5" s="428"/>
      <c r="I5" s="428"/>
      <c r="J5" s="428"/>
      <c r="K5" s="429"/>
      <c r="L5" s="429"/>
      <c r="M5" s="429">
        <v>300.0</v>
      </c>
      <c r="N5" s="429"/>
      <c r="O5" s="431">
        <v>70.0</v>
      </c>
      <c r="P5" s="432"/>
      <c r="Q5" s="432"/>
      <c r="R5" s="433"/>
      <c r="S5" s="434"/>
      <c r="T5" s="435"/>
      <c r="U5" s="435"/>
      <c r="V5" s="435"/>
      <c r="W5" s="435"/>
      <c r="X5" s="435"/>
      <c r="Y5" s="435"/>
      <c r="Z5" s="435"/>
    </row>
    <row r="6" ht="13.5" customHeight="1">
      <c r="A6" s="422"/>
      <c r="B6" s="423"/>
      <c r="C6" s="437"/>
      <c r="D6" s="426"/>
      <c r="E6" s="425" t="s">
        <v>2294</v>
      </c>
      <c r="F6" s="426"/>
      <c r="G6" s="426"/>
      <c r="H6" s="428"/>
      <c r="I6" s="428"/>
      <c r="J6" s="428"/>
      <c r="K6" s="429"/>
      <c r="L6" s="429"/>
      <c r="M6" s="429"/>
      <c r="N6" s="429"/>
      <c r="O6" s="431"/>
      <c r="P6" s="432"/>
      <c r="Q6" s="432"/>
      <c r="R6" s="438" t="s">
        <v>2295</v>
      </c>
      <c r="S6" s="434"/>
      <c r="T6" s="435"/>
      <c r="U6" s="435"/>
      <c r="V6" s="435"/>
      <c r="W6" s="435"/>
      <c r="X6" s="435"/>
      <c r="Y6" s="435"/>
      <c r="Z6" s="435"/>
    </row>
    <row r="7" ht="13.5" customHeight="1">
      <c r="A7" s="422"/>
      <c r="B7" s="423"/>
      <c r="C7" s="437"/>
      <c r="D7" s="439"/>
      <c r="E7" s="440" t="s">
        <v>2296</v>
      </c>
      <c r="F7" s="439"/>
      <c r="G7" s="439"/>
      <c r="H7" s="441"/>
      <c r="I7" s="441"/>
      <c r="J7" s="441"/>
      <c r="K7" s="442"/>
      <c r="L7" s="442"/>
      <c r="M7" s="442"/>
      <c r="N7" s="442"/>
      <c r="O7" s="443"/>
      <c r="P7" s="444"/>
      <c r="Q7" s="444"/>
      <c r="R7" s="445"/>
      <c r="S7" s="446"/>
      <c r="T7" s="435"/>
      <c r="U7" s="435"/>
      <c r="V7" s="435"/>
      <c r="W7" s="435"/>
      <c r="X7" s="435"/>
      <c r="Y7" s="435"/>
      <c r="Z7" s="435"/>
    </row>
    <row r="8" ht="13.5" customHeight="1">
      <c r="A8" s="422"/>
      <c r="B8" s="423"/>
      <c r="C8" s="447"/>
      <c r="D8" s="448"/>
      <c r="E8" s="426"/>
      <c r="F8" s="426"/>
      <c r="G8" s="426"/>
      <c r="H8" s="428"/>
      <c r="I8" s="428"/>
      <c r="J8" s="428"/>
      <c r="K8" s="429"/>
      <c r="L8" s="429"/>
      <c r="M8" s="449"/>
      <c r="N8" s="449"/>
      <c r="O8" s="450"/>
      <c r="P8" s="451"/>
      <c r="Q8" s="451"/>
      <c r="R8" s="446"/>
      <c r="S8" s="446"/>
      <c r="T8" s="435"/>
      <c r="U8" s="435"/>
      <c r="V8" s="435"/>
      <c r="W8" s="435"/>
      <c r="X8" s="435"/>
      <c r="Y8" s="435"/>
      <c r="Z8" s="435"/>
    </row>
    <row r="9" ht="13.5" customHeight="1">
      <c r="A9" s="452"/>
      <c r="B9" s="453"/>
      <c r="C9" s="454"/>
      <c r="D9" s="455"/>
      <c r="E9" s="456"/>
      <c r="F9" s="456"/>
      <c r="G9" s="456"/>
      <c r="H9" s="454"/>
      <c r="I9" s="454"/>
      <c r="J9" s="454"/>
      <c r="K9" s="454"/>
      <c r="L9" s="454"/>
      <c r="M9" s="457"/>
      <c r="N9" s="458"/>
      <c r="O9" s="459"/>
      <c r="P9" s="460"/>
      <c r="Q9" s="460"/>
      <c r="R9" s="459"/>
      <c r="S9" s="459"/>
      <c r="T9" s="459"/>
      <c r="U9" s="459"/>
      <c r="V9" s="459"/>
      <c r="W9" s="459"/>
      <c r="X9" s="459"/>
      <c r="Y9" s="459"/>
      <c r="Z9" s="459"/>
    </row>
    <row r="10" ht="27.0" customHeight="1">
      <c r="A10" s="413" t="s">
        <v>4</v>
      </c>
      <c r="B10" s="414" t="s">
        <v>5</v>
      </c>
      <c r="C10" s="414" t="s">
        <v>6</v>
      </c>
      <c r="D10" s="415" t="s">
        <v>7</v>
      </c>
      <c r="E10" s="415" t="s">
        <v>2291</v>
      </c>
      <c r="F10" s="415" t="s">
        <v>8</v>
      </c>
      <c r="G10" s="415" t="s">
        <v>9</v>
      </c>
      <c r="H10" s="416" t="s">
        <v>10</v>
      </c>
      <c r="I10" s="416" t="s">
        <v>11</v>
      </c>
      <c r="J10" s="416" t="s">
        <v>12</v>
      </c>
      <c r="K10" s="417" t="s">
        <v>13</v>
      </c>
      <c r="L10" s="417" t="s">
        <v>14</v>
      </c>
      <c r="M10" s="417" t="s">
        <v>15</v>
      </c>
      <c r="N10" s="417" t="s">
        <v>16</v>
      </c>
      <c r="O10" s="418" t="s">
        <v>17</v>
      </c>
      <c r="P10" s="418" t="s">
        <v>18</v>
      </c>
      <c r="Q10" s="418" t="s">
        <v>19</v>
      </c>
      <c r="R10" s="419" t="s">
        <v>20</v>
      </c>
      <c r="S10" s="420" t="s">
        <v>21</v>
      </c>
      <c r="T10" s="421"/>
      <c r="U10" s="421"/>
      <c r="V10" s="421"/>
      <c r="W10" s="421"/>
      <c r="X10" s="421"/>
      <c r="Y10" s="421"/>
      <c r="Z10" s="421"/>
    </row>
    <row r="11" ht="13.5" customHeight="1">
      <c r="A11" s="422"/>
      <c r="B11" s="423">
        <v>46055.0</v>
      </c>
      <c r="C11" s="437"/>
      <c r="D11" s="425" t="s">
        <v>82</v>
      </c>
      <c r="E11" s="425" t="s">
        <v>2297</v>
      </c>
      <c r="F11" s="426"/>
      <c r="G11" s="426"/>
      <c r="H11" s="428"/>
      <c r="I11" s="428"/>
      <c r="J11" s="428"/>
      <c r="K11" s="429"/>
      <c r="L11" s="429"/>
      <c r="M11" s="430"/>
      <c r="N11" s="429"/>
      <c r="O11" s="431"/>
      <c r="P11" s="432"/>
      <c r="Q11" s="432"/>
      <c r="R11" s="433"/>
      <c r="S11" s="434"/>
      <c r="T11" s="412"/>
      <c r="U11" s="412"/>
      <c r="V11" s="412"/>
      <c r="W11" s="412"/>
      <c r="X11" s="412"/>
      <c r="Y11" s="412"/>
      <c r="Z11" s="412"/>
    </row>
    <row r="12" ht="13.5" customHeight="1">
      <c r="A12" s="422"/>
      <c r="B12" s="423">
        <v>46055.0</v>
      </c>
      <c r="C12" s="437"/>
      <c r="D12" s="426"/>
      <c r="E12" s="425" t="s">
        <v>2298</v>
      </c>
      <c r="F12" s="426"/>
      <c r="G12" s="426"/>
      <c r="H12" s="428"/>
      <c r="I12" s="428"/>
      <c r="J12" s="428"/>
      <c r="K12" s="429"/>
      <c r="L12" s="429"/>
      <c r="M12" s="429"/>
      <c r="N12" s="429"/>
      <c r="O12" s="431"/>
      <c r="P12" s="432"/>
      <c r="Q12" s="432"/>
      <c r="R12" s="433"/>
      <c r="S12" s="434"/>
      <c r="T12" s="412"/>
      <c r="U12" s="412"/>
      <c r="V12" s="412"/>
      <c r="W12" s="412"/>
      <c r="X12" s="412"/>
      <c r="Y12" s="412"/>
      <c r="Z12" s="412"/>
    </row>
    <row r="13" ht="13.5" customHeight="1">
      <c r="A13" s="422"/>
      <c r="B13" s="423">
        <v>46055.0</v>
      </c>
      <c r="C13" s="437"/>
      <c r="D13" s="426"/>
      <c r="E13" s="425" t="s">
        <v>2299</v>
      </c>
      <c r="F13" s="426"/>
      <c r="G13" s="426"/>
      <c r="H13" s="428"/>
      <c r="I13" s="428"/>
      <c r="J13" s="428"/>
      <c r="K13" s="429"/>
      <c r="L13" s="429"/>
      <c r="M13" s="429"/>
      <c r="N13" s="429"/>
      <c r="O13" s="431"/>
      <c r="P13" s="432"/>
      <c r="Q13" s="432"/>
      <c r="R13" s="433"/>
      <c r="S13" s="434"/>
      <c r="T13" s="412"/>
      <c r="U13" s="412"/>
      <c r="V13" s="412"/>
      <c r="W13" s="412"/>
      <c r="X13" s="412"/>
      <c r="Y13" s="412"/>
      <c r="Z13" s="412"/>
    </row>
    <row r="14" ht="13.5" customHeight="1">
      <c r="A14" s="422"/>
      <c r="B14" s="423">
        <v>46055.0</v>
      </c>
      <c r="C14" s="437"/>
      <c r="D14" s="426"/>
      <c r="E14" s="425" t="s">
        <v>2300</v>
      </c>
      <c r="F14" s="426"/>
      <c r="G14" s="426"/>
      <c r="H14" s="428"/>
      <c r="I14" s="428"/>
      <c r="J14" s="428"/>
      <c r="K14" s="429"/>
      <c r="L14" s="430"/>
      <c r="M14" s="430"/>
      <c r="N14" s="429"/>
      <c r="O14" s="431"/>
      <c r="P14" s="432"/>
      <c r="Q14" s="432"/>
      <c r="R14" s="433"/>
      <c r="S14" s="434"/>
      <c r="T14" s="412"/>
      <c r="U14" s="412"/>
      <c r="V14" s="412"/>
      <c r="W14" s="412"/>
      <c r="X14" s="412"/>
      <c r="Y14" s="412"/>
      <c r="Z14" s="412"/>
    </row>
    <row r="15" ht="13.5" customHeight="1">
      <c r="A15" s="422"/>
      <c r="B15" s="423">
        <v>46055.0</v>
      </c>
      <c r="C15" s="437"/>
      <c r="D15" s="439"/>
      <c r="E15" s="440" t="s">
        <v>2301</v>
      </c>
      <c r="F15" s="439"/>
      <c r="G15" s="439"/>
      <c r="H15" s="441"/>
      <c r="I15" s="441"/>
      <c r="J15" s="441"/>
      <c r="K15" s="442"/>
      <c r="L15" s="442"/>
      <c r="M15" s="461"/>
      <c r="N15" s="442"/>
      <c r="O15" s="443"/>
      <c r="P15" s="444"/>
      <c r="Q15" s="444"/>
      <c r="R15" s="445"/>
      <c r="S15" s="446"/>
      <c r="T15" s="412"/>
      <c r="U15" s="412"/>
      <c r="V15" s="412"/>
      <c r="W15" s="412"/>
      <c r="X15" s="412"/>
      <c r="Y15" s="412"/>
      <c r="Z15" s="412"/>
    </row>
    <row r="16" ht="13.5" customHeight="1">
      <c r="A16" s="422"/>
      <c r="B16" s="423"/>
      <c r="C16" s="437"/>
      <c r="D16" s="426"/>
      <c r="E16" s="426"/>
      <c r="F16" s="426"/>
      <c r="G16" s="426"/>
      <c r="H16" s="428"/>
      <c r="I16" s="428"/>
      <c r="J16" s="428"/>
      <c r="K16" s="429"/>
      <c r="L16" s="429"/>
      <c r="M16" s="430"/>
      <c r="N16" s="429"/>
      <c r="O16" s="431"/>
      <c r="P16" s="432"/>
      <c r="Q16" s="432"/>
      <c r="R16" s="433"/>
      <c r="S16" s="434"/>
      <c r="T16" s="412"/>
      <c r="U16" s="412"/>
      <c r="V16" s="412"/>
      <c r="W16" s="412"/>
      <c r="X16" s="412"/>
      <c r="Y16" s="412"/>
      <c r="Z16" s="412"/>
    </row>
    <row r="17" ht="13.5" customHeight="1">
      <c r="A17" s="422"/>
      <c r="B17" s="423"/>
      <c r="C17" s="437"/>
      <c r="D17" s="426"/>
      <c r="E17" s="426"/>
      <c r="F17" s="426"/>
      <c r="G17" s="426"/>
      <c r="H17" s="428"/>
      <c r="I17" s="428"/>
      <c r="J17" s="428"/>
      <c r="K17" s="429"/>
      <c r="L17" s="429"/>
      <c r="M17" s="430"/>
      <c r="N17" s="429"/>
      <c r="O17" s="431"/>
      <c r="P17" s="432"/>
      <c r="Q17" s="432"/>
      <c r="R17" s="433"/>
      <c r="S17" s="434"/>
      <c r="T17" s="412"/>
      <c r="U17" s="412"/>
      <c r="V17" s="412"/>
      <c r="W17" s="412"/>
      <c r="X17" s="412"/>
      <c r="Y17" s="412"/>
      <c r="Z17" s="412"/>
    </row>
    <row r="18" ht="13.5" customHeight="1">
      <c r="A18" s="462"/>
      <c r="B18" s="463"/>
      <c r="C18" s="458"/>
      <c r="D18" s="464"/>
      <c r="E18" s="464"/>
      <c r="F18" s="464"/>
      <c r="G18" s="464"/>
      <c r="H18" s="458"/>
      <c r="I18" s="458"/>
      <c r="J18" s="458"/>
      <c r="K18" s="458"/>
      <c r="L18" s="458"/>
      <c r="M18" s="457"/>
      <c r="N18" s="458"/>
      <c r="O18" s="458"/>
      <c r="P18" s="465"/>
      <c r="Q18" s="465"/>
      <c r="R18" s="458"/>
      <c r="S18" s="466"/>
      <c r="T18" s="467"/>
      <c r="U18" s="467"/>
      <c r="V18" s="467"/>
      <c r="W18" s="467"/>
      <c r="X18" s="467"/>
      <c r="Y18" s="467"/>
      <c r="Z18" s="467"/>
    </row>
    <row r="19" ht="27.0" customHeight="1">
      <c r="A19" s="413" t="s">
        <v>4</v>
      </c>
      <c r="B19" s="414" t="s">
        <v>5</v>
      </c>
      <c r="C19" s="414" t="s">
        <v>6</v>
      </c>
      <c r="D19" s="468" t="s">
        <v>7</v>
      </c>
      <c r="E19" s="415" t="s">
        <v>2291</v>
      </c>
      <c r="F19" s="415" t="s">
        <v>8</v>
      </c>
      <c r="G19" s="415" t="s">
        <v>9</v>
      </c>
      <c r="H19" s="416" t="s">
        <v>10</v>
      </c>
      <c r="I19" s="416" t="s">
        <v>11</v>
      </c>
      <c r="J19" s="416" t="s">
        <v>12</v>
      </c>
      <c r="K19" s="417" t="s">
        <v>13</v>
      </c>
      <c r="L19" s="417" t="s">
        <v>14</v>
      </c>
      <c r="M19" s="417" t="s">
        <v>15</v>
      </c>
      <c r="N19" s="417" t="s">
        <v>16</v>
      </c>
      <c r="O19" s="418" t="s">
        <v>17</v>
      </c>
      <c r="P19" s="418" t="s">
        <v>18</v>
      </c>
      <c r="Q19" s="418" t="s">
        <v>19</v>
      </c>
      <c r="R19" s="419" t="s">
        <v>20</v>
      </c>
      <c r="S19" s="420" t="s">
        <v>21</v>
      </c>
      <c r="T19" s="421"/>
      <c r="U19" s="421"/>
      <c r="V19" s="421"/>
      <c r="W19" s="421"/>
      <c r="X19" s="421"/>
      <c r="Y19" s="421"/>
      <c r="Z19" s="421"/>
    </row>
    <row r="20" ht="13.5" customHeight="1">
      <c r="A20" s="422"/>
      <c r="B20" s="423">
        <v>46056.0</v>
      </c>
      <c r="C20" s="423"/>
      <c r="D20" s="425" t="s">
        <v>2302</v>
      </c>
      <c r="E20" s="425" t="s">
        <v>2303</v>
      </c>
      <c r="F20" s="426"/>
      <c r="G20" s="426"/>
      <c r="H20" s="428"/>
      <c r="I20" s="428"/>
      <c r="J20" s="428"/>
      <c r="K20" s="429"/>
      <c r="L20" s="429"/>
      <c r="M20" s="430"/>
      <c r="N20" s="429"/>
      <c r="O20" s="431"/>
      <c r="P20" s="432"/>
      <c r="Q20" s="432"/>
      <c r="R20" s="433"/>
      <c r="S20" s="434"/>
      <c r="T20" s="412"/>
      <c r="U20" s="412"/>
      <c r="V20" s="412"/>
      <c r="W20" s="412"/>
      <c r="X20" s="412"/>
      <c r="Y20" s="412"/>
      <c r="Z20" s="412"/>
    </row>
    <row r="21" ht="13.5" customHeight="1">
      <c r="A21" s="422"/>
      <c r="B21" s="423">
        <v>46056.0</v>
      </c>
      <c r="C21" s="437"/>
      <c r="D21" s="426"/>
      <c r="E21" s="425" t="s">
        <v>2304</v>
      </c>
      <c r="F21" s="426"/>
      <c r="G21" s="426"/>
      <c r="H21" s="428"/>
      <c r="I21" s="428"/>
      <c r="J21" s="428"/>
      <c r="K21" s="429"/>
      <c r="L21" s="429"/>
      <c r="M21" s="430"/>
      <c r="N21" s="429"/>
      <c r="O21" s="431"/>
      <c r="P21" s="432"/>
      <c r="Q21" s="432"/>
      <c r="R21" s="433"/>
      <c r="S21" s="434"/>
      <c r="T21" s="412"/>
      <c r="U21" s="412"/>
      <c r="V21" s="412"/>
      <c r="W21" s="412"/>
      <c r="X21" s="412"/>
      <c r="Y21" s="412"/>
      <c r="Z21" s="412"/>
    </row>
    <row r="22" ht="13.5" customHeight="1">
      <c r="A22" s="422"/>
      <c r="B22" s="423">
        <v>46056.0</v>
      </c>
      <c r="C22" s="437"/>
      <c r="D22" s="426"/>
      <c r="E22" s="425" t="s">
        <v>2305</v>
      </c>
      <c r="F22" s="426"/>
      <c r="G22" s="426"/>
      <c r="H22" s="428"/>
      <c r="I22" s="428"/>
      <c r="J22" s="428"/>
      <c r="K22" s="429"/>
      <c r="L22" s="429"/>
      <c r="M22" s="430"/>
      <c r="N22" s="429"/>
      <c r="O22" s="431"/>
      <c r="P22" s="432"/>
      <c r="Q22" s="432"/>
      <c r="R22" s="433"/>
      <c r="S22" s="434"/>
      <c r="T22" s="412"/>
      <c r="U22" s="412"/>
      <c r="V22" s="412"/>
      <c r="W22" s="412"/>
      <c r="X22" s="412"/>
      <c r="Y22" s="412"/>
      <c r="Z22" s="412"/>
    </row>
    <row r="23" ht="13.5" customHeight="1">
      <c r="A23" s="422"/>
      <c r="B23" s="423">
        <v>46056.0</v>
      </c>
      <c r="C23" s="437"/>
      <c r="D23" s="426"/>
      <c r="E23" s="425" t="s">
        <v>2306</v>
      </c>
      <c r="F23" s="426"/>
      <c r="G23" s="426"/>
      <c r="H23" s="428"/>
      <c r="I23" s="428"/>
      <c r="J23" s="428"/>
      <c r="K23" s="429"/>
      <c r="L23" s="429"/>
      <c r="M23" s="430"/>
      <c r="N23" s="429"/>
      <c r="O23" s="431"/>
      <c r="P23" s="432"/>
      <c r="Q23" s="432"/>
      <c r="R23" s="433"/>
      <c r="S23" s="434"/>
      <c r="T23" s="412"/>
      <c r="U23" s="412"/>
      <c r="V23" s="412"/>
      <c r="W23" s="412"/>
      <c r="X23" s="412"/>
      <c r="Y23" s="412"/>
      <c r="Z23" s="412"/>
    </row>
    <row r="24" ht="13.5" customHeight="1">
      <c r="A24" s="422"/>
      <c r="B24" s="423">
        <v>46056.0</v>
      </c>
      <c r="C24" s="437"/>
      <c r="D24" s="426"/>
      <c r="E24" s="425" t="s">
        <v>2307</v>
      </c>
      <c r="F24" s="426"/>
      <c r="G24" s="426"/>
      <c r="H24" s="428"/>
      <c r="I24" s="428"/>
      <c r="J24" s="428"/>
      <c r="K24" s="429"/>
      <c r="L24" s="429"/>
      <c r="M24" s="430"/>
      <c r="N24" s="429"/>
      <c r="O24" s="431"/>
      <c r="P24" s="432"/>
      <c r="Q24" s="432"/>
      <c r="R24" s="433"/>
      <c r="S24" s="434"/>
      <c r="T24" s="412"/>
      <c r="U24" s="412"/>
      <c r="V24" s="412"/>
      <c r="W24" s="412"/>
      <c r="X24" s="412"/>
      <c r="Y24" s="412"/>
      <c r="Z24" s="412"/>
    </row>
    <row r="25" ht="13.5" customHeight="1">
      <c r="A25" s="422"/>
      <c r="B25" s="423">
        <v>46056.0</v>
      </c>
      <c r="C25" s="437"/>
      <c r="D25" s="426"/>
      <c r="E25" s="425" t="s">
        <v>2308</v>
      </c>
      <c r="F25" s="426"/>
      <c r="G25" s="426"/>
      <c r="H25" s="428"/>
      <c r="I25" s="428"/>
      <c r="J25" s="428"/>
      <c r="K25" s="429"/>
      <c r="L25" s="429"/>
      <c r="M25" s="430"/>
      <c r="N25" s="429"/>
      <c r="O25" s="431"/>
      <c r="P25" s="432"/>
      <c r="Q25" s="432"/>
      <c r="R25" s="433"/>
      <c r="S25" s="434"/>
      <c r="T25" s="412"/>
      <c r="U25" s="412"/>
      <c r="V25" s="412"/>
      <c r="W25" s="412"/>
      <c r="X25" s="412"/>
      <c r="Y25" s="412"/>
      <c r="Z25" s="412"/>
    </row>
    <row r="26" ht="13.5" customHeight="1">
      <c r="A26" s="422"/>
      <c r="B26" s="423">
        <v>46056.0</v>
      </c>
      <c r="C26" s="437"/>
      <c r="D26" s="426"/>
      <c r="E26" s="425" t="s">
        <v>2309</v>
      </c>
      <c r="F26" s="425" t="s">
        <v>2310</v>
      </c>
      <c r="G26" s="426"/>
      <c r="H26" s="428"/>
      <c r="I26" s="428"/>
      <c r="J26" s="428"/>
      <c r="K26" s="429"/>
      <c r="L26" s="429"/>
      <c r="M26" s="430"/>
      <c r="N26" s="429"/>
      <c r="O26" s="431"/>
      <c r="P26" s="432"/>
      <c r="Q26" s="432"/>
      <c r="R26" s="433"/>
      <c r="S26" s="434"/>
      <c r="T26" s="412"/>
      <c r="U26" s="412"/>
      <c r="V26" s="412"/>
      <c r="W26" s="412"/>
      <c r="X26" s="412"/>
      <c r="Y26" s="412"/>
      <c r="Z26" s="412"/>
    </row>
    <row r="27" ht="13.5" customHeight="1">
      <c r="A27" s="462"/>
      <c r="B27" s="463"/>
      <c r="C27" s="458"/>
      <c r="D27" s="464"/>
      <c r="E27" s="464"/>
      <c r="F27" s="464"/>
      <c r="G27" s="464"/>
      <c r="H27" s="458"/>
      <c r="I27" s="458"/>
      <c r="J27" s="458"/>
      <c r="K27" s="458"/>
      <c r="L27" s="458"/>
      <c r="M27" s="457"/>
      <c r="N27" s="458"/>
      <c r="O27" s="458"/>
      <c r="P27" s="465"/>
      <c r="Q27" s="465"/>
      <c r="R27" s="458"/>
      <c r="S27" s="466"/>
      <c r="T27" s="467"/>
      <c r="U27" s="467"/>
      <c r="V27" s="467"/>
      <c r="W27" s="467"/>
      <c r="X27" s="467"/>
      <c r="Y27" s="467"/>
      <c r="Z27" s="467"/>
    </row>
    <row r="28" ht="13.5" customHeight="1">
      <c r="A28" s="452"/>
      <c r="B28" s="453"/>
      <c r="C28" s="454"/>
      <c r="D28" s="456"/>
      <c r="E28" s="456"/>
      <c r="F28" s="456"/>
      <c r="G28" s="456"/>
      <c r="H28" s="454"/>
      <c r="I28" s="454"/>
      <c r="J28" s="454"/>
      <c r="K28" s="454"/>
      <c r="L28" s="454"/>
      <c r="M28" s="469"/>
      <c r="N28" s="454"/>
      <c r="O28" s="454"/>
      <c r="P28" s="470"/>
      <c r="Q28" s="470"/>
      <c r="R28" s="454"/>
      <c r="S28" s="471"/>
      <c r="T28" s="467"/>
      <c r="U28" s="467"/>
      <c r="V28" s="467"/>
      <c r="W28" s="467"/>
      <c r="X28" s="467"/>
      <c r="Y28" s="467"/>
      <c r="Z28" s="467"/>
    </row>
    <row r="29" ht="27.0" customHeight="1">
      <c r="A29" s="413" t="s">
        <v>4</v>
      </c>
      <c r="B29" s="414" t="s">
        <v>5</v>
      </c>
      <c r="C29" s="414" t="s">
        <v>6</v>
      </c>
      <c r="D29" s="468" t="s">
        <v>7</v>
      </c>
      <c r="E29" s="415" t="s">
        <v>2291</v>
      </c>
      <c r="F29" s="415" t="s">
        <v>8</v>
      </c>
      <c r="G29" s="415" t="s">
        <v>9</v>
      </c>
      <c r="H29" s="416" t="s">
        <v>10</v>
      </c>
      <c r="I29" s="416" t="s">
        <v>11</v>
      </c>
      <c r="J29" s="416" t="s">
        <v>12</v>
      </c>
      <c r="K29" s="417" t="s">
        <v>13</v>
      </c>
      <c r="L29" s="417" t="s">
        <v>14</v>
      </c>
      <c r="M29" s="417" t="s">
        <v>15</v>
      </c>
      <c r="N29" s="417" t="s">
        <v>16</v>
      </c>
      <c r="O29" s="418" t="s">
        <v>17</v>
      </c>
      <c r="P29" s="418" t="s">
        <v>18</v>
      </c>
      <c r="Q29" s="418" t="s">
        <v>19</v>
      </c>
      <c r="R29" s="419" t="s">
        <v>20</v>
      </c>
      <c r="S29" s="420" t="s">
        <v>21</v>
      </c>
      <c r="T29" s="421"/>
      <c r="U29" s="421"/>
      <c r="V29" s="421"/>
      <c r="W29" s="421"/>
      <c r="X29" s="421"/>
      <c r="Y29" s="421"/>
      <c r="Z29" s="421"/>
    </row>
    <row r="30" ht="13.5" customHeight="1">
      <c r="A30" s="422"/>
      <c r="B30" s="423">
        <v>46057.0</v>
      </c>
      <c r="C30" s="437"/>
      <c r="D30" s="425" t="s">
        <v>2311</v>
      </c>
      <c r="E30" s="425" t="s">
        <v>2312</v>
      </c>
      <c r="F30" s="426"/>
      <c r="G30" s="426"/>
      <c r="H30" s="428"/>
      <c r="I30" s="428"/>
      <c r="J30" s="428"/>
      <c r="K30" s="429"/>
      <c r="L30" s="429"/>
      <c r="M30" s="430"/>
      <c r="N30" s="429"/>
      <c r="O30" s="431"/>
      <c r="P30" s="432"/>
      <c r="Q30" s="432"/>
      <c r="R30" s="433"/>
      <c r="S30" s="434"/>
      <c r="T30" s="412"/>
      <c r="U30" s="412"/>
      <c r="V30" s="412"/>
      <c r="W30" s="412"/>
      <c r="X30" s="412"/>
      <c r="Y30" s="412"/>
      <c r="Z30" s="412"/>
    </row>
    <row r="31" ht="13.5" customHeight="1">
      <c r="A31" s="422"/>
      <c r="B31" s="423">
        <v>46057.0</v>
      </c>
      <c r="C31" s="437"/>
      <c r="D31" s="426"/>
      <c r="E31" s="425" t="s">
        <v>2313</v>
      </c>
      <c r="F31" s="426"/>
      <c r="G31" s="426"/>
      <c r="H31" s="428"/>
      <c r="I31" s="428"/>
      <c r="J31" s="428"/>
      <c r="K31" s="429"/>
      <c r="L31" s="429"/>
      <c r="M31" s="430"/>
      <c r="N31" s="429"/>
      <c r="O31" s="431"/>
      <c r="P31" s="432"/>
      <c r="Q31" s="432"/>
      <c r="R31" s="433"/>
      <c r="S31" s="434"/>
      <c r="T31" s="412"/>
      <c r="U31" s="412"/>
      <c r="V31" s="412"/>
      <c r="W31" s="412"/>
      <c r="X31" s="412"/>
      <c r="Y31" s="412"/>
      <c r="Z31" s="412"/>
    </row>
    <row r="32" ht="13.5" customHeight="1">
      <c r="A32" s="422"/>
      <c r="B32" s="423">
        <v>46057.0</v>
      </c>
      <c r="C32" s="437"/>
      <c r="D32" s="426"/>
      <c r="E32" s="425" t="s">
        <v>2314</v>
      </c>
      <c r="F32" s="426"/>
      <c r="G32" s="426"/>
      <c r="H32" s="428"/>
      <c r="I32" s="428"/>
      <c r="J32" s="428"/>
      <c r="K32" s="429"/>
      <c r="L32" s="429"/>
      <c r="M32" s="430"/>
      <c r="N32" s="429"/>
      <c r="O32" s="431"/>
      <c r="P32" s="432"/>
      <c r="Q32" s="432"/>
      <c r="R32" s="433"/>
      <c r="S32" s="434"/>
      <c r="T32" s="412"/>
      <c r="U32" s="412"/>
      <c r="V32" s="412"/>
      <c r="W32" s="412"/>
      <c r="X32" s="412"/>
      <c r="Y32" s="412"/>
      <c r="Z32" s="412"/>
    </row>
    <row r="33" ht="13.5" customHeight="1">
      <c r="A33" s="422"/>
      <c r="B33" s="423">
        <v>46057.0</v>
      </c>
      <c r="C33" s="437"/>
      <c r="D33" s="426"/>
      <c r="E33" s="425" t="s">
        <v>2315</v>
      </c>
      <c r="F33" s="426"/>
      <c r="G33" s="426"/>
      <c r="H33" s="428"/>
      <c r="I33" s="428"/>
      <c r="J33" s="428"/>
      <c r="K33" s="429"/>
      <c r="L33" s="472">
        <v>46058.0</v>
      </c>
      <c r="M33" s="430"/>
      <c r="N33" s="429"/>
      <c r="O33" s="431"/>
      <c r="P33" s="432"/>
      <c r="Q33" s="432"/>
      <c r="R33" s="433"/>
      <c r="S33" s="434"/>
      <c r="T33" s="412"/>
      <c r="U33" s="412"/>
      <c r="V33" s="412"/>
      <c r="W33" s="412"/>
      <c r="X33" s="412"/>
      <c r="Y33" s="412"/>
      <c r="Z33" s="412"/>
    </row>
    <row r="34" ht="13.5" customHeight="1">
      <c r="A34" s="422"/>
      <c r="B34" s="423">
        <v>46057.0</v>
      </c>
      <c r="C34" s="437"/>
      <c r="D34" s="426"/>
      <c r="E34" s="425" t="s">
        <v>2316</v>
      </c>
      <c r="F34" s="426"/>
      <c r="G34" s="426"/>
      <c r="H34" s="428"/>
      <c r="I34" s="428"/>
      <c r="J34" s="428"/>
      <c r="K34" s="429"/>
      <c r="L34" s="429"/>
      <c r="M34" s="430"/>
      <c r="N34" s="429"/>
      <c r="O34" s="431"/>
      <c r="P34" s="432"/>
      <c r="Q34" s="432"/>
      <c r="R34" s="433"/>
      <c r="S34" s="434"/>
      <c r="T34" s="412"/>
      <c r="U34" s="412"/>
      <c r="V34" s="412"/>
      <c r="W34" s="412"/>
      <c r="X34" s="412"/>
      <c r="Y34" s="412"/>
      <c r="Z34" s="412"/>
    </row>
    <row r="35" ht="13.5" customHeight="1">
      <c r="A35" s="422"/>
      <c r="B35" s="423">
        <v>46057.0</v>
      </c>
      <c r="C35" s="437"/>
      <c r="D35" s="426"/>
      <c r="E35" s="425" t="s">
        <v>2317</v>
      </c>
      <c r="F35" s="426"/>
      <c r="G35" s="426"/>
      <c r="H35" s="428"/>
      <c r="I35" s="428"/>
      <c r="J35" s="428"/>
      <c r="K35" s="429"/>
      <c r="L35" s="429"/>
      <c r="M35" s="430"/>
      <c r="N35" s="429"/>
      <c r="O35" s="431"/>
      <c r="P35" s="432"/>
      <c r="Q35" s="432"/>
      <c r="R35" s="433"/>
      <c r="S35" s="434"/>
      <c r="T35" s="412"/>
      <c r="U35" s="412"/>
      <c r="V35" s="412"/>
      <c r="W35" s="412"/>
      <c r="X35" s="412"/>
      <c r="Y35" s="412"/>
      <c r="Z35" s="412"/>
    </row>
    <row r="36" ht="13.5" customHeight="1">
      <c r="A36" s="422"/>
      <c r="B36" s="423">
        <v>46057.0</v>
      </c>
      <c r="C36" s="437"/>
      <c r="D36" s="426"/>
      <c r="E36" s="425" t="s">
        <v>2318</v>
      </c>
      <c r="F36" s="426"/>
      <c r="G36" s="426"/>
      <c r="H36" s="428"/>
      <c r="I36" s="428"/>
      <c r="J36" s="428"/>
      <c r="K36" s="429"/>
      <c r="L36" s="429"/>
      <c r="M36" s="430"/>
      <c r="N36" s="429"/>
      <c r="O36" s="431"/>
      <c r="P36" s="432"/>
      <c r="Q36" s="432"/>
      <c r="R36" s="433"/>
      <c r="S36" s="434"/>
      <c r="T36" s="412"/>
      <c r="U36" s="412"/>
      <c r="V36" s="412"/>
      <c r="W36" s="412"/>
      <c r="X36" s="412"/>
      <c r="Y36" s="412"/>
      <c r="Z36" s="412"/>
    </row>
    <row r="37" ht="13.5" customHeight="1">
      <c r="A37" s="422"/>
      <c r="B37" s="423">
        <v>46057.0</v>
      </c>
      <c r="C37" s="437"/>
      <c r="D37" s="426"/>
      <c r="E37" s="425" t="s">
        <v>2319</v>
      </c>
      <c r="F37" s="426"/>
      <c r="G37" s="426"/>
      <c r="H37" s="428"/>
      <c r="I37" s="428"/>
      <c r="J37" s="428"/>
      <c r="K37" s="429"/>
      <c r="L37" s="429"/>
      <c r="M37" s="430"/>
      <c r="N37" s="429"/>
      <c r="O37" s="431"/>
      <c r="P37" s="432"/>
      <c r="Q37" s="432"/>
      <c r="R37" s="433"/>
      <c r="S37" s="434"/>
      <c r="T37" s="412"/>
      <c r="U37" s="412"/>
      <c r="V37" s="412"/>
      <c r="W37" s="412"/>
      <c r="X37" s="412"/>
      <c r="Y37" s="412"/>
      <c r="Z37" s="412"/>
    </row>
    <row r="38" ht="13.5" customHeight="1">
      <c r="A38" s="473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</row>
    <row r="39" ht="13.5" customHeight="1">
      <c r="A39" s="413" t="s">
        <v>4</v>
      </c>
      <c r="B39" s="414" t="s">
        <v>5</v>
      </c>
      <c r="C39" s="414" t="s">
        <v>6</v>
      </c>
      <c r="D39" s="468" t="s">
        <v>7</v>
      </c>
      <c r="E39" s="415" t="s">
        <v>2291</v>
      </c>
      <c r="F39" s="415" t="s">
        <v>8</v>
      </c>
      <c r="G39" s="415" t="s">
        <v>9</v>
      </c>
      <c r="H39" s="416" t="s">
        <v>10</v>
      </c>
      <c r="I39" s="416" t="s">
        <v>11</v>
      </c>
      <c r="J39" s="416" t="s">
        <v>12</v>
      </c>
      <c r="K39" s="417" t="s">
        <v>13</v>
      </c>
      <c r="L39" s="417" t="s">
        <v>14</v>
      </c>
      <c r="M39" s="417" t="s">
        <v>15</v>
      </c>
      <c r="N39" s="417" t="s">
        <v>16</v>
      </c>
      <c r="O39" s="418" t="s">
        <v>17</v>
      </c>
      <c r="P39" s="418" t="s">
        <v>18</v>
      </c>
      <c r="Q39" s="418" t="s">
        <v>19</v>
      </c>
      <c r="R39" s="419" t="s">
        <v>20</v>
      </c>
      <c r="S39" s="420" t="s">
        <v>21</v>
      </c>
      <c r="T39" s="412"/>
      <c r="U39" s="412"/>
      <c r="V39" s="412"/>
      <c r="W39" s="412"/>
      <c r="X39" s="412"/>
      <c r="Y39" s="412"/>
      <c r="Z39" s="412"/>
    </row>
    <row r="40" ht="13.5" customHeight="1">
      <c r="A40" s="422"/>
      <c r="B40" s="423">
        <v>46058.0</v>
      </c>
      <c r="C40" s="437"/>
      <c r="D40" s="425" t="s">
        <v>82</v>
      </c>
      <c r="E40" s="426"/>
      <c r="F40" s="426"/>
      <c r="G40" s="426"/>
      <c r="H40" s="428"/>
      <c r="I40" s="428"/>
      <c r="J40" s="428"/>
      <c r="K40" s="429"/>
      <c r="L40" s="429"/>
      <c r="M40" s="430"/>
      <c r="N40" s="429"/>
      <c r="O40" s="431"/>
      <c r="P40" s="432"/>
      <c r="Q40" s="432"/>
      <c r="R40" s="433"/>
      <c r="S40" s="434"/>
      <c r="T40" s="412"/>
      <c r="U40" s="412"/>
      <c r="V40" s="412"/>
      <c r="W40" s="412"/>
      <c r="X40" s="412"/>
      <c r="Y40" s="412"/>
      <c r="Z40" s="412"/>
    </row>
    <row r="41" ht="13.5" customHeight="1">
      <c r="A41" s="422"/>
      <c r="B41" s="423">
        <v>46058.0</v>
      </c>
      <c r="C41" s="437"/>
      <c r="D41" s="425" t="s">
        <v>2320</v>
      </c>
      <c r="E41" s="426"/>
      <c r="F41" s="426"/>
      <c r="G41" s="426"/>
      <c r="H41" s="427" t="s">
        <v>2321</v>
      </c>
      <c r="I41" s="428"/>
      <c r="J41" s="428"/>
      <c r="K41" s="429"/>
      <c r="L41" s="429"/>
      <c r="M41" s="430"/>
      <c r="N41" s="429"/>
      <c r="O41" s="431"/>
      <c r="P41" s="432"/>
      <c r="Q41" s="432"/>
      <c r="R41" s="433"/>
      <c r="S41" s="434"/>
      <c r="T41" s="412"/>
      <c r="U41" s="412"/>
      <c r="V41" s="412"/>
      <c r="W41" s="412"/>
      <c r="X41" s="412"/>
      <c r="Y41" s="412"/>
      <c r="Z41" s="412"/>
    </row>
    <row r="42" ht="13.5" customHeight="1">
      <c r="A42" s="422"/>
      <c r="B42" s="423"/>
      <c r="C42" s="437"/>
      <c r="D42" s="425" t="s">
        <v>2322</v>
      </c>
      <c r="E42" s="426"/>
      <c r="F42" s="426"/>
      <c r="G42" s="426"/>
      <c r="H42" s="428"/>
      <c r="I42" s="428"/>
      <c r="J42" s="428"/>
      <c r="K42" s="429"/>
      <c r="L42" s="429"/>
      <c r="M42" s="430"/>
      <c r="N42" s="429"/>
      <c r="O42" s="431"/>
      <c r="P42" s="432"/>
      <c r="Q42" s="432"/>
      <c r="R42" s="433"/>
      <c r="S42" s="434"/>
      <c r="T42" s="412"/>
      <c r="U42" s="412"/>
      <c r="V42" s="412"/>
      <c r="W42" s="412"/>
      <c r="X42" s="412"/>
      <c r="Y42" s="412"/>
      <c r="Z42" s="412"/>
    </row>
    <row r="43" ht="13.5" customHeight="1">
      <c r="A43" s="422"/>
      <c r="B43" s="423"/>
      <c r="C43" s="437"/>
      <c r="D43" s="426"/>
      <c r="E43" s="426"/>
      <c r="F43" s="426"/>
      <c r="G43" s="426"/>
      <c r="H43" s="428"/>
      <c r="I43" s="428"/>
      <c r="J43" s="428"/>
      <c r="K43" s="429"/>
      <c r="L43" s="429"/>
      <c r="M43" s="430"/>
      <c r="N43" s="429"/>
      <c r="O43" s="431"/>
      <c r="P43" s="432"/>
      <c r="Q43" s="432"/>
      <c r="R43" s="433"/>
      <c r="S43" s="434"/>
      <c r="T43" s="412"/>
      <c r="U43" s="412"/>
      <c r="V43" s="412"/>
      <c r="W43" s="412"/>
      <c r="X43" s="412"/>
      <c r="Y43" s="412"/>
      <c r="Z43" s="412"/>
    </row>
    <row r="44" ht="13.5" customHeight="1">
      <c r="A44" s="422"/>
      <c r="B44" s="423"/>
      <c r="C44" s="437"/>
      <c r="D44" s="426"/>
      <c r="E44" s="426"/>
      <c r="F44" s="426"/>
      <c r="G44" s="426"/>
      <c r="H44" s="428"/>
      <c r="I44" s="428"/>
      <c r="J44" s="428"/>
      <c r="K44" s="429"/>
      <c r="L44" s="429"/>
      <c r="M44" s="430"/>
      <c r="N44" s="429"/>
      <c r="O44" s="431"/>
      <c r="P44" s="432"/>
      <c r="Q44" s="432"/>
      <c r="R44" s="433"/>
      <c r="S44" s="434"/>
      <c r="T44" s="412"/>
      <c r="U44" s="412"/>
      <c r="V44" s="412"/>
      <c r="W44" s="412"/>
      <c r="X44" s="412"/>
      <c r="Y44" s="412"/>
      <c r="Z44" s="412"/>
    </row>
    <row r="45" ht="13.5" customHeight="1">
      <c r="A45" s="422"/>
      <c r="B45" s="423"/>
      <c r="C45" s="437"/>
      <c r="D45" s="426"/>
      <c r="E45" s="426"/>
      <c r="F45" s="426"/>
      <c r="G45" s="426"/>
      <c r="H45" s="428"/>
      <c r="I45" s="428"/>
      <c r="J45" s="428"/>
      <c r="K45" s="429"/>
      <c r="L45" s="429"/>
      <c r="M45" s="430"/>
      <c r="N45" s="429"/>
      <c r="O45" s="431"/>
      <c r="P45" s="432"/>
      <c r="Q45" s="432"/>
      <c r="R45" s="433"/>
      <c r="S45" s="434"/>
      <c r="T45" s="412"/>
      <c r="U45" s="412"/>
      <c r="V45" s="412"/>
      <c r="W45" s="412"/>
      <c r="X45" s="412"/>
      <c r="Y45" s="412"/>
      <c r="Z45" s="412"/>
    </row>
    <row r="46" ht="13.5" customHeight="1">
      <c r="A46" s="422"/>
      <c r="B46" s="423"/>
      <c r="C46" s="437"/>
      <c r="D46" s="426"/>
      <c r="E46" s="426"/>
      <c r="F46" s="426"/>
      <c r="G46" s="426"/>
      <c r="H46" s="428"/>
      <c r="I46" s="428"/>
      <c r="J46" s="428"/>
      <c r="K46" s="429"/>
      <c r="L46" s="429"/>
      <c r="M46" s="430"/>
      <c r="N46" s="429"/>
      <c r="O46" s="431"/>
      <c r="P46" s="432"/>
      <c r="Q46" s="432"/>
      <c r="R46" s="433"/>
      <c r="S46" s="434"/>
      <c r="T46" s="412"/>
      <c r="U46" s="412"/>
      <c r="V46" s="412"/>
      <c r="W46" s="412"/>
      <c r="X46" s="412"/>
      <c r="Y46" s="412"/>
      <c r="Z46" s="412"/>
    </row>
    <row r="47" ht="13.5" customHeight="1">
      <c r="A47" s="422"/>
      <c r="B47" s="423"/>
      <c r="C47" s="437"/>
      <c r="D47" s="426"/>
      <c r="E47" s="426"/>
      <c r="F47" s="426"/>
      <c r="G47" s="426"/>
      <c r="H47" s="428"/>
      <c r="I47" s="428"/>
      <c r="J47" s="428"/>
      <c r="K47" s="429"/>
      <c r="L47" s="429"/>
      <c r="M47" s="430"/>
      <c r="N47" s="429"/>
      <c r="O47" s="431"/>
      <c r="P47" s="432"/>
      <c r="Q47" s="432"/>
      <c r="R47" s="433"/>
      <c r="S47" s="434"/>
      <c r="T47" s="412"/>
      <c r="U47" s="412"/>
      <c r="V47" s="412"/>
      <c r="W47" s="412"/>
      <c r="X47" s="412"/>
      <c r="Y47" s="412"/>
      <c r="Z47" s="412"/>
    </row>
    <row r="48" ht="13.5" customHeight="1">
      <c r="A48" s="473"/>
      <c r="B48" s="412"/>
      <c r="C48" s="412"/>
      <c r="D48" s="412"/>
      <c r="E48" s="41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</row>
    <row r="49" ht="13.5" customHeight="1">
      <c r="A49" s="413" t="s">
        <v>4</v>
      </c>
      <c r="B49" s="414" t="s">
        <v>5</v>
      </c>
      <c r="C49" s="414" t="s">
        <v>6</v>
      </c>
      <c r="D49" s="468" t="s">
        <v>7</v>
      </c>
      <c r="E49" s="415" t="s">
        <v>2291</v>
      </c>
      <c r="F49" s="415" t="s">
        <v>8</v>
      </c>
      <c r="G49" s="415" t="s">
        <v>9</v>
      </c>
      <c r="H49" s="416" t="s">
        <v>10</v>
      </c>
      <c r="I49" s="416" t="s">
        <v>11</v>
      </c>
      <c r="J49" s="416" t="s">
        <v>12</v>
      </c>
      <c r="K49" s="417" t="s">
        <v>13</v>
      </c>
      <c r="L49" s="417" t="s">
        <v>14</v>
      </c>
      <c r="M49" s="417" t="s">
        <v>15</v>
      </c>
      <c r="N49" s="417" t="s">
        <v>16</v>
      </c>
      <c r="O49" s="418" t="s">
        <v>17</v>
      </c>
      <c r="P49" s="418" t="s">
        <v>18</v>
      </c>
      <c r="Q49" s="418" t="s">
        <v>19</v>
      </c>
      <c r="R49" s="419" t="s">
        <v>20</v>
      </c>
      <c r="S49" s="420" t="s">
        <v>21</v>
      </c>
      <c r="T49" s="412"/>
      <c r="U49" s="412"/>
      <c r="V49" s="412"/>
      <c r="W49" s="412"/>
      <c r="X49" s="412"/>
      <c r="Y49" s="412"/>
      <c r="Z49" s="412"/>
    </row>
    <row r="50" ht="13.5" customHeight="1">
      <c r="A50" s="422"/>
      <c r="B50" s="423"/>
      <c r="C50" s="437"/>
      <c r="D50" s="425" t="s">
        <v>82</v>
      </c>
      <c r="E50" s="426"/>
      <c r="F50" s="426"/>
      <c r="G50" s="426"/>
      <c r="H50" s="427" t="s">
        <v>2323</v>
      </c>
      <c r="I50" s="428"/>
      <c r="J50" s="428"/>
      <c r="K50" s="429"/>
      <c r="L50" s="429"/>
      <c r="M50" s="430"/>
      <c r="N50" s="429"/>
      <c r="O50" s="431"/>
      <c r="P50" s="432"/>
      <c r="Q50" s="432"/>
      <c r="R50" s="433"/>
      <c r="S50" s="434"/>
      <c r="T50" s="412"/>
      <c r="U50" s="412"/>
      <c r="V50" s="412"/>
      <c r="W50" s="412"/>
      <c r="X50" s="412"/>
      <c r="Y50" s="412"/>
      <c r="Z50" s="412"/>
    </row>
    <row r="51" ht="13.5" customHeight="1">
      <c r="A51" s="422"/>
      <c r="B51" s="423"/>
      <c r="C51" s="437"/>
      <c r="D51" s="426"/>
      <c r="E51" s="426"/>
      <c r="F51" s="426"/>
      <c r="G51" s="426"/>
      <c r="H51" s="428"/>
      <c r="I51" s="428"/>
      <c r="J51" s="428"/>
      <c r="K51" s="429"/>
      <c r="L51" s="429"/>
      <c r="M51" s="430"/>
      <c r="N51" s="429"/>
      <c r="O51" s="431"/>
      <c r="P51" s="432"/>
      <c r="Q51" s="432"/>
      <c r="R51" s="433"/>
      <c r="S51" s="434"/>
      <c r="T51" s="412"/>
      <c r="U51" s="412"/>
      <c r="V51" s="412"/>
      <c r="W51" s="412"/>
      <c r="X51" s="412"/>
      <c r="Y51" s="412"/>
      <c r="Z51" s="412"/>
    </row>
    <row r="52" ht="13.5" customHeight="1">
      <c r="A52" s="422"/>
      <c r="B52" s="423"/>
      <c r="C52" s="437"/>
      <c r="D52" s="426"/>
      <c r="E52" s="426"/>
      <c r="F52" s="426"/>
      <c r="G52" s="426"/>
      <c r="H52" s="428"/>
      <c r="I52" s="428"/>
      <c r="J52" s="428"/>
      <c r="K52" s="429"/>
      <c r="L52" s="429"/>
      <c r="M52" s="430"/>
      <c r="N52" s="429"/>
      <c r="O52" s="431"/>
      <c r="P52" s="432"/>
      <c r="Q52" s="432"/>
      <c r="R52" s="433"/>
      <c r="S52" s="434"/>
      <c r="T52" s="412"/>
      <c r="U52" s="412"/>
      <c r="V52" s="412"/>
      <c r="W52" s="412"/>
      <c r="X52" s="412"/>
      <c r="Y52" s="412"/>
      <c r="Z52" s="412"/>
    </row>
    <row r="53" ht="13.5" customHeight="1">
      <c r="A53" s="422"/>
      <c r="B53" s="423"/>
      <c r="C53" s="437"/>
      <c r="D53" s="426"/>
      <c r="E53" s="426"/>
      <c r="F53" s="426"/>
      <c r="G53" s="426"/>
      <c r="H53" s="428"/>
      <c r="I53" s="428"/>
      <c r="J53" s="428"/>
      <c r="K53" s="429"/>
      <c r="L53" s="429"/>
      <c r="M53" s="430"/>
      <c r="N53" s="429"/>
      <c r="O53" s="431"/>
      <c r="P53" s="432"/>
      <c r="Q53" s="432"/>
      <c r="R53" s="433"/>
      <c r="S53" s="434"/>
      <c r="T53" s="412"/>
      <c r="U53" s="412"/>
      <c r="V53" s="412"/>
      <c r="W53" s="412"/>
      <c r="X53" s="412"/>
      <c r="Y53" s="412"/>
      <c r="Z53" s="412"/>
    </row>
    <row r="54" ht="13.5" customHeight="1">
      <c r="A54" s="422"/>
      <c r="B54" s="423"/>
      <c r="C54" s="437"/>
      <c r="D54" s="426"/>
      <c r="E54" s="426"/>
      <c r="F54" s="426"/>
      <c r="G54" s="426"/>
      <c r="H54" s="428"/>
      <c r="I54" s="428"/>
      <c r="J54" s="428"/>
      <c r="K54" s="429"/>
      <c r="L54" s="429"/>
      <c r="M54" s="430"/>
      <c r="N54" s="429"/>
      <c r="O54" s="431"/>
      <c r="P54" s="432"/>
      <c r="Q54" s="432"/>
      <c r="R54" s="433"/>
      <c r="S54" s="434"/>
      <c r="T54" s="412"/>
      <c r="U54" s="412"/>
      <c r="V54" s="412"/>
      <c r="W54" s="412"/>
      <c r="X54" s="412"/>
      <c r="Y54" s="412"/>
      <c r="Z54" s="412"/>
    </row>
    <row r="55" ht="13.5" customHeight="1">
      <c r="A55" s="422"/>
      <c r="B55" s="423"/>
      <c r="C55" s="437"/>
      <c r="D55" s="426"/>
      <c r="E55" s="426"/>
      <c r="F55" s="426"/>
      <c r="G55" s="426"/>
      <c r="H55" s="428"/>
      <c r="I55" s="428"/>
      <c r="J55" s="428"/>
      <c r="K55" s="429"/>
      <c r="L55" s="429"/>
      <c r="M55" s="430"/>
      <c r="N55" s="429"/>
      <c r="O55" s="431"/>
      <c r="P55" s="432"/>
      <c r="Q55" s="432"/>
      <c r="R55" s="433"/>
      <c r="S55" s="434"/>
      <c r="T55" s="412"/>
      <c r="U55" s="412"/>
      <c r="V55" s="412"/>
      <c r="W55" s="412"/>
      <c r="X55" s="412"/>
      <c r="Y55" s="412"/>
      <c r="Z55" s="412"/>
    </row>
    <row r="56" ht="13.5" customHeight="1">
      <c r="A56" s="422"/>
      <c r="B56" s="423"/>
      <c r="C56" s="437"/>
      <c r="D56" s="426"/>
      <c r="E56" s="426"/>
      <c r="F56" s="426"/>
      <c r="G56" s="426"/>
      <c r="H56" s="428"/>
      <c r="I56" s="428"/>
      <c r="J56" s="428"/>
      <c r="K56" s="429"/>
      <c r="L56" s="429"/>
      <c r="M56" s="430"/>
      <c r="N56" s="429"/>
      <c r="O56" s="431"/>
      <c r="P56" s="432"/>
      <c r="Q56" s="432"/>
      <c r="R56" s="433"/>
      <c r="S56" s="434"/>
      <c r="T56" s="412"/>
      <c r="U56" s="412"/>
      <c r="V56" s="412"/>
      <c r="W56" s="412"/>
      <c r="X56" s="412"/>
      <c r="Y56" s="412"/>
      <c r="Z56" s="412"/>
    </row>
    <row r="57" ht="13.5" customHeight="1">
      <c r="A57" s="422"/>
      <c r="B57" s="423"/>
      <c r="C57" s="437"/>
      <c r="D57" s="426"/>
      <c r="E57" s="426"/>
      <c r="F57" s="426"/>
      <c r="G57" s="426"/>
      <c r="H57" s="428"/>
      <c r="I57" s="428"/>
      <c r="J57" s="428"/>
      <c r="K57" s="429"/>
      <c r="L57" s="429"/>
      <c r="M57" s="430"/>
      <c r="N57" s="429"/>
      <c r="O57" s="431"/>
      <c r="P57" s="432"/>
      <c r="Q57" s="432"/>
      <c r="R57" s="433"/>
      <c r="S57" s="434"/>
      <c r="T57" s="412"/>
      <c r="U57" s="412"/>
      <c r="V57" s="412"/>
      <c r="W57" s="412"/>
      <c r="X57" s="412"/>
      <c r="Y57" s="412"/>
      <c r="Z57" s="412"/>
    </row>
    <row r="58" ht="13.5" customHeight="1">
      <c r="A58" s="473"/>
      <c r="B58" s="412"/>
      <c r="C58" s="412"/>
      <c r="D58" s="412"/>
      <c r="E58" s="412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</row>
    <row r="59" ht="13.5" customHeight="1">
      <c r="A59" s="413" t="s">
        <v>4</v>
      </c>
      <c r="B59" s="414" t="s">
        <v>5</v>
      </c>
      <c r="C59" s="414" t="s">
        <v>6</v>
      </c>
      <c r="D59" s="468" t="s">
        <v>7</v>
      </c>
      <c r="E59" s="415" t="s">
        <v>2291</v>
      </c>
      <c r="F59" s="415" t="s">
        <v>8</v>
      </c>
      <c r="G59" s="415" t="s">
        <v>9</v>
      </c>
      <c r="H59" s="416" t="s">
        <v>10</v>
      </c>
      <c r="I59" s="416" t="s">
        <v>11</v>
      </c>
      <c r="J59" s="416" t="s">
        <v>12</v>
      </c>
      <c r="K59" s="417" t="s">
        <v>13</v>
      </c>
      <c r="L59" s="417" t="s">
        <v>14</v>
      </c>
      <c r="M59" s="417" t="s">
        <v>15</v>
      </c>
      <c r="N59" s="417" t="s">
        <v>16</v>
      </c>
      <c r="O59" s="418" t="s">
        <v>17</v>
      </c>
      <c r="P59" s="418" t="s">
        <v>18</v>
      </c>
      <c r="Q59" s="418" t="s">
        <v>19</v>
      </c>
      <c r="R59" s="419" t="s">
        <v>20</v>
      </c>
      <c r="S59" s="420" t="s">
        <v>21</v>
      </c>
      <c r="T59" s="412"/>
      <c r="U59" s="412"/>
      <c r="V59" s="412"/>
      <c r="W59" s="412"/>
      <c r="X59" s="412"/>
      <c r="Y59" s="412"/>
      <c r="Z59" s="412"/>
    </row>
    <row r="60" ht="13.5" customHeight="1">
      <c r="A60" s="422"/>
      <c r="B60" s="423"/>
      <c r="C60" s="437"/>
      <c r="D60" s="425" t="s">
        <v>82</v>
      </c>
      <c r="E60" s="426"/>
      <c r="F60" s="426"/>
      <c r="G60" s="426"/>
      <c r="H60" s="428"/>
      <c r="I60" s="428"/>
      <c r="J60" s="428"/>
      <c r="K60" s="429"/>
      <c r="L60" s="429"/>
      <c r="M60" s="430"/>
      <c r="N60" s="429"/>
      <c r="O60" s="431"/>
      <c r="P60" s="432"/>
      <c r="Q60" s="432"/>
      <c r="R60" s="433"/>
      <c r="S60" s="434"/>
      <c r="T60" s="412"/>
      <c r="U60" s="412"/>
      <c r="V60" s="412"/>
      <c r="W60" s="412"/>
      <c r="X60" s="412"/>
      <c r="Y60" s="412"/>
      <c r="Z60" s="412"/>
    </row>
    <row r="61" ht="13.5" customHeight="1">
      <c r="A61" s="422"/>
      <c r="B61" s="423"/>
      <c r="C61" s="437"/>
      <c r="D61" s="426"/>
      <c r="E61" s="426"/>
      <c r="F61" s="426"/>
      <c r="G61" s="426"/>
      <c r="H61" s="427" t="s">
        <v>2324</v>
      </c>
      <c r="I61" s="428"/>
      <c r="J61" s="428"/>
      <c r="K61" s="429"/>
      <c r="L61" s="429"/>
      <c r="M61" s="430"/>
      <c r="N61" s="429"/>
      <c r="O61" s="431"/>
      <c r="P61" s="432"/>
      <c r="Q61" s="432"/>
      <c r="R61" s="433"/>
      <c r="S61" s="434"/>
      <c r="T61" s="412"/>
      <c r="U61" s="412"/>
      <c r="V61" s="412"/>
      <c r="W61" s="412"/>
      <c r="X61" s="412"/>
      <c r="Y61" s="412"/>
      <c r="Z61" s="412"/>
    </row>
    <row r="62" ht="13.5" customHeight="1">
      <c r="A62" s="422"/>
      <c r="B62" s="423"/>
      <c r="C62" s="437"/>
      <c r="D62" s="426"/>
      <c r="E62" s="426"/>
      <c r="F62" s="426"/>
      <c r="G62" s="426"/>
      <c r="H62" s="428"/>
      <c r="I62" s="428"/>
      <c r="J62" s="428"/>
      <c r="K62" s="429"/>
      <c r="L62" s="429"/>
      <c r="M62" s="430"/>
      <c r="N62" s="429"/>
      <c r="O62" s="431"/>
      <c r="P62" s="432"/>
      <c r="Q62" s="432"/>
      <c r="R62" s="433"/>
      <c r="S62" s="434"/>
      <c r="T62" s="412"/>
      <c r="U62" s="412"/>
      <c r="V62" s="412"/>
      <c r="W62" s="412"/>
      <c r="X62" s="412"/>
      <c r="Y62" s="412"/>
      <c r="Z62" s="412"/>
    </row>
    <row r="63" ht="13.5" customHeight="1">
      <c r="A63" s="422"/>
      <c r="B63" s="423"/>
      <c r="C63" s="437"/>
      <c r="D63" s="426"/>
      <c r="E63" s="426"/>
      <c r="F63" s="426"/>
      <c r="G63" s="426"/>
      <c r="H63" s="428"/>
      <c r="I63" s="428"/>
      <c r="J63" s="428"/>
      <c r="K63" s="429"/>
      <c r="L63" s="429"/>
      <c r="M63" s="430"/>
      <c r="N63" s="429"/>
      <c r="O63" s="431"/>
      <c r="P63" s="432"/>
      <c r="Q63" s="432"/>
      <c r="R63" s="433"/>
      <c r="S63" s="434"/>
      <c r="T63" s="412"/>
      <c r="U63" s="412"/>
      <c r="V63" s="412"/>
      <c r="W63" s="412"/>
      <c r="X63" s="412"/>
      <c r="Y63" s="412"/>
      <c r="Z63" s="412"/>
    </row>
    <row r="64" ht="13.5" customHeight="1">
      <c r="A64" s="422"/>
      <c r="B64" s="423"/>
      <c r="C64" s="437"/>
      <c r="D64" s="426"/>
      <c r="E64" s="426"/>
      <c r="F64" s="426"/>
      <c r="G64" s="426"/>
      <c r="H64" s="428"/>
      <c r="I64" s="428"/>
      <c r="J64" s="428"/>
      <c r="K64" s="429"/>
      <c r="L64" s="429"/>
      <c r="M64" s="430"/>
      <c r="N64" s="429"/>
      <c r="O64" s="431"/>
      <c r="P64" s="432"/>
      <c r="Q64" s="432"/>
      <c r="R64" s="433"/>
      <c r="S64" s="434"/>
      <c r="T64" s="412"/>
      <c r="U64" s="412"/>
      <c r="V64" s="412"/>
      <c r="W64" s="412"/>
      <c r="X64" s="412"/>
      <c r="Y64" s="412"/>
      <c r="Z64" s="412"/>
    </row>
    <row r="65" ht="13.5" customHeight="1">
      <c r="A65" s="422"/>
      <c r="B65" s="423"/>
      <c r="C65" s="437"/>
      <c r="D65" s="426"/>
      <c r="E65" s="426"/>
      <c r="F65" s="426"/>
      <c r="G65" s="426"/>
      <c r="H65" s="428"/>
      <c r="I65" s="428"/>
      <c r="J65" s="428"/>
      <c r="K65" s="429"/>
      <c r="L65" s="429"/>
      <c r="M65" s="430"/>
      <c r="N65" s="429"/>
      <c r="O65" s="431"/>
      <c r="P65" s="432"/>
      <c r="Q65" s="432"/>
      <c r="R65" s="433"/>
      <c r="S65" s="434"/>
      <c r="T65" s="412"/>
      <c r="U65" s="412"/>
      <c r="V65" s="412"/>
      <c r="W65" s="412"/>
      <c r="X65" s="412"/>
      <c r="Y65" s="412"/>
      <c r="Z65" s="412"/>
    </row>
    <row r="66" ht="13.5" customHeight="1">
      <c r="A66" s="422"/>
      <c r="B66" s="423"/>
      <c r="C66" s="437"/>
      <c r="D66" s="426"/>
      <c r="E66" s="426"/>
      <c r="F66" s="426"/>
      <c r="G66" s="426"/>
      <c r="H66" s="428"/>
      <c r="I66" s="428"/>
      <c r="J66" s="428"/>
      <c r="K66" s="429"/>
      <c r="L66" s="429"/>
      <c r="M66" s="430"/>
      <c r="N66" s="429"/>
      <c r="O66" s="431"/>
      <c r="P66" s="432"/>
      <c r="Q66" s="432"/>
      <c r="R66" s="433"/>
      <c r="S66" s="434"/>
      <c r="T66" s="412"/>
      <c r="U66" s="412"/>
      <c r="V66" s="412"/>
      <c r="W66" s="412"/>
      <c r="X66" s="412"/>
      <c r="Y66" s="412"/>
      <c r="Z66" s="412"/>
    </row>
    <row r="67" ht="13.5" customHeight="1">
      <c r="A67" s="422"/>
      <c r="B67" s="423"/>
      <c r="C67" s="437"/>
      <c r="D67" s="426"/>
      <c r="E67" s="426"/>
      <c r="F67" s="426"/>
      <c r="G67" s="426"/>
      <c r="H67" s="428"/>
      <c r="I67" s="428"/>
      <c r="J67" s="428"/>
      <c r="K67" s="429"/>
      <c r="L67" s="429"/>
      <c r="M67" s="430"/>
      <c r="N67" s="429"/>
      <c r="O67" s="431"/>
      <c r="P67" s="432"/>
      <c r="Q67" s="432"/>
      <c r="R67" s="433"/>
      <c r="S67" s="434"/>
      <c r="T67" s="412"/>
      <c r="U67" s="412"/>
      <c r="V67" s="412"/>
      <c r="W67" s="412"/>
      <c r="X67" s="412"/>
      <c r="Y67" s="412"/>
      <c r="Z67" s="412"/>
    </row>
    <row r="68" ht="13.5" customHeight="1">
      <c r="A68" s="473"/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2"/>
      <c r="Q68" s="412"/>
      <c r="R68" s="412"/>
      <c r="S68" s="412"/>
      <c r="T68" s="412"/>
      <c r="U68" s="412"/>
      <c r="V68" s="412"/>
      <c r="W68" s="412"/>
      <c r="X68" s="412"/>
      <c r="Y68" s="412"/>
      <c r="Z68" s="412"/>
    </row>
    <row r="69" ht="13.5" customHeight="1">
      <c r="A69" s="413" t="s">
        <v>4</v>
      </c>
      <c r="B69" s="414" t="s">
        <v>5</v>
      </c>
      <c r="C69" s="414" t="s">
        <v>6</v>
      </c>
      <c r="D69" s="468" t="s">
        <v>7</v>
      </c>
      <c r="E69" s="415" t="s">
        <v>2291</v>
      </c>
      <c r="F69" s="415" t="s">
        <v>8</v>
      </c>
      <c r="G69" s="415" t="s">
        <v>9</v>
      </c>
      <c r="H69" s="416" t="s">
        <v>10</v>
      </c>
      <c r="I69" s="416" t="s">
        <v>11</v>
      </c>
      <c r="J69" s="416" t="s">
        <v>12</v>
      </c>
      <c r="K69" s="417" t="s">
        <v>13</v>
      </c>
      <c r="L69" s="417" t="s">
        <v>14</v>
      </c>
      <c r="M69" s="417" t="s">
        <v>15</v>
      </c>
      <c r="N69" s="417" t="s">
        <v>16</v>
      </c>
      <c r="O69" s="418" t="s">
        <v>17</v>
      </c>
      <c r="P69" s="418" t="s">
        <v>18</v>
      </c>
      <c r="Q69" s="418" t="s">
        <v>19</v>
      </c>
      <c r="R69" s="419" t="s">
        <v>20</v>
      </c>
      <c r="S69" s="420" t="s">
        <v>21</v>
      </c>
      <c r="T69" s="412"/>
      <c r="U69" s="412"/>
      <c r="V69" s="412"/>
      <c r="W69" s="412"/>
      <c r="X69" s="412"/>
      <c r="Y69" s="412"/>
      <c r="Z69" s="412"/>
    </row>
    <row r="70" ht="13.5" customHeight="1">
      <c r="A70" s="422"/>
      <c r="B70" s="423"/>
      <c r="C70" s="437"/>
      <c r="D70" s="425" t="s">
        <v>82</v>
      </c>
      <c r="E70" s="426"/>
      <c r="F70" s="426"/>
      <c r="G70" s="426"/>
      <c r="H70" s="428"/>
      <c r="I70" s="428"/>
      <c r="J70" s="428"/>
      <c r="K70" s="429"/>
      <c r="L70" s="429"/>
      <c r="M70" s="430"/>
      <c r="N70" s="429"/>
      <c r="O70" s="431"/>
      <c r="P70" s="432"/>
      <c r="Q70" s="432"/>
      <c r="R70" s="433"/>
      <c r="S70" s="434"/>
      <c r="T70" s="412"/>
      <c r="U70" s="412"/>
      <c r="V70" s="412"/>
      <c r="W70" s="412"/>
      <c r="X70" s="412"/>
      <c r="Y70" s="412"/>
      <c r="Z70" s="412"/>
    </row>
    <row r="71" ht="13.5" customHeight="1">
      <c r="A71" s="422"/>
      <c r="B71" s="423"/>
      <c r="C71" s="437"/>
      <c r="D71" s="426"/>
      <c r="E71" s="426"/>
      <c r="F71" s="426"/>
      <c r="G71" s="426"/>
      <c r="H71" s="428"/>
      <c r="I71" s="428"/>
      <c r="J71" s="428"/>
      <c r="K71" s="429"/>
      <c r="L71" s="429"/>
      <c r="M71" s="430"/>
      <c r="N71" s="429"/>
      <c r="O71" s="431"/>
      <c r="P71" s="432"/>
      <c r="Q71" s="432"/>
      <c r="R71" s="433"/>
      <c r="S71" s="434"/>
      <c r="T71" s="412"/>
      <c r="U71" s="412"/>
      <c r="V71" s="412"/>
      <c r="W71" s="412"/>
      <c r="X71" s="412"/>
      <c r="Y71" s="412"/>
      <c r="Z71" s="412"/>
    </row>
    <row r="72" ht="13.5" customHeight="1">
      <c r="A72" s="422"/>
      <c r="B72" s="423"/>
      <c r="C72" s="437"/>
      <c r="D72" s="426"/>
      <c r="E72" s="426"/>
      <c r="F72" s="426"/>
      <c r="G72" s="426"/>
      <c r="H72" s="427" t="s">
        <v>2325</v>
      </c>
      <c r="I72" s="428"/>
      <c r="J72" s="428"/>
      <c r="K72" s="429"/>
      <c r="L72" s="429"/>
      <c r="M72" s="430"/>
      <c r="N72" s="429"/>
      <c r="O72" s="431"/>
      <c r="P72" s="432"/>
      <c r="Q72" s="432"/>
      <c r="R72" s="433"/>
      <c r="S72" s="434"/>
      <c r="T72" s="412"/>
      <c r="U72" s="412"/>
      <c r="V72" s="412"/>
      <c r="W72" s="412"/>
      <c r="X72" s="412"/>
      <c r="Y72" s="412"/>
      <c r="Z72" s="412"/>
    </row>
    <row r="73" ht="13.5" customHeight="1">
      <c r="A73" s="422"/>
      <c r="B73" s="423"/>
      <c r="C73" s="437"/>
      <c r="D73" s="426"/>
      <c r="E73" s="426"/>
      <c r="F73" s="426"/>
      <c r="G73" s="426"/>
      <c r="H73" s="428"/>
      <c r="I73" s="428"/>
      <c r="J73" s="428"/>
      <c r="K73" s="429"/>
      <c r="L73" s="429"/>
      <c r="M73" s="430"/>
      <c r="N73" s="429"/>
      <c r="O73" s="431"/>
      <c r="P73" s="432"/>
      <c r="Q73" s="432"/>
      <c r="R73" s="433"/>
      <c r="S73" s="434"/>
      <c r="T73" s="412"/>
      <c r="U73" s="412"/>
      <c r="V73" s="412"/>
      <c r="W73" s="412"/>
      <c r="X73" s="412"/>
      <c r="Y73" s="412"/>
      <c r="Z73" s="412"/>
    </row>
    <row r="74" ht="13.5" customHeight="1">
      <c r="A74" s="422"/>
      <c r="B74" s="423"/>
      <c r="C74" s="437"/>
      <c r="D74" s="426"/>
      <c r="E74" s="426"/>
      <c r="F74" s="426"/>
      <c r="G74" s="426"/>
      <c r="H74" s="428"/>
      <c r="I74" s="428"/>
      <c r="J74" s="428"/>
      <c r="K74" s="429"/>
      <c r="L74" s="429"/>
      <c r="M74" s="430"/>
      <c r="N74" s="429"/>
      <c r="O74" s="431"/>
      <c r="P74" s="432"/>
      <c r="Q74" s="432"/>
      <c r="R74" s="433"/>
      <c r="S74" s="434"/>
      <c r="T74" s="412"/>
      <c r="U74" s="412"/>
      <c r="V74" s="412"/>
      <c r="W74" s="412"/>
      <c r="X74" s="412"/>
      <c r="Y74" s="412"/>
      <c r="Z74" s="412"/>
    </row>
    <row r="75" ht="13.5" customHeight="1">
      <c r="A75" s="422"/>
      <c r="B75" s="423"/>
      <c r="C75" s="437"/>
      <c r="D75" s="426"/>
      <c r="E75" s="426"/>
      <c r="F75" s="426"/>
      <c r="G75" s="426"/>
      <c r="H75" s="428"/>
      <c r="I75" s="428"/>
      <c r="J75" s="428"/>
      <c r="K75" s="429"/>
      <c r="L75" s="429"/>
      <c r="M75" s="430"/>
      <c r="N75" s="429"/>
      <c r="O75" s="431"/>
      <c r="P75" s="432"/>
      <c r="Q75" s="432"/>
      <c r="R75" s="433"/>
      <c r="S75" s="434"/>
      <c r="T75" s="412"/>
      <c r="U75" s="412"/>
      <c r="V75" s="412"/>
      <c r="W75" s="412"/>
      <c r="X75" s="412"/>
      <c r="Y75" s="412"/>
      <c r="Z75" s="412"/>
    </row>
    <row r="76" ht="13.5" customHeight="1">
      <c r="A76" s="422"/>
      <c r="B76" s="423"/>
      <c r="C76" s="437"/>
      <c r="D76" s="426"/>
      <c r="E76" s="426"/>
      <c r="F76" s="426"/>
      <c r="G76" s="426"/>
      <c r="H76" s="428"/>
      <c r="I76" s="428"/>
      <c r="J76" s="428"/>
      <c r="K76" s="429"/>
      <c r="L76" s="429"/>
      <c r="M76" s="430"/>
      <c r="N76" s="429"/>
      <c r="O76" s="431"/>
      <c r="P76" s="432"/>
      <c r="Q76" s="432"/>
      <c r="R76" s="433"/>
      <c r="S76" s="434"/>
      <c r="T76" s="412"/>
      <c r="U76" s="412"/>
      <c r="V76" s="412"/>
      <c r="W76" s="412"/>
      <c r="X76" s="412"/>
      <c r="Y76" s="412"/>
      <c r="Z76" s="412"/>
    </row>
    <row r="77" ht="13.5" customHeight="1">
      <c r="A77" s="422"/>
      <c r="B77" s="423"/>
      <c r="C77" s="437"/>
      <c r="D77" s="426"/>
      <c r="E77" s="426"/>
      <c r="F77" s="426"/>
      <c r="G77" s="426"/>
      <c r="H77" s="428"/>
      <c r="I77" s="428"/>
      <c r="J77" s="428"/>
      <c r="K77" s="429"/>
      <c r="L77" s="429"/>
      <c r="M77" s="430"/>
      <c r="N77" s="429"/>
      <c r="O77" s="431"/>
      <c r="P77" s="432"/>
      <c r="Q77" s="432"/>
      <c r="R77" s="433"/>
      <c r="S77" s="434"/>
      <c r="T77" s="412"/>
      <c r="U77" s="412"/>
      <c r="V77" s="412"/>
      <c r="W77" s="412"/>
      <c r="X77" s="412"/>
      <c r="Y77" s="412"/>
      <c r="Z77" s="412"/>
    </row>
    <row r="78" ht="13.5" customHeight="1">
      <c r="A78" s="473"/>
      <c r="B78" s="412"/>
      <c r="C78" s="412"/>
      <c r="D78" s="412"/>
      <c r="E78" s="412"/>
      <c r="F78" s="412"/>
      <c r="G78" s="412"/>
      <c r="H78" s="412"/>
      <c r="I78" s="412"/>
      <c r="J78" s="412"/>
      <c r="K78" s="412"/>
      <c r="L78" s="412"/>
      <c r="M78" s="412"/>
      <c r="N78" s="412"/>
      <c r="O78" s="412"/>
      <c r="P78" s="412"/>
      <c r="Q78" s="412"/>
      <c r="R78" s="412"/>
      <c r="S78" s="412"/>
      <c r="T78" s="412"/>
      <c r="U78" s="412"/>
      <c r="V78" s="412"/>
      <c r="W78" s="412"/>
      <c r="X78" s="412"/>
      <c r="Y78" s="412"/>
      <c r="Z78" s="412"/>
    </row>
    <row r="79" ht="13.5" customHeight="1">
      <c r="A79" s="413" t="s">
        <v>4</v>
      </c>
      <c r="B79" s="414" t="s">
        <v>5</v>
      </c>
      <c r="C79" s="414" t="s">
        <v>6</v>
      </c>
      <c r="D79" s="468" t="s">
        <v>7</v>
      </c>
      <c r="E79" s="415" t="s">
        <v>2291</v>
      </c>
      <c r="F79" s="415" t="s">
        <v>8</v>
      </c>
      <c r="G79" s="415" t="s">
        <v>9</v>
      </c>
      <c r="H79" s="416" t="s">
        <v>10</v>
      </c>
      <c r="I79" s="416" t="s">
        <v>11</v>
      </c>
      <c r="J79" s="416" t="s">
        <v>12</v>
      </c>
      <c r="K79" s="417" t="s">
        <v>13</v>
      </c>
      <c r="L79" s="417" t="s">
        <v>14</v>
      </c>
      <c r="M79" s="417" t="s">
        <v>15</v>
      </c>
      <c r="N79" s="417" t="s">
        <v>16</v>
      </c>
      <c r="O79" s="418" t="s">
        <v>17</v>
      </c>
      <c r="P79" s="418" t="s">
        <v>18</v>
      </c>
      <c r="Q79" s="418" t="s">
        <v>19</v>
      </c>
      <c r="R79" s="419" t="s">
        <v>20</v>
      </c>
      <c r="S79" s="420" t="s">
        <v>21</v>
      </c>
      <c r="T79" s="412"/>
      <c r="U79" s="412"/>
      <c r="V79" s="412"/>
      <c r="W79" s="412"/>
      <c r="X79" s="412"/>
      <c r="Y79" s="412"/>
      <c r="Z79" s="412"/>
    </row>
    <row r="80" ht="13.5" customHeight="1">
      <c r="A80" s="422"/>
      <c r="B80" s="423"/>
      <c r="C80" s="437"/>
      <c r="D80" s="425" t="s">
        <v>82</v>
      </c>
      <c r="E80" s="426"/>
      <c r="F80" s="426"/>
      <c r="G80" s="426"/>
      <c r="H80" s="428"/>
      <c r="I80" s="428"/>
      <c r="J80" s="428"/>
      <c r="K80" s="429"/>
      <c r="L80" s="429"/>
      <c r="M80" s="430"/>
      <c r="N80" s="429"/>
      <c r="O80" s="431"/>
      <c r="P80" s="432"/>
      <c r="Q80" s="432"/>
      <c r="R80" s="433"/>
      <c r="S80" s="434"/>
      <c r="T80" s="412"/>
      <c r="U80" s="412"/>
      <c r="V80" s="412"/>
      <c r="W80" s="412"/>
      <c r="X80" s="412"/>
      <c r="Y80" s="412"/>
      <c r="Z80" s="412"/>
    </row>
    <row r="81" ht="13.5" customHeight="1">
      <c r="A81" s="422"/>
      <c r="B81" s="423"/>
      <c r="C81" s="437"/>
      <c r="D81" s="426"/>
      <c r="E81" s="426"/>
      <c r="F81" s="426"/>
      <c r="G81" s="426"/>
      <c r="H81" s="427" t="s">
        <v>2326</v>
      </c>
      <c r="I81" s="428"/>
      <c r="J81" s="428"/>
      <c r="K81" s="429"/>
      <c r="L81" s="429"/>
      <c r="M81" s="430"/>
      <c r="N81" s="429"/>
      <c r="O81" s="431"/>
      <c r="P81" s="432"/>
      <c r="Q81" s="432"/>
      <c r="R81" s="433"/>
      <c r="S81" s="434"/>
      <c r="T81" s="412"/>
      <c r="U81" s="412"/>
      <c r="V81" s="412"/>
      <c r="W81" s="412"/>
      <c r="X81" s="412"/>
      <c r="Y81" s="412"/>
      <c r="Z81" s="412"/>
    </row>
    <row r="82" ht="13.5" customHeight="1">
      <c r="A82" s="422"/>
      <c r="B82" s="423"/>
      <c r="C82" s="437"/>
      <c r="D82" s="426"/>
      <c r="E82" s="426"/>
      <c r="F82" s="426"/>
      <c r="G82" s="426"/>
      <c r="H82" s="428"/>
      <c r="I82" s="428"/>
      <c r="J82" s="428"/>
      <c r="K82" s="429"/>
      <c r="L82" s="429"/>
      <c r="M82" s="430"/>
      <c r="N82" s="429"/>
      <c r="O82" s="431"/>
      <c r="P82" s="432"/>
      <c r="Q82" s="432"/>
      <c r="R82" s="433"/>
      <c r="S82" s="434"/>
      <c r="T82" s="412"/>
      <c r="U82" s="412"/>
      <c r="V82" s="412"/>
      <c r="W82" s="412"/>
      <c r="X82" s="412"/>
      <c r="Y82" s="412"/>
      <c r="Z82" s="412"/>
    </row>
    <row r="83" ht="13.5" customHeight="1">
      <c r="A83" s="422"/>
      <c r="B83" s="423"/>
      <c r="C83" s="437"/>
      <c r="D83" s="426"/>
      <c r="E83" s="426"/>
      <c r="F83" s="426"/>
      <c r="G83" s="426"/>
      <c r="H83" s="428"/>
      <c r="I83" s="428"/>
      <c r="J83" s="428"/>
      <c r="K83" s="429"/>
      <c r="L83" s="429"/>
      <c r="M83" s="430"/>
      <c r="N83" s="429"/>
      <c r="O83" s="431"/>
      <c r="P83" s="432"/>
      <c r="Q83" s="432"/>
      <c r="R83" s="433"/>
      <c r="S83" s="434"/>
      <c r="T83" s="412"/>
      <c r="U83" s="412"/>
      <c r="V83" s="412"/>
      <c r="W83" s="412"/>
      <c r="X83" s="412"/>
      <c r="Y83" s="412"/>
      <c r="Z83" s="412"/>
    </row>
    <row r="84" ht="13.5" customHeight="1">
      <c r="A84" s="422"/>
      <c r="B84" s="423"/>
      <c r="C84" s="437"/>
      <c r="D84" s="426"/>
      <c r="E84" s="426"/>
      <c r="F84" s="426"/>
      <c r="G84" s="426"/>
      <c r="H84" s="428"/>
      <c r="I84" s="428"/>
      <c r="J84" s="428"/>
      <c r="K84" s="429"/>
      <c r="L84" s="429"/>
      <c r="M84" s="430"/>
      <c r="N84" s="429"/>
      <c r="O84" s="431"/>
      <c r="P84" s="432"/>
      <c r="Q84" s="432"/>
      <c r="R84" s="433"/>
      <c r="S84" s="434"/>
      <c r="T84" s="412"/>
      <c r="U84" s="412"/>
      <c r="V84" s="412"/>
      <c r="W84" s="412"/>
      <c r="X84" s="412"/>
      <c r="Y84" s="412"/>
      <c r="Z84" s="412"/>
    </row>
    <row r="85" ht="13.5" customHeight="1">
      <c r="A85" s="422"/>
      <c r="B85" s="423"/>
      <c r="C85" s="437"/>
      <c r="D85" s="426"/>
      <c r="E85" s="426"/>
      <c r="F85" s="426"/>
      <c r="G85" s="426"/>
      <c r="H85" s="428"/>
      <c r="I85" s="428"/>
      <c r="J85" s="428"/>
      <c r="K85" s="429"/>
      <c r="L85" s="429"/>
      <c r="M85" s="430"/>
      <c r="N85" s="429"/>
      <c r="O85" s="431"/>
      <c r="P85" s="432"/>
      <c r="Q85" s="432"/>
      <c r="R85" s="433"/>
      <c r="S85" s="434"/>
      <c r="T85" s="412"/>
      <c r="U85" s="412"/>
      <c r="V85" s="412"/>
      <c r="W85" s="412"/>
      <c r="X85" s="412"/>
      <c r="Y85" s="412"/>
      <c r="Z85" s="412"/>
    </row>
    <row r="86" ht="13.5" customHeight="1">
      <c r="A86" s="422"/>
      <c r="B86" s="423"/>
      <c r="C86" s="437"/>
      <c r="D86" s="426"/>
      <c r="E86" s="426"/>
      <c r="F86" s="426"/>
      <c r="G86" s="426"/>
      <c r="H86" s="428"/>
      <c r="I86" s="428"/>
      <c r="J86" s="428"/>
      <c r="K86" s="429"/>
      <c r="L86" s="429"/>
      <c r="M86" s="430"/>
      <c r="N86" s="429"/>
      <c r="O86" s="431"/>
      <c r="P86" s="432"/>
      <c r="Q86" s="432"/>
      <c r="R86" s="433"/>
      <c r="S86" s="434"/>
      <c r="T86" s="412"/>
      <c r="U86" s="412"/>
      <c r="V86" s="412"/>
      <c r="W86" s="412"/>
      <c r="X86" s="412"/>
      <c r="Y86" s="412"/>
      <c r="Z86" s="412"/>
    </row>
    <row r="87" ht="13.5" customHeight="1">
      <c r="A87" s="422"/>
      <c r="B87" s="423"/>
      <c r="C87" s="437"/>
      <c r="D87" s="426"/>
      <c r="E87" s="426"/>
      <c r="F87" s="426"/>
      <c r="G87" s="426"/>
      <c r="H87" s="428"/>
      <c r="I87" s="428"/>
      <c r="J87" s="428"/>
      <c r="K87" s="429"/>
      <c r="L87" s="429"/>
      <c r="M87" s="430"/>
      <c r="N87" s="429"/>
      <c r="O87" s="431"/>
      <c r="P87" s="432"/>
      <c r="Q87" s="432"/>
      <c r="R87" s="433"/>
      <c r="S87" s="434"/>
      <c r="T87" s="412"/>
      <c r="U87" s="412"/>
      <c r="V87" s="412"/>
      <c r="W87" s="412"/>
      <c r="X87" s="412"/>
      <c r="Y87" s="412"/>
      <c r="Z87" s="412"/>
    </row>
    <row r="88" ht="13.5" customHeight="1">
      <c r="A88" s="473"/>
      <c r="B88" s="412"/>
      <c r="C88" s="412"/>
      <c r="D88" s="412"/>
      <c r="E88" s="412"/>
      <c r="F88" s="412"/>
      <c r="G88" s="412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2"/>
      <c r="S88" s="412"/>
      <c r="T88" s="412"/>
      <c r="U88" s="412"/>
      <c r="V88" s="412"/>
      <c r="W88" s="412"/>
      <c r="X88" s="412"/>
      <c r="Y88" s="412"/>
      <c r="Z88" s="412"/>
    </row>
    <row r="89" ht="13.5" customHeight="1">
      <c r="A89" s="413" t="s">
        <v>4</v>
      </c>
      <c r="B89" s="414" t="s">
        <v>5</v>
      </c>
      <c r="C89" s="414" t="s">
        <v>6</v>
      </c>
      <c r="D89" s="468" t="s">
        <v>7</v>
      </c>
      <c r="E89" s="415" t="s">
        <v>2291</v>
      </c>
      <c r="F89" s="415" t="s">
        <v>8</v>
      </c>
      <c r="G89" s="415" t="s">
        <v>9</v>
      </c>
      <c r="H89" s="416" t="s">
        <v>10</v>
      </c>
      <c r="I89" s="416" t="s">
        <v>11</v>
      </c>
      <c r="J89" s="416" t="s">
        <v>12</v>
      </c>
      <c r="K89" s="417" t="s">
        <v>13</v>
      </c>
      <c r="L89" s="417" t="s">
        <v>14</v>
      </c>
      <c r="M89" s="417" t="s">
        <v>15</v>
      </c>
      <c r="N89" s="417" t="s">
        <v>16</v>
      </c>
      <c r="O89" s="418" t="s">
        <v>17</v>
      </c>
      <c r="P89" s="418" t="s">
        <v>18</v>
      </c>
      <c r="Q89" s="418" t="s">
        <v>19</v>
      </c>
      <c r="R89" s="419" t="s">
        <v>20</v>
      </c>
      <c r="S89" s="420" t="s">
        <v>21</v>
      </c>
      <c r="T89" s="412"/>
      <c r="U89" s="412"/>
      <c r="V89" s="412"/>
      <c r="W89" s="412"/>
      <c r="X89" s="412"/>
      <c r="Y89" s="412"/>
      <c r="Z89" s="412"/>
    </row>
    <row r="90" ht="13.5" customHeight="1">
      <c r="A90" s="422"/>
      <c r="B90" s="423">
        <v>46063.0</v>
      </c>
      <c r="C90" s="424" t="s">
        <v>193</v>
      </c>
      <c r="D90" s="425" t="s">
        <v>82</v>
      </c>
      <c r="E90" s="425" t="s">
        <v>2327</v>
      </c>
      <c r="F90" s="426"/>
      <c r="G90" s="426"/>
      <c r="H90" s="428"/>
      <c r="I90" s="428"/>
      <c r="J90" s="428"/>
      <c r="K90" s="429"/>
      <c r="L90" s="429"/>
      <c r="M90" s="430"/>
      <c r="N90" s="429"/>
      <c r="O90" s="431"/>
      <c r="P90" s="432"/>
      <c r="Q90" s="432"/>
      <c r="R90" s="433"/>
      <c r="S90" s="434"/>
      <c r="T90" s="412"/>
      <c r="U90" s="412"/>
      <c r="V90" s="412"/>
      <c r="W90" s="412"/>
      <c r="X90" s="412"/>
      <c r="Y90" s="412"/>
      <c r="Z90" s="412"/>
    </row>
    <row r="91" ht="13.5" customHeight="1">
      <c r="A91" s="422"/>
      <c r="B91" s="423"/>
      <c r="C91" s="437"/>
      <c r="D91" s="426"/>
      <c r="E91" s="425" t="s">
        <v>2328</v>
      </c>
      <c r="F91" s="426">
        <v>-180.0</v>
      </c>
      <c r="G91" s="426"/>
      <c r="H91" s="428"/>
      <c r="I91" s="428"/>
      <c r="J91" s="428"/>
      <c r="K91" s="429"/>
      <c r="L91" s="429"/>
      <c r="M91" s="430"/>
      <c r="N91" s="429"/>
      <c r="O91" s="431"/>
      <c r="P91" s="432"/>
      <c r="Q91" s="432"/>
      <c r="R91" s="433"/>
      <c r="S91" s="434"/>
      <c r="T91" s="412"/>
      <c r="U91" s="412"/>
      <c r="V91" s="412"/>
      <c r="W91" s="412"/>
      <c r="X91" s="412"/>
      <c r="Y91" s="412"/>
      <c r="Z91" s="412"/>
    </row>
    <row r="92" ht="13.5" customHeight="1">
      <c r="A92" s="422"/>
      <c r="B92" s="423"/>
      <c r="C92" s="437"/>
      <c r="D92" s="426"/>
      <c r="E92" s="425" t="s">
        <v>2329</v>
      </c>
      <c r="F92" s="425" t="s">
        <v>2330</v>
      </c>
      <c r="G92" s="426"/>
      <c r="H92" s="428"/>
      <c r="I92" s="428"/>
      <c r="J92" s="428"/>
      <c r="K92" s="429"/>
      <c r="L92" s="429"/>
      <c r="M92" s="430"/>
      <c r="N92" s="429"/>
      <c r="O92" s="431"/>
      <c r="P92" s="432"/>
      <c r="Q92" s="432"/>
      <c r="R92" s="433"/>
      <c r="S92" s="434"/>
      <c r="T92" s="412"/>
      <c r="U92" s="412"/>
      <c r="V92" s="412"/>
      <c r="W92" s="412"/>
      <c r="X92" s="412"/>
      <c r="Y92" s="412"/>
      <c r="Z92" s="412"/>
    </row>
    <row r="93" ht="13.5" customHeight="1">
      <c r="A93" s="422"/>
      <c r="B93" s="423"/>
      <c r="C93" s="437"/>
      <c r="D93" s="426"/>
      <c r="E93" s="425" t="s">
        <v>2331</v>
      </c>
      <c r="F93" s="425" t="s">
        <v>2332</v>
      </c>
      <c r="G93" s="426"/>
      <c r="H93" s="428"/>
      <c r="I93" s="428"/>
      <c r="J93" s="427" t="s">
        <v>2333</v>
      </c>
      <c r="K93" s="429"/>
      <c r="L93" s="429"/>
      <c r="M93" s="430"/>
      <c r="N93" s="429"/>
      <c r="O93" s="431"/>
      <c r="P93" s="432"/>
      <c r="Q93" s="432"/>
      <c r="R93" s="433"/>
      <c r="S93" s="434"/>
      <c r="T93" s="412"/>
      <c r="U93" s="412"/>
      <c r="V93" s="412"/>
      <c r="W93" s="412"/>
      <c r="X93" s="412"/>
      <c r="Y93" s="412"/>
      <c r="Z93" s="412"/>
    </row>
    <row r="94" ht="13.5" customHeight="1">
      <c r="A94" s="422"/>
      <c r="B94" s="423"/>
      <c r="C94" s="424" t="s">
        <v>65</v>
      </c>
      <c r="D94" s="426"/>
      <c r="E94" s="425" t="s">
        <v>2334</v>
      </c>
      <c r="F94" s="425" t="s">
        <v>2335</v>
      </c>
      <c r="G94" s="426"/>
      <c r="H94" s="428"/>
      <c r="I94" s="428"/>
      <c r="J94" s="428"/>
      <c r="K94" s="429"/>
      <c r="L94" s="429"/>
      <c r="M94" s="430"/>
      <c r="N94" s="429"/>
      <c r="O94" s="431"/>
      <c r="P94" s="432"/>
      <c r="Q94" s="432"/>
      <c r="R94" s="433"/>
      <c r="S94" s="434"/>
      <c r="T94" s="412"/>
      <c r="U94" s="412"/>
      <c r="V94" s="412"/>
      <c r="W94" s="412"/>
      <c r="X94" s="412"/>
      <c r="Y94" s="412"/>
      <c r="Z94" s="412"/>
    </row>
    <row r="95" ht="13.5" customHeight="1">
      <c r="A95" s="422"/>
      <c r="B95" s="423"/>
      <c r="C95" s="437"/>
      <c r="D95" s="426"/>
      <c r="E95" s="425" t="s">
        <v>2336</v>
      </c>
      <c r="F95" s="426">
        <v>120.0</v>
      </c>
      <c r="G95" s="426"/>
      <c r="H95" s="428"/>
      <c r="I95" s="428"/>
      <c r="J95" s="428"/>
      <c r="K95" s="429"/>
      <c r="L95" s="429"/>
      <c r="M95" s="430"/>
      <c r="N95" s="429"/>
      <c r="O95" s="431"/>
      <c r="P95" s="432"/>
      <c r="Q95" s="432"/>
      <c r="R95" s="433"/>
      <c r="S95" s="434"/>
      <c r="T95" s="412"/>
      <c r="U95" s="412"/>
      <c r="V95" s="412"/>
      <c r="W95" s="412"/>
      <c r="X95" s="412"/>
      <c r="Y95" s="412"/>
      <c r="Z95" s="412"/>
    </row>
    <row r="96" ht="13.5" customHeight="1">
      <c r="A96" s="422"/>
      <c r="B96" s="423"/>
      <c r="C96" s="437"/>
      <c r="D96" s="426"/>
      <c r="E96" s="425" t="s">
        <v>2337</v>
      </c>
      <c r="F96" s="426">
        <v>35.0</v>
      </c>
      <c r="G96" s="426"/>
      <c r="H96" s="428"/>
      <c r="I96" s="428"/>
      <c r="J96" s="428"/>
      <c r="K96" s="429"/>
      <c r="L96" s="429"/>
      <c r="M96" s="430"/>
      <c r="N96" s="429"/>
      <c r="O96" s="431"/>
      <c r="P96" s="432"/>
      <c r="Q96" s="432"/>
      <c r="R96" s="433"/>
      <c r="S96" s="434"/>
      <c r="T96" s="412"/>
      <c r="U96" s="412"/>
      <c r="V96" s="412"/>
      <c r="W96" s="412"/>
      <c r="X96" s="412"/>
      <c r="Y96" s="412"/>
      <c r="Z96" s="412"/>
    </row>
    <row r="97" ht="13.5" customHeight="1">
      <c r="A97" s="422"/>
      <c r="B97" s="423"/>
      <c r="C97" s="437"/>
      <c r="D97" s="426"/>
      <c r="E97" s="425" t="s">
        <v>2338</v>
      </c>
      <c r="F97" s="426">
        <v>35.0</v>
      </c>
      <c r="G97" s="426"/>
      <c r="H97" s="428"/>
      <c r="I97" s="428"/>
      <c r="J97" s="428"/>
      <c r="K97" s="429"/>
      <c r="L97" s="429"/>
      <c r="M97" s="430"/>
      <c r="N97" s="429"/>
      <c r="O97" s="431"/>
      <c r="P97" s="432"/>
      <c r="Q97" s="432"/>
      <c r="R97" s="433"/>
      <c r="S97" s="434"/>
      <c r="T97" s="412"/>
      <c r="U97" s="412"/>
      <c r="V97" s="412"/>
      <c r="W97" s="412"/>
      <c r="X97" s="412"/>
      <c r="Y97" s="412"/>
      <c r="Z97" s="412"/>
    </row>
    <row r="98" ht="13.5" customHeight="1">
      <c r="A98" s="422"/>
      <c r="B98" s="423"/>
      <c r="C98" s="437"/>
      <c r="D98" s="426"/>
      <c r="E98" s="425" t="s">
        <v>2339</v>
      </c>
      <c r="F98" s="426">
        <v>-35.0</v>
      </c>
      <c r="G98" s="426"/>
      <c r="H98" s="428"/>
      <c r="I98" s="428"/>
      <c r="J98" s="428"/>
      <c r="K98" s="429"/>
      <c r="L98" s="429"/>
      <c r="M98" s="430"/>
      <c r="N98" s="429"/>
      <c r="O98" s="431"/>
      <c r="P98" s="432"/>
      <c r="Q98" s="432"/>
      <c r="R98" s="433"/>
      <c r="S98" s="434"/>
      <c r="T98" s="412"/>
      <c r="U98" s="412"/>
      <c r="V98" s="412"/>
      <c r="W98" s="412"/>
      <c r="X98" s="412"/>
      <c r="Y98" s="412"/>
      <c r="Z98" s="412"/>
    </row>
    <row r="99" ht="13.5" customHeight="1">
      <c r="A99" s="422"/>
      <c r="B99" s="423"/>
      <c r="C99" s="437"/>
      <c r="D99" s="426"/>
      <c r="E99" s="425" t="s">
        <v>2340</v>
      </c>
      <c r="F99" s="425" t="s">
        <v>2341</v>
      </c>
      <c r="G99" s="426"/>
      <c r="H99" s="428"/>
      <c r="I99" s="428"/>
      <c r="J99" s="428"/>
      <c r="K99" s="429"/>
      <c r="L99" s="429"/>
      <c r="M99" s="430"/>
      <c r="N99" s="429"/>
      <c r="O99" s="431"/>
      <c r="P99" s="432"/>
      <c r="Q99" s="432"/>
      <c r="R99" s="433"/>
      <c r="S99" s="434"/>
      <c r="T99" s="412"/>
      <c r="U99" s="412"/>
      <c r="V99" s="412"/>
      <c r="W99" s="412"/>
      <c r="X99" s="412"/>
      <c r="Y99" s="412"/>
      <c r="Z99" s="412"/>
    </row>
    <row r="100" ht="13.5" customHeight="1">
      <c r="A100" s="422"/>
      <c r="B100" s="423"/>
      <c r="C100" s="437"/>
      <c r="D100" s="426"/>
      <c r="E100" s="425" t="s">
        <v>2342</v>
      </c>
      <c r="F100" s="425" t="s">
        <v>2343</v>
      </c>
      <c r="G100" s="426"/>
      <c r="H100" s="428"/>
      <c r="I100" s="428"/>
      <c r="J100" s="428"/>
      <c r="K100" s="429"/>
      <c r="L100" s="429"/>
      <c r="M100" s="430"/>
      <c r="N100" s="429"/>
      <c r="O100" s="431"/>
      <c r="P100" s="432"/>
      <c r="Q100" s="432"/>
      <c r="R100" s="433"/>
      <c r="S100" s="434"/>
      <c r="T100" s="412"/>
      <c r="U100" s="412"/>
      <c r="V100" s="412"/>
      <c r="W100" s="412"/>
      <c r="X100" s="412"/>
      <c r="Y100" s="412"/>
      <c r="Z100" s="412"/>
    </row>
    <row r="101" ht="13.5" customHeight="1">
      <c r="A101" s="422"/>
      <c r="B101" s="423"/>
      <c r="C101" s="437"/>
      <c r="D101" s="426"/>
      <c r="E101" s="426"/>
      <c r="F101" s="426"/>
      <c r="G101" s="426"/>
      <c r="H101" s="428"/>
      <c r="I101" s="428"/>
      <c r="J101" s="428"/>
      <c r="K101" s="429"/>
      <c r="L101" s="429"/>
      <c r="M101" s="430"/>
      <c r="N101" s="429"/>
      <c r="O101" s="431"/>
      <c r="P101" s="432"/>
      <c r="Q101" s="432"/>
      <c r="R101" s="433"/>
      <c r="S101" s="434"/>
      <c r="T101" s="412"/>
      <c r="U101" s="412"/>
      <c r="V101" s="412"/>
      <c r="W101" s="412"/>
      <c r="X101" s="412"/>
      <c r="Y101" s="412"/>
      <c r="Z101" s="412"/>
    </row>
    <row r="102" ht="13.5" customHeight="1">
      <c r="A102" s="422"/>
      <c r="B102" s="423"/>
      <c r="C102" s="437"/>
      <c r="D102" s="426"/>
      <c r="E102" s="474" t="s">
        <v>2344</v>
      </c>
      <c r="F102" s="474" t="s">
        <v>2345</v>
      </c>
      <c r="G102" s="475"/>
      <c r="H102" s="476" t="s">
        <v>140</v>
      </c>
      <c r="I102" s="428"/>
      <c r="J102" s="428"/>
      <c r="K102" s="429"/>
      <c r="L102" s="429"/>
      <c r="M102" s="430"/>
      <c r="N102" s="429"/>
      <c r="O102" s="431"/>
      <c r="P102" s="432"/>
      <c r="Q102" s="432"/>
      <c r="R102" s="433"/>
      <c r="S102" s="434"/>
      <c r="T102" s="412"/>
      <c r="U102" s="412"/>
      <c r="V102" s="412"/>
      <c r="W102" s="412"/>
      <c r="X102" s="412"/>
      <c r="Y102" s="412"/>
      <c r="Z102" s="412"/>
    </row>
    <row r="103" ht="13.5" customHeight="1">
      <c r="A103" s="477"/>
      <c r="B103" s="478"/>
      <c r="C103" s="479"/>
      <c r="D103" s="480"/>
      <c r="E103" s="474" t="s">
        <v>2344</v>
      </c>
      <c r="F103" s="474" t="s">
        <v>2346</v>
      </c>
      <c r="G103" s="475"/>
      <c r="H103" s="476" t="s">
        <v>140</v>
      </c>
      <c r="I103" s="481"/>
      <c r="J103" s="481"/>
      <c r="K103" s="482"/>
      <c r="L103" s="482"/>
      <c r="M103" s="483"/>
      <c r="N103" s="482"/>
      <c r="O103" s="484"/>
      <c r="P103" s="485"/>
      <c r="Q103" s="485"/>
      <c r="R103" s="486"/>
      <c r="S103" s="487"/>
      <c r="T103" s="412"/>
      <c r="U103" s="412"/>
      <c r="V103" s="412"/>
      <c r="W103" s="412"/>
      <c r="X103" s="412"/>
      <c r="Y103" s="412"/>
      <c r="Z103" s="412"/>
    </row>
    <row r="104" ht="13.5" customHeight="1">
      <c r="A104" s="477"/>
      <c r="B104" s="478"/>
      <c r="C104" s="479"/>
      <c r="D104" s="480"/>
      <c r="E104" s="424" t="s">
        <v>2347</v>
      </c>
      <c r="F104" s="424" t="s">
        <v>2348</v>
      </c>
      <c r="G104" s="437"/>
      <c r="H104" s="428"/>
      <c r="I104" s="481"/>
      <c r="J104" s="481"/>
      <c r="K104" s="482"/>
      <c r="L104" s="482"/>
      <c r="M104" s="483"/>
      <c r="N104" s="482"/>
      <c r="O104" s="484"/>
      <c r="P104" s="485"/>
      <c r="Q104" s="485"/>
      <c r="R104" s="486"/>
      <c r="S104" s="487"/>
      <c r="T104" s="412"/>
      <c r="U104" s="412"/>
      <c r="V104" s="412"/>
      <c r="W104" s="412"/>
      <c r="X104" s="412"/>
      <c r="Y104" s="412"/>
      <c r="Z104" s="412"/>
    </row>
    <row r="105" ht="13.5" customHeight="1">
      <c r="A105" s="422"/>
      <c r="B105" s="423"/>
      <c r="C105" s="437"/>
      <c r="D105" s="426"/>
      <c r="E105" s="426" t="s">
        <v>61</v>
      </c>
      <c r="F105" s="426"/>
      <c r="G105" s="426"/>
      <c r="H105" s="428"/>
      <c r="I105" s="428"/>
      <c r="J105" s="428"/>
      <c r="K105" s="429"/>
      <c r="L105" s="429"/>
      <c r="M105" s="430"/>
      <c r="N105" s="429"/>
      <c r="O105" s="431"/>
      <c r="P105" s="432"/>
      <c r="Q105" s="432"/>
      <c r="R105" s="433"/>
      <c r="S105" s="434"/>
      <c r="T105" s="412"/>
      <c r="U105" s="412"/>
      <c r="V105" s="412"/>
      <c r="W105" s="412"/>
      <c r="X105" s="412"/>
      <c r="Y105" s="412"/>
      <c r="Z105" s="412"/>
    </row>
    <row r="106" ht="13.5" customHeight="1">
      <c r="A106" s="473"/>
      <c r="B106" s="412"/>
      <c r="C106" s="412"/>
      <c r="D106" s="412"/>
      <c r="E106" s="412"/>
      <c r="F106" s="412"/>
      <c r="G106" s="412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2"/>
      <c r="S106" s="412"/>
      <c r="T106" s="412"/>
      <c r="U106" s="412"/>
      <c r="V106" s="412"/>
      <c r="W106" s="412"/>
      <c r="X106" s="412"/>
      <c r="Y106" s="412"/>
      <c r="Z106" s="412"/>
    </row>
    <row r="107" ht="13.5" customHeight="1">
      <c r="A107" s="488" t="s">
        <v>4</v>
      </c>
      <c r="B107" s="489" t="s">
        <v>5</v>
      </c>
      <c r="C107" s="489" t="s">
        <v>6</v>
      </c>
      <c r="D107" s="490" t="s">
        <v>7</v>
      </c>
      <c r="E107" s="491" t="s">
        <v>2291</v>
      </c>
      <c r="F107" s="491" t="s">
        <v>8</v>
      </c>
      <c r="G107" s="491" t="s">
        <v>9</v>
      </c>
      <c r="H107" s="492" t="s">
        <v>10</v>
      </c>
      <c r="I107" s="492" t="s">
        <v>11</v>
      </c>
      <c r="J107" s="492" t="s">
        <v>12</v>
      </c>
      <c r="K107" s="493" t="s">
        <v>13</v>
      </c>
      <c r="L107" s="493" t="s">
        <v>14</v>
      </c>
      <c r="M107" s="493" t="s">
        <v>15</v>
      </c>
      <c r="N107" s="493" t="s">
        <v>16</v>
      </c>
      <c r="O107" s="494" t="s">
        <v>17</v>
      </c>
      <c r="P107" s="494" t="s">
        <v>18</v>
      </c>
      <c r="Q107" s="494" t="s">
        <v>19</v>
      </c>
      <c r="R107" s="495" t="s">
        <v>20</v>
      </c>
      <c r="S107" s="496" t="s">
        <v>21</v>
      </c>
      <c r="T107" s="412"/>
      <c r="U107" s="412"/>
      <c r="V107" s="412"/>
      <c r="W107" s="412"/>
      <c r="X107" s="412"/>
      <c r="Y107" s="412"/>
      <c r="Z107" s="412"/>
    </row>
    <row r="108" ht="13.5" customHeight="1">
      <c r="A108" s="497"/>
      <c r="B108" s="498"/>
      <c r="C108" s="499"/>
      <c r="D108" s="500" t="s">
        <v>82</v>
      </c>
      <c r="E108" s="501"/>
      <c r="F108" s="501"/>
      <c r="G108" s="501"/>
      <c r="H108" s="502"/>
      <c r="I108" s="502"/>
      <c r="J108" s="503" t="s">
        <v>2349</v>
      </c>
      <c r="K108" s="504"/>
      <c r="L108" s="504"/>
      <c r="M108" s="505"/>
      <c r="N108" s="504"/>
      <c r="O108" s="506"/>
      <c r="P108" s="507"/>
      <c r="Q108" s="507"/>
      <c r="R108" s="508"/>
      <c r="S108" s="509"/>
      <c r="T108" s="412"/>
      <c r="U108" s="412"/>
      <c r="V108" s="412"/>
      <c r="W108" s="412"/>
      <c r="X108" s="412"/>
      <c r="Y108" s="412"/>
      <c r="Z108" s="412"/>
    </row>
    <row r="109" ht="13.5" customHeight="1">
      <c r="A109" s="497"/>
      <c r="B109" s="498"/>
      <c r="C109" s="510" t="s">
        <v>81</v>
      </c>
      <c r="D109" s="500" t="s">
        <v>82</v>
      </c>
      <c r="E109" s="500" t="s">
        <v>2350</v>
      </c>
      <c r="F109" s="501"/>
      <c r="G109" s="501"/>
      <c r="H109" s="502"/>
      <c r="I109" s="502"/>
      <c r="J109" s="502"/>
      <c r="K109" s="504"/>
      <c r="L109" s="504"/>
      <c r="M109" s="505"/>
      <c r="N109" s="504"/>
      <c r="O109" s="506"/>
      <c r="P109" s="507"/>
      <c r="Q109" s="507"/>
      <c r="R109" s="508"/>
      <c r="S109" s="509"/>
      <c r="T109" s="412"/>
      <c r="U109" s="412"/>
      <c r="V109" s="412"/>
      <c r="W109" s="412"/>
      <c r="X109" s="412"/>
      <c r="Y109" s="412"/>
      <c r="Z109" s="412"/>
    </row>
    <row r="110" ht="13.5" customHeight="1">
      <c r="A110" s="511" t="s">
        <v>2351</v>
      </c>
      <c r="B110" s="512" t="s">
        <v>2352</v>
      </c>
      <c r="C110" s="513" t="s">
        <v>2353</v>
      </c>
      <c r="D110" s="514" t="s">
        <v>2354</v>
      </c>
      <c r="E110" s="514" t="s">
        <v>2355</v>
      </c>
      <c r="F110" s="514" t="s">
        <v>2356</v>
      </c>
      <c r="G110" s="514" t="s">
        <v>2357</v>
      </c>
      <c r="H110" s="515" t="s">
        <v>2358</v>
      </c>
      <c r="I110" s="515" t="s">
        <v>2359</v>
      </c>
      <c r="J110" s="515" t="s">
        <v>2360</v>
      </c>
      <c r="K110" s="516" t="s">
        <v>2361</v>
      </c>
      <c r="L110" s="516" t="s">
        <v>2362</v>
      </c>
      <c r="M110" s="517" t="s">
        <v>2363</v>
      </c>
      <c r="N110" s="516" t="s">
        <v>2364</v>
      </c>
      <c r="O110" s="518" t="s">
        <v>2365</v>
      </c>
      <c r="P110" s="519" t="s">
        <v>2366</v>
      </c>
      <c r="Q110" s="519" t="s">
        <v>2367</v>
      </c>
      <c r="R110" s="520" t="s">
        <v>2368</v>
      </c>
      <c r="S110" s="521" t="s">
        <v>2369</v>
      </c>
      <c r="T110" s="412"/>
      <c r="U110" s="412"/>
      <c r="V110" s="412"/>
      <c r="W110" s="412"/>
      <c r="X110" s="412"/>
      <c r="Y110" s="412"/>
      <c r="Z110" s="412"/>
    </row>
    <row r="111" ht="13.5" customHeight="1">
      <c r="A111" s="422"/>
      <c r="B111" s="423"/>
      <c r="C111" s="437"/>
      <c r="D111" s="425" t="s">
        <v>2370</v>
      </c>
      <c r="E111" s="426"/>
      <c r="F111" s="426"/>
      <c r="G111" s="426"/>
      <c r="H111" s="428"/>
      <c r="I111" s="428"/>
      <c r="J111" s="428"/>
      <c r="K111" s="429"/>
      <c r="L111" s="429"/>
      <c r="M111" s="430"/>
      <c r="N111" s="429"/>
      <c r="O111" s="431"/>
      <c r="P111" s="432"/>
      <c r="Q111" s="432"/>
      <c r="R111" s="433"/>
      <c r="S111" s="434"/>
      <c r="T111" s="412"/>
      <c r="U111" s="412"/>
      <c r="V111" s="412"/>
      <c r="W111" s="412"/>
      <c r="X111" s="412"/>
      <c r="Y111" s="412"/>
      <c r="Z111" s="412"/>
    </row>
    <row r="112" ht="13.5" customHeight="1">
      <c r="A112" s="422"/>
      <c r="B112" s="423"/>
      <c r="C112" s="437"/>
      <c r="D112" s="425" t="s">
        <v>2371</v>
      </c>
      <c r="E112" s="426"/>
      <c r="F112" s="426"/>
      <c r="G112" s="426"/>
      <c r="H112" s="428"/>
      <c r="I112" s="428"/>
      <c r="J112" s="428"/>
      <c r="K112" s="429"/>
      <c r="L112" s="429"/>
      <c r="M112" s="430"/>
      <c r="N112" s="429"/>
      <c r="O112" s="431"/>
      <c r="P112" s="432"/>
      <c r="Q112" s="432"/>
      <c r="R112" s="433"/>
      <c r="S112" s="434"/>
      <c r="T112" s="412"/>
      <c r="U112" s="412"/>
      <c r="V112" s="412"/>
      <c r="W112" s="412"/>
      <c r="X112" s="412"/>
      <c r="Y112" s="412"/>
      <c r="Z112" s="412"/>
    </row>
    <row r="113" ht="13.5" customHeight="1">
      <c r="A113" s="422"/>
      <c r="B113" s="423"/>
      <c r="C113" s="437"/>
      <c r="D113" s="522" t="s">
        <v>2372</v>
      </c>
      <c r="E113" s="426"/>
      <c r="F113" s="426"/>
      <c r="G113" s="426"/>
      <c r="H113" s="428"/>
      <c r="I113" s="428"/>
      <c r="J113" s="428"/>
      <c r="K113" s="429"/>
      <c r="L113" s="429"/>
      <c r="M113" s="430"/>
      <c r="N113" s="429"/>
      <c r="O113" s="431"/>
      <c r="P113" s="432"/>
      <c r="Q113" s="432"/>
      <c r="R113" s="433"/>
      <c r="S113" s="434"/>
      <c r="T113" s="412"/>
      <c r="U113" s="412"/>
      <c r="V113" s="412"/>
      <c r="W113" s="412"/>
      <c r="X113" s="412"/>
      <c r="Y113" s="412"/>
      <c r="Z113" s="412"/>
    </row>
    <row r="114" ht="13.5" customHeight="1">
      <c r="A114" s="422"/>
      <c r="B114" s="423"/>
      <c r="C114" s="437"/>
      <c r="D114" s="522" t="s">
        <v>2373</v>
      </c>
      <c r="E114" s="426"/>
      <c r="F114" s="426"/>
      <c r="G114" s="426"/>
      <c r="H114" s="428"/>
      <c r="I114" s="428"/>
      <c r="J114" s="428"/>
      <c r="K114" s="429"/>
      <c r="L114" s="429"/>
      <c r="M114" s="430"/>
      <c r="N114" s="429"/>
      <c r="O114" s="431"/>
      <c r="P114" s="432"/>
      <c r="Q114" s="432"/>
      <c r="R114" s="433"/>
      <c r="S114" s="434"/>
      <c r="T114" s="412"/>
      <c r="U114" s="412"/>
      <c r="V114" s="412"/>
      <c r="W114" s="412"/>
      <c r="X114" s="412"/>
      <c r="Y114" s="412"/>
      <c r="Z114" s="412"/>
    </row>
    <row r="115" ht="13.5" customHeight="1">
      <c r="A115" s="422"/>
      <c r="B115" s="423"/>
      <c r="C115" s="437"/>
      <c r="D115" s="523"/>
      <c r="E115" s="426"/>
      <c r="F115" s="426"/>
      <c r="G115" s="426"/>
      <c r="H115" s="428"/>
      <c r="I115" s="428"/>
      <c r="J115" s="428"/>
      <c r="K115" s="429"/>
      <c r="L115" s="429"/>
      <c r="M115" s="430"/>
      <c r="N115" s="429"/>
      <c r="O115" s="431"/>
      <c r="P115" s="432"/>
      <c r="Q115" s="432"/>
      <c r="R115" s="433"/>
      <c r="S115" s="434"/>
      <c r="T115" s="412"/>
      <c r="U115" s="412"/>
      <c r="V115" s="412"/>
      <c r="W115" s="412"/>
      <c r="X115" s="412"/>
      <c r="Y115" s="412"/>
      <c r="Z115" s="412"/>
    </row>
    <row r="116" ht="13.5" customHeight="1">
      <c r="A116" s="422"/>
      <c r="B116" s="423"/>
      <c r="C116" s="437"/>
      <c r="D116" s="523"/>
      <c r="E116" s="426"/>
      <c r="F116" s="426"/>
      <c r="G116" s="426"/>
      <c r="H116" s="428"/>
      <c r="I116" s="428"/>
      <c r="J116" s="428"/>
      <c r="K116" s="429"/>
      <c r="L116" s="429"/>
      <c r="M116" s="430"/>
      <c r="N116" s="429"/>
      <c r="O116" s="431"/>
      <c r="P116" s="432"/>
      <c r="Q116" s="432"/>
      <c r="R116" s="433"/>
      <c r="S116" s="434"/>
      <c r="T116" s="412"/>
      <c r="U116" s="412"/>
      <c r="V116" s="412"/>
      <c r="W116" s="412"/>
      <c r="X116" s="412"/>
      <c r="Y116" s="412"/>
      <c r="Z116" s="412"/>
    </row>
    <row r="117" ht="13.5" customHeight="1">
      <c r="A117" s="422"/>
      <c r="B117" s="423"/>
      <c r="C117" s="437"/>
      <c r="D117" s="523"/>
      <c r="E117" s="426"/>
      <c r="F117" s="426"/>
      <c r="G117" s="426"/>
      <c r="H117" s="428"/>
      <c r="I117" s="428"/>
      <c r="J117" s="428"/>
      <c r="K117" s="429"/>
      <c r="L117" s="429"/>
      <c r="M117" s="430"/>
      <c r="N117" s="429"/>
      <c r="O117" s="431"/>
      <c r="P117" s="432"/>
      <c r="Q117" s="432"/>
      <c r="R117" s="433"/>
      <c r="S117" s="434"/>
      <c r="T117" s="412"/>
      <c r="U117" s="412"/>
      <c r="V117" s="412"/>
      <c r="W117" s="412"/>
      <c r="X117" s="412"/>
      <c r="Y117" s="412"/>
      <c r="Z117" s="412"/>
    </row>
    <row r="118" ht="13.5" customHeight="1">
      <c r="A118" s="422"/>
      <c r="B118" s="423"/>
      <c r="C118" s="437"/>
      <c r="D118" s="426"/>
      <c r="E118" s="426"/>
      <c r="F118" s="426"/>
      <c r="G118" s="426"/>
      <c r="H118" s="428"/>
      <c r="I118" s="428"/>
      <c r="J118" s="428"/>
      <c r="K118" s="429"/>
      <c r="L118" s="429"/>
      <c r="M118" s="430"/>
      <c r="N118" s="429"/>
      <c r="O118" s="431"/>
      <c r="P118" s="432"/>
      <c r="Q118" s="432"/>
      <c r="R118" s="433"/>
      <c r="S118" s="434"/>
      <c r="T118" s="412"/>
      <c r="U118" s="412"/>
      <c r="V118" s="412"/>
      <c r="W118" s="412"/>
      <c r="X118" s="412"/>
      <c r="Y118" s="412"/>
      <c r="Z118" s="412"/>
    </row>
    <row r="119" ht="13.5" customHeight="1">
      <c r="A119" s="413" t="s">
        <v>4</v>
      </c>
      <c r="B119" s="414" t="s">
        <v>5</v>
      </c>
      <c r="C119" s="414" t="s">
        <v>6</v>
      </c>
      <c r="D119" s="468" t="s">
        <v>7</v>
      </c>
      <c r="E119" s="415" t="s">
        <v>2291</v>
      </c>
      <c r="F119" s="415" t="s">
        <v>8</v>
      </c>
      <c r="G119" s="415" t="s">
        <v>9</v>
      </c>
      <c r="H119" s="416" t="s">
        <v>10</v>
      </c>
      <c r="I119" s="416" t="s">
        <v>11</v>
      </c>
      <c r="J119" s="416" t="s">
        <v>12</v>
      </c>
      <c r="K119" s="417" t="s">
        <v>13</v>
      </c>
      <c r="L119" s="417" t="s">
        <v>14</v>
      </c>
      <c r="M119" s="417" t="s">
        <v>15</v>
      </c>
      <c r="N119" s="417" t="s">
        <v>16</v>
      </c>
      <c r="O119" s="418" t="s">
        <v>17</v>
      </c>
      <c r="P119" s="418" t="s">
        <v>18</v>
      </c>
      <c r="Q119" s="418" t="s">
        <v>19</v>
      </c>
      <c r="R119" s="419" t="s">
        <v>20</v>
      </c>
      <c r="S119" s="420" t="s">
        <v>21</v>
      </c>
      <c r="T119" s="412"/>
      <c r="U119" s="412"/>
      <c r="V119" s="412"/>
      <c r="W119" s="412"/>
      <c r="X119" s="412"/>
      <c r="Y119" s="412"/>
      <c r="Z119" s="412"/>
    </row>
    <row r="120" ht="13.5" customHeight="1">
      <c r="A120" s="422"/>
      <c r="B120" s="423"/>
      <c r="C120" s="437"/>
      <c r="D120" s="425" t="s">
        <v>82</v>
      </c>
      <c r="E120" s="425" t="s">
        <v>2298</v>
      </c>
      <c r="F120" s="426"/>
      <c r="G120" s="426"/>
      <c r="H120" s="428"/>
      <c r="I120" s="428"/>
      <c r="J120" s="428"/>
      <c r="K120" s="429"/>
      <c r="L120" s="429"/>
      <c r="M120" s="430"/>
      <c r="N120" s="429"/>
      <c r="O120" s="431"/>
      <c r="P120" s="432"/>
      <c r="Q120" s="432"/>
      <c r="R120" s="433"/>
      <c r="S120" s="434"/>
      <c r="T120" s="412"/>
      <c r="U120" s="412"/>
      <c r="V120" s="412"/>
      <c r="W120" s="412"/>
      <c r="X120" s="412"/>
      <c r="Y120" s="412"/>
      <c r="Z120" s="412"/>
    </row>
    <row r="121" ht="13.5" customHeight="1">
      <c r="A121" s="422"/>
      <c r="B121" s="423"/>
      <c r="C121" s="437"/>
      <c r="D121" s="425" t="s">
        <v>2374</v>
      </c>
      <c r="E121" s="426"/>
      <c r="F121" s="426"/>
      <c r="G121" s="426"/>
      <c r="H121" s="428"/>
      <c r="I121" s="428"/>
      <c r="J121" s="427" t="s">
        <v>2375</v>
      </c>
      <c r="K121" s="429"/>
      <c r="L121" s="429"/>
      <c r="M121" s="430"/>
      <c r="N121" s="429"/>
      <c r="O121" s="431"/>
      <c r="P121" s="432"/>
      <c r="Q121" s="432"/>
      <c r="R121" s="433"/>
      <c r="S121" s="434"/>
      <c r="T121" s="412"/>
      <c r="U121" s="412"/>
      <c r="V121" s="412"/>
      <c r="W121" s="412"/>
      <c r="X121" s="412"/>
      <c r="Y121" s="412"/>
      <c r="Z121" s="412"/>
    </row>
    <row r="122" ht="13.5" customHeight="1">
      <c r="A122" s="524"/>
      <c r="B122" s="525"/>
      <c r="C122" s="526"/>
      <c r="D122" s="527"/>
      <c r="E122" s="527"/>
      <c r="F122" s="527"/>
      <c r="G122" s="527"/>
      <c r="H122" s="528"/>
      <c r="I122" s="528"/>
      <c r="J122" s="528"/>
      <c r="K122" s="529"/>
      <c r="L122" s="529"/>
      <c r="M122" s="530"/>
      <c r="N122" s="529"/>
      <c r="O122" s="531"/>
      <c r="P122" s="532"/>
      <c r="Q122" s="532"/>
      <c r="R122" s="533"/>
      <c r="S122" s="534"/>
      <c r="T122" s="535"/>
      <c r="U122" s="535"/>
      <c r="V122" s="535"/>
      <c r="W122" s="535"/>
      <c r="X122" s="535"/>
      <c r="Y122" s="535"/>
      <c r="Z122" s="535"/>
    </row>
    <row r="123" ht="13.5" customHeight="1">
      <c r="A123" s="422"/>
      <c r="B123" s="423"/>
      <c r="C123" s="437"/>
      <c r="D123" s="426"/>
      <c r="E123" s="426"/>
      <c r="F123" s="426"/>
      <c r="G123" s="426"/>
      <c r="H123" s="428"/>
      <c r="I123" s="428"/>
      <c r="J123" s="428"/>
      <c r="K123" s="429"/>
      <c r="L123" s="429"/>
      <c r="M123" s="430"/>
      <c r="N123" s="429"/>
      <c r="O123" s="431"/>
      <c r="P123" s="432"/>
      <c r="Q123" s="432"/>
      <c r="R123" s="433"/>
      <c r="S123" s="434"/>
      <c r="T123" s="412"/>
      <c r="U123" s="412"/>
      <c r="V123" s="412"/>
      <c r="W123" s="412"/>
      <c r="X123" s="412"/>
      <c r="Y123" s="412"/>
      <c r="Z123" s="412"/>
    </row>
    <row r="124" ht="13.5" customHeight="1">
      <c r="A124" s="422"/>
      <c r="B124" s="423"/>
      <c r="C124" s="437"/>
      <c r="D124" s="426"/>
      <c r="E124" s="426"/>
      <c r="F124" s="426"/>
      <c r="G124" s="426"/>
      <c r="H124" s="428"/>
      <c r="I124" s="428"/>
      <c r="J124" s="428"/>
      <c r="K124" s="429"/>
      <c r="L124" s="429"/>
      <c r="M124" s="430"/>
      <c r="N124" s="429"/>
      <c r="O124" s="431"/>
      <c r="P124" s="432"/>
      <c r="Q124" s="432"/>
      <c r="R124" s="433"/>
      <c r="S124" s="434"/>
      <c r="T124" s="412"/>
      <c r="U124" s="412"/>
      <c r="V124" s="412"/>
      <c r="W124" s="412"/>
      <c r="X124" s="412"/>
      <c r="Y124" s="412"/>
      <c r="Z124" s="412"/>
    </row>
    <row r="125" ht="13.5" customHeight="1">
      <c r="A125" s="422"/>
      <c r="B125" s="423"/>
      <c r="C125" s="437"/>
      <c r="D125" s="426"/>
      <c r="E125" s="426"/>
      <c r="F125" s="426"/>
      <c r="G125" s="426"/>
      <c r="H125" s="428"/>
      <c r="I125" s="428"/>
      <c r="J125" s="428"/>
      <c r="K125" s="429"/>
      <c r="L125" s="429"/>
      <c r="M125" s="430"/>
      <c r="N125" s="429"/>
      <c r="O125" s="431"/>
      <c r="P125" s="432"/>
      <c r="Q125" s="432"/>
      <c r="R125" s="433"/>
      <c r="S125" s="434"/>
      <c r="T125" s="412"/>
      <c r="U125" s="412"/>
      <c r="V125" s="412"/>
      <c r="W125" s="412"/>
      <c r="X125" s="412"/>
      <c r="Y125" s="412"/>
      <c r="Z125" s="412"/>
    </row>
    <row r="126" ht="13.5" customHeight="1">
      <c r="A126" s="422"/>
      <c r="B126" s="423"/>
      <c r="C126" s="437"/>
      <c r="D126" s="426"/>
      <c r="E126" s="426"/>
      <c r="F126" s="426"/>
      <c r="G126" s="426"/>
      <c r="H126" s="428"/>
      <c r="I126" s="428"/>
      <c r="J126" s="428"/>
      <c r="K126" s="429"/>
      <c r="L126" s="429"/>
      <c r="M126" s="430"/>
      <c r="N126" s="429"/>
      <c r="O126" s="431"/>
      <c r="P126" s="432"/>
      <c r="Q126" s="432"/>
      <c r="R126" s="433"/>
      <c r="S126" s="434"/>
      <c r="T126" s="412"/>
      <c r="U126" s="412"/>
      <c r="V126" s="412"/>
      <c r="W126" s="412"/>
      <c r="X126" s="412"/>
      <c r="Y126" s="412"/>
      <c r="Z126" s="412"/>
    </row>
    <row r="127" ht="13.5" customHeight="1">
      <c r="A127" s="422"/>
      <c r="B127" s="423"/>
      <c r="C127" s="437"/>
      <c r="D127" s="426"/>
      <c r="E127" s="426"/>
      <c r="F127" s="426"/>
      <c r="G127" s="426"/>
      <c r="H127" s="428"/>
      <c r="I127" s="428"/>
      <c r="J127" s="428"/>
      <c r="K127" s="429"/>
      <c r="L127" s="429"/>
      <c r="M127" s="430"/>
      <c r="N127" s="429"/>
      <c r="O127" s="431"/>
      <c r="P127" s="432"/>
      <c r="Q127" s="432"/>
      <c r="R127" s="433"/>
      <c r="S127" s="434"/>
      <c r="T127" s="412"/>
      <c r="U127" s="412"/>
      <c r="V127" s="412"/>
      <c r="W127" s="412"/>
      <c r="X127" s="412"/>
      <c r="Y127" s="412"/>
      <c r="Z127" s="412"/>
    </row>
    <row r="128" ht="13.5" customHeight="1">
      <c r="A128" s="536"/>
      <c r="B128" s="537"/>
      <c r="C128" s="538"/>
      <c r="D128" s="539"/>
      <c r="E128" s="539"/>
      <c r="F128" s="539"/>
      <c r="G128" s="539"/>
      <c r="H128" s="538"/>
      <c r="I128" s="538"/>
      <c r="J128" s="538"/>
      <c r="K128" s="538"/>
      <c r="L128" s="538"/>
      <c r="M128" s="540"/>
      <c r="N128" s="538"/>
      <c r="O128" s="538"/>
      <c r="P128" s="541"/>
      <c r="Q128" s="541"/>
      <c r="R128" s="538"/>
      <c r="S128" s="542"/>
      <c r="T128" s="543"/>
      <c r="U128" s="543"/>
      <c r="V128" s="543"/>
      <c r="W128" s="543"/>
      <c r="X128" s="543"/>
      <c r="Y128" s="543"/>
      <c r="Z128" s="543"/>
    </row>
    <row r="129" ht="13.5" customHeight="1">
      <c r="A129" s="497"/>
      <c r="B129" s="498">
        <v>46066.0</v>
      </c>
      <c r="C129" s="499"/>
      <c r="D129" s="500" t="s">
        <v>2376</v>
      </c>
      <c r="E129" s="501"/>
      <c r="F129" s="501"/>
      <c r="G129" s="501"/>
      <c r="H129" s="502"/>
      <c r="I129" s="502"/>
      <c r="J129" s="502"/>
      <c r="K129" s="504"/>
      <c r="L129" s="504"/>
      <c r="M129" s="505"/>
      <c r="N129" s="504"/>
      <c r="O129" s="506"/>
      <c r="P129" s="507"/>
      <c r="Q129" s="507"/>
      <c r="R129" s="508"/>
      <c r="S129" s="509"/>
      <c r="T129" s="412"/>
      <c r="U129" s="412"/>
      <c r="V129" s="412"/>
      <c r="W129" s="412"/>
      <c r="X129" s="412"/>
      <c r="Y129" s="412"/>
      <c r="Z129" s="412"/>
    </row>
    <row r="130" ht="13.5" customHeight="1">
      <c r="A130" s="497"/>
      <c r="B130" s="498"/>
      <c r="C130" s="499"/>
      <c r="D130" s="500" t="s">
        <v>2377</v>
      </c>
      <c r="E130" s="501"/>
      <c r="F130" s="501"/>
      <c r="G130" s="501"/>
      <c r="H130" s="502"/>
      <c r="I130" s="502"/>
      <c r="J130" s="502"/>
      <c r="K130" s="504"/>
      <c r="L130" s="504"/>
      <c r="M130" s="505"/>
      <c r="N130" s="504"/>
      <c r="O130" s="506"/>
      <c r="P130" s="507"/>
      <c r="Q130" s="507"/>
      <c r="R130" s="508"/>
      <c r="S130" s="509"/>
      <c r="T130" s="412"/>
      <c r="U130" s="412"/>
      <c r="V130" s="412"/>
      <c r="W130" s="412"/>
      <c r="X130" s="412"/>
      <c r="Y130" s="412"/>
      <c r="Z130" s="412"/>
    </row>
    <row r="131" ht="13.5" customHeight="1">
      <c r="A131" s="497"/>
      <c r="B131" s="498"/>
      <c r="C131" s="499"/>
      <c r="D131" s="500" t="s">
        <v>2378</v>
      </c>
      <c r="E131" s="501"/>
      <c r="F131" s="501"/>
      <c r="G131" s="501"/>
      <c r="H131" s="502"/>
      <c r="I131" s="502"/>
      <c r="J131" s="502"/>
      <c r="K131" s="504"/>
      <c r="L131" s="504"/>
      <c r="M131" s="505"/>
      <c r="N131" s="504"/>
      <c r="O131" s="506"/>
      <c r="P131" s="507"/>
      <c r="Q131" s="507"/>
      <c r="R131" s="508"/>
      <c r="S131" s="509"/>
      <c r="T131" s="412"/>
      <c r="U131" s="412"/>
      <c r="V131" s="412"/>
      <c r="W131" s="412"/>
      <c r="X131" s="412"/>
      <c r="Y131" s="412"/>
      <c r="Z131" s="412"/>
    </row>
    <row r="132" ht="13.5" customHeight="1">
      <c r="A132" s="497"/>
      <c r="B132" s="498"/>
      <c r="C132" s="499"/>
      <c r="D132" s="500" t="s">
        <v>2379</v>
      </c>
      <c r="E132" s="501"/>
      <c r="F132" s="501"/>
      <c r="G132" s="501"/>
      <c r="H132" s="502"/>
      <c r="I132" s="502"/>
      <c r="J132" s="502"/>
      <c r="K132" s="504"/>
      <c r="L132" s="504"/>
      <c r="M132" s="505"/>
      <c r="N132" s="504"/>
      <c r="O132" s="506"/>
      <c r="P132" s="507"/>
      <c r="Q132" s="507"/>
      <c r="R132" s="508"/>
      <c r="S132" s="509"/>
      <c r="T132" s="412"/>
      <c r="U132" s="412"/>
      <c r="V132" s="412"/>
      <c r="W132" s="412"/>
      <c r="X132" s="412"/>
      <c r="Y132" s="412"/>
      <c r="Z132" s="412"/>
    </row>
    <row r="133" ht="13.5" customHeight="1">
      <c r="A133" s="497"/>
      <c r="B133" s="498"/>
      <c r="C133" s="499"/>
      <c r="D133" s="500" t="s">
        <v>2380</v>
      </c>
      <c r="E133" s="501"/>
      <c r="F133" s="501"/>
      <c r="G133" s="501"/>
      <c r="H133" s="502"/>
      <c r="I133" s="502"/>
      <c r="J133" s="502"/>
      <c r="K133" s="504"/>
      <c r="L133" s="504"/>
      <c r="M133" s="505"/>
      <c r="N133" s="504"/>
      <c r="O133" s="506"/>
      <c r="P133" s="507"/>
      <c r="Q133" s="507"/>
      <c r="R133" s="508"/>
      <c r="S133" s="509"/>
      <c r="T133" s="412"/>
      <c r="U133" s="412"/>
      <c r="V133" s="412"/>
      <c r="W133" s="412"/>
      <c r="X133" s="412"/>
      <c r="Y133" s="412"/>
      <c r="Z133" s="412"/>
    </row>
    <row r="134" ht="13.5" customHeight="1">
      <c r="A134" s="473"/>
      <c r="B134" s="412"/>
      <c r="C134" s="412"/>
      <c r="D134" s="544" t="s">
        <v>2381</v>
      </c>
      <c r="E134" s="412"/>
      <c r="F134" s="412"/>
      <c r="G134" s="412"/>
      <c r="H134" s="412"/>
      <c r="I134" s="412"/>
      <c r="J134" s="412"/>
      <c r="K134" s="412"/>
      <c r="L134" s="412"/>
      <c r="M134" s="412"/>
      <c r="N134" s="412"/>
      <c r="O134" s="412"/>
      <c r="P134" s="412"/>
      <c r="Q134" s="412"/>
      <c r="R134" s="412"/>
      <c r="S134" s="412"/>
      <c r="T134" s="412"/>
      <c r="U134" s="412"/>
      <c r="V134" s="412"/>
      <c r="W134" s="412"/>
      <c r="X134" s="412"/>
      <c r="Y134" s="412"/>
      <c r="Z134" s="412"/>
    </row>
    <row r="135" ht="13.5" customHeight="1">
      <c r="A135" s="473"/>
      <c r="B135" s="412"/>
      <c r="C135" s="412"/>
      <c r="D135" s="412"/>
      <c r="E135" s="412"/>
      <c r="F135" s="412"/>
      <c r="G135" s="412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2"/>
      <c r="S135" s="412"/>
      <c r="T135" s="412"/>
      <c r="U135" s="412"/>
      <c r="V135" s="412"/>
      <c r="W135" s="412"/>
      <c r="X135" s="412"/>
      <c r="Y135" s="412"/>
      <c r="Z135" s="412"/>
    </row>
    <row r="136" ht="13.5" customHeight="1">
      <c r="A136" s="473"/>
      <c r="B136" s="412"/>
      <c r="C136" s="412"/>
      <c r="D136" s="412"/>
      <c r="E136" s="412"/>
      <c r="F136" s="412"/>
      <c r="G136" s="412"/>
      <c r="H136" s="412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12"/>
      <c r="U136" s="412"/>
      <c r="V136" s="412"/>
      <c r="W136" s="412"/>
      <c r="X136" s="412"/>
      <c r="Y136" s="412"/>
      <c r="Z136" s="412"/>
    </row>
    <row r="137" ht="13.5" customHeight="1">
      <c r="A137" s="473"/>
      <c r="B137" s="412"/>
      <c r="C137" s="412"/>
      <c r="D137" s="412"/>
      <c r="E137" s="412"/>
      <c r="F137" s="412"/>
      <c r="G137" s="412"/>
      <c r="H137" s="412"/>
      <c r="I137" s="412"/>
      <c r="J137" s="412"/>
      <c r="K137" s="412"/>
      <c r="L137" s="412"/>
      <c r="M137" s="412"/>
      <c r="N137" s="412"/>
      <c r="O137" s="412"/>
      <c r="P137" s="412"/>
      <c r="Q137" s="412"/>
      <c r="R137" s="412"/>
      <c r="S137" s="412"/>
      <c r="T137" s="412"/>
      <c r="U137" s="412"/>
      <c r="V137" s="412"/>
      <c r="W137" s="412"/>
      <c r="X137" s="412"/>
      <c r="Y137" s="412"/>
      <c r="Z137" s="412"/>
    </row>
    <row r="138" ht="13.5" customHeight="1">
      <c r="A138" s="473"/>
      <c r="B138" s="412"/>
      <c r="C138" s="412"/>
      <c r="D138" s="412"/>
      <c r="E138" s="412"/>
      <c r="F138" s="412"/>
      <c r="G138" s="412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2"/>
      <c r="Y138" s="412"/>
      <c r="Z138" s="412"/>
    </row>
    <row r="139" ht="13.5" customHeight="1">
      <c r="A139" s="473"/>
      <c r="B139" s="412"/>
      <c r="C139" s="412"/>
      <c r="D139" s="412"/>
      <c r="E139" s="412"/>
      <c r="F139" s="412"/>
      <c r="G139" s="412"/>
      <c r="H139" s="412"/>
      <c r="I139" s="412"/>
      <c r="J139" s="412"/>
      <c r="K139" s="412"/>
      <c r="L139" s="412"/>
      <c r="M139" s="412"/>
      <c r="N139" s="412"/>
      <c r="O139" s="412"/>
      <c r="P139" s="412"/>
      <c r="Q139" s="412"/>
      <c r="R139" s="412"/>
      <c r="S139" s="412"/>
      <c r="T139" s="412"/>
      <c r="U139" s="412"/>
      <c r="V139" s="412"/>
      <c r="W139" s="412"/>
      <c r="X139" s="412"/>
      <c r="Y139" s="412"/>
      <c r="Z139" s="412"/>
    </row>
    <row r="140" ht="13.5" customHeight="1">
      <c r="A140" s="488" t="s">
        <v>4</v>
      </c>
      <c r="B140" s="489" t="s">
        <v>5</v>
      </c>
      <c r="C140" s="489" t="s">
        <v>6</v>
      </c>
      <c r="D140" s="490" t="s">
        <v>7</v>
      </c>
      <c r="E140" s="491" t="s">
        <v>2291</v>
      </c>
      <c r="F140" s="491" t="s">
        <v>8</v>
      </c>
      <c r="G140" s="491" t="s">
        <v>9</v>
      </c>
      <c r="H140" s="492" t="s">
        <v>10</v>
      </c>
      <c r="I140" s="492" t="s">
        <v>11</v>
      </c>
      <c r="J140" s="492" t="s">
        <v>12</v>
      </c>
      <c r="K140" s="493" t="s">
        <v>13</v>
      </c>
      <c r="L140" s="493" t="s">
        <v>14</v>
      </c>
      <c r="M140" s="493" t="s">
        <v>15</v>
      </c>
      <c r="N140" s="493" t="s">
        <v>16</v>
      </c>
      <c r="O140" s="494" t="s">
        <v>17</v>
      </c>
      <c r="P140" s="494" t="s">
        <v>18</v>
      </c>
      <c r="Q140" s="494" t="s">
        <v>19</v>
      </c>
      <c r="R140" s="495" t="s">
        <v>20</v>
      </c>
      <c r="S140" s="496" t="s">
        <v>21</v>
      </c>
      <c r="T140" s="412"/>
      <c r="U140" s="412"/>
      <c r="V140" s="412"/>
      <c r="W140" s="412"/>
      <c r="X140" s="412"/>
      <c r="Y140" s="412"/>
      <c r="Z140" s="412"/>
    </row>
    <row r="141" ht="13.5" customHeight="1">
      <c r="A141" s="473"/>
      <c r="B141" s="545">
        <v>46067.0</v>
      </c>
      <c r="C141" s="412"/>
      <c r="D141" s="544" t="s">
        <v>2382</v>
      </c>
      <c r="E141" s="412"/>
      <c r="F141" s="412"/>
      <c r="G141" s="412"/>
      <c r="H141" s="412"/>
      <c r="I141" s="412"/>
      <c r="J141" s="412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2"/>
      <c r="Y141" s="412"/>
      <c r="Z141" s="412"/>
    </row>
    <row r="142" ht="13.5" customHeight="1">
      <c r="A142" s="473"/>
      <c r="B142" s="412"/>
      <c r="C142" s="412"/>
      <c r="D142" s="412"/>
      <c r="E142" s="544" t="s">
        <v>2383</v>
      </c>
      <c r="F142" s="412"/>
      <c r="G142" s="412"/>
      <c r="H142" s="412"/>
      <c r="I142" s="412"/>
      <c r="J142" s="412"/>
      <c r="K142" s="412"/>
      <c r="L142" s="412"/>
      <c r="M142" s="412"/>
      <c r="N142" s="412"/>
      <c r="O142" s="412"/>
      <c r="P142" s="412"/>
      <c r="Q142" s="412"/>
      <c r="R142" s="412"/>
      <c r="S142" s="412"/>
      <c r="T142" s="412"/>
      <c r="U142" s="412"/>
      <c r="V142" s="412"/>
      <c r="W142" s="412"/>
      <c r="X142" s="412"/>
      <c r="Y142" s="412"/>
      <c r="Z142" s="412"/>
    </row>
    <row r="143" ht="13.5" customHeight="1">
      <c r="A143" s="473"/>
      <c r="B143" s="412"/>
      <c r="C143" s="412"/>
      <c r="D143" s="412"/>
      <c r="E143" s="544" t="s">
        <v>2384</v>
      </c>
      <c r="F143" s="544" t="s">
        <v>2385</v>
      </c>
      <c r="G143" s="544" t="s">
        <v>2386</v>
      </c>
      <c r="H143" s="412"/>
      <c r="I143" s="412"/>
      <c r="J143" s="412"/>
      <c r="K143" s="412"/>
      <c r="L143" s="412"/>
      <c r="M143" s="412"/>
      <c r="N143" s="412"/>
      <c r="O143" s="412"/>
      <c r="P143" s="412"/>
      <c r="Q143" s="412"/>
      <c r="R143" s="412"/>
      <c r="S143" s="412"/>
      <c r="T143" s="412"/>
      <c r="U143" s="412"/>
      <c r="V143" s="412"/>
      <c r="W143" s="412"/>
      <c r="X143" s="412"/>
      <c r="Y143" s="412"/>
      <c r="Z143" s="412"/>
    </row>
    <row r="144" ht="13.5" customHeight="1">
      <c r="A144" s="473"/>
      <c r="B144" s="412"/>
      <c r="C144" s="412"/>
      <c r="D144" s="412"/>
      <c r="E144" s="544" t="s">
        <v>2387</v>
      </c>
      <c r="F144" s="412"/>
      <c r="G144" s="412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2"/>
      <c r="S144" s="412"/>
      <c r="T144" s="412"/>
      <c r="U144" s="412"/>
      <c r="V144" s="412"/>
      <c r="W144" s="412"/>
      <c r="X144" s="412"/>
      <c r="Y144" s="412"/>
      <c r="Z144" s="412"/>
    </row>
    <row r="145" ht="13.5" customHeight="1">
      <c r="A145" s="473"/>
      <c r="B145" s="412"/>
      <c r="C145" s="412"/>
      <c r="D145" s="412"/>
      <c r="E145" s="544" t="s">
        <v>2388</v>
      </c>
      <c r="F145" s="412"/>
      <c r="G145" s="412"/>
      <c r="H145" s="412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12"/>
      <c r="U145" s="412"/>
      <c r="V145" s="412"/>
      <c r="W145" s="412"/>
      <c r="X145" s="412"/>
      <c r="Y145" s="412"/>
      <c r="Z145" s="412"/>
    </row>
    <row r="146" ht="13.5" customHeight="1">
      <c r="A146" s="473"/>
      <c r="B146" s="412"/>
      <c r="C146" s="412"/>
      <c r="D146" s="412"/>
      <c r="E146" s="544" t="s">
        <v>2389</v>
      </c>
      <c r="F146" s="412"/>
      <c r="G146" s="412"/>
      <c r="H146" s="412"/>
      <c r="I146" s="412"/>
      <c r="J146" s="412"/>
      <c r="K146" s="412"/>
      <c r="L146" s="412"/>
      <c r="M146" s="412"/>
      <c r="N146" s="412"/>
      <c r="O146" s="412"/>
      <c r="P146" s="412"/>
      <c r="Q146" s="412"/>
      <c r="R146" s="412"/>
      <c r="S146" s="412"/>
      <c r="T146" s="412"/>
      <c r="U146" s="412"/>
      <c r="V146" s="412"/>
      <c r="W146" s="412"/>
      <c r="X146" s="412"/>
      <c r="Y146" s="412"/>
      <c r="Z146" s="412"/>
    </row>
    <row r="147" ht="13.5" customHeight="1">
      <c r="A147" s="473"/>
      <c r="B147" s="412"/>
      <c r="C147" s="412"/>
      <c r="D147" s="412"/>
      <c r="E147" s="544" t="s">
        <v>2390</v>
      </c>
      <c r="F147" s="412"/>
      <c r="G147" s="412"/>
      <c r="H147" s="412"/>
      <c r="I147" s="412"/>
      <c r="J147" s="412"/>
      <c r="K147" s="412"/>
      <c r="L147" s="412"/>
      <c r="M147" s="412"/>
      <c r="N147" s="412"/>
      <c r="O147" s="412"/>
      <c r="P147" s="412"/>
      <c r="Q147" s="412"/>
      <c r="R147" s="412"/>
      <c r="S147" s="412"/>
      <c r="T147" s="412"/>
      <c r="U147" s="412"/>
      <c r="V147" s="412"/>
      <c r="W147" s="412"/>
      <c r="X147" s="412"/>
      <c r="Y147" s="412"/>
      <c r="Z147" s="412"/>
    </row>
    <row r="148" ht="13.5" customHeight="1">
      <c r="A148" s="473"/>
      <c r="B148" s="412"/>
      <c r="C148" s="412"/>
      <c r="D148" s="412"/>
      <c r="E148" s="544" t="s">
        <v>2391</v>
      </c>
      <c r="F148" s="412"/>
      <c r="G148" s="412"/>
      <c r="H148" s="412"/>
      <c r="I148" s="412"/>
      <c r="J148" s="412"/>
      <c r="K148" s="412"/>
      <c r="L148" s="412"/>
      <c r="M148" s="412"/>
      <c r="N148" s="412"/>
      <c r="O148" s="412"/>
      <c r="P148" s="412"/>
      <c r="Q148" s="412"/>
      <c r="R148" s="412"/>
      <c r="S148" s="412"/>
      <c r="T148" s="412"/>
      <c r="U148" s="412"/>
      <c r="V148" s="412"/>
      <c r="W148" s="412"/>
      <c r="X148" s="412"/>
      <c r="Y148" s="412"/>
      <c r="Z148" s="412"/>
    </row>
    <row r="149" ht="13.5" customHeight="1">
      <c r="A149" s="473"/>
      <c r="B149" s="412"/>
      <c r="C149" s="412"/>
      <c r="D149" s="412"/>
      <c r="E149" s="544" t="s">
        <v>2392</v>
      </c>
      <c r="F149" s="412"/>
      <c r="G149" s="412"/>
      <c r="H149" s="412"/>
      <c r="I149" s="412"/>
      <c r="J149" s="412"/>
      <c r="K149" s="412"/>
      <c r="L149" s="412"/>
      <c r="M149" s="412"/>
      <c r="N149" s="412"/>
      <c r="O149" s="412"/>
      <c r="P149" s="412"/>
      <c r="Q149" s="412"/>
      <c r="R149" s="412"/>
      <c r="S149" s="412"/>
      <c r="T149" s="412"/>
      <c r="U149" s="412"/>
      <c r="V149" s="412"/>
      <c r="W149" s="412"/>
      <c r="X149" s="412"/>
      <c r="Y149" s="412"/>
      <c r="Z149" s="412"/>
    </row>
    <row r="150" ht="13.5" customHeight="1">
      <c r="A150" s="473"/>
      <c r="B150" s="412"/>
      <c r="C150" s="412"/>
      <c r="D150" s="412"/>
      <c r="E150" s="412"/>
      <c r="F150" s="412"/>
      <c r="G150" s="412"/>
      <c r="H150" s="412"/>
      <c r="I150" s="412"/>
      <c r="J150" s="412"/>
      <c r="K150" s="412"/>
      <c r="L150" s="412"/>
      <c r="M150" s="412"/>
      <c r="N150" s="412"/>
      <c r="O150" s="412"/>
      <c r="P150" s="412"/>
      <c r="Q150" s="412"/>
      <c r="R150" s="412"/>
      <c r="S150" s="412"/>
      <c r="T150" s="412"/>
      <c r="U150" s="412"/>
      <c r="V150" s="412"/>
      <c r="W150" s="412"/>
      <c r="X150" s="412"/>
      <c r="Y150" s="412"/>
      <c r="Z150" s="412"/>
    </row>
    <row r="151" ht="13.5" customHeight="1">
      <c r="A151" s="473"/>
      <c r="B151" s="412"/>
      <c r="C151" s="412"/>
      <c r="D151" s="412"/>
      <c r="E151" s="412"/>
      <c r="F151" s="412"/>
      <c r="G151" s="412"/>
      <c r="H151" s="412"/>
      <c r="I151" s="412"/>
      <c r="J151" s="412"/>
      <c r="K151" s="412"/>
      <c r="L151" s="412"/>
      <c r="M151" s="412"/>
      <c r="N151" s="412"/>
      <c r="O151" s="412"/>
      <c r="P151" s="412"/>
      <c r="Q151" s="412"/>
      <c r="R151" s="412"/>
      <c r="S151" s="412"/>
      <c r="T151" s="412"/>
      <c r="U151" s="412"/>
      <c r="V151" s="412"/>
      <c r="W151" s="412"/>
      <c r="X151" s="412"/>
      <c r="Y151" s="412"/>
      <c r="Z151" s="412"/>
    </row>
    <row r="152" ht="13.5" customHeight="1">
      <c r="A152" s="473"/>
      <c r="B152" s="412"/>
      <c r="C152" s="412"/>
      <c r="D152" s="412"/>
      <c r="E152" s="412"/>
      <c r="F152" s="412"/>
      <c r="G152" s="412"/>
      <c r="H152" s="412"/>
      <c r="I152" s="412"/>
      <c r="J152" s="412"/>
      <c r="K152" s="412"/>
      <c r="L152" s="412"/>
      <c r="M152" s="412"/>
      <c r="N152" s="412"/>
      <c r="O152" s="412"/>
      <c r="P152" s="412"/>
      <c r="Q152" s="412"/>
      <c r="R152" s="412"/>
      <c r="S152" s="412"/>
      <c r="T152" s="412"/>
      <c r="U152" s="412"/>
      <c r="V152" s="412"/>
      <c r="W152" s="412"/>
      <c r="X152" s="412"/>
      <c r="Y152" s="412"/>
      <c r="Z152" s="412"/>
    </row>
    <row r="153" ht="13.5" customHeight="1">
      <c r="A153" s="473"/>
      <c r="B153" s="412"/>
      <c r="C153" s="412"/>
      <c r="D153" s="412"/>
      <c r="E153" s="412"/>
      <c r="F153" s="412"/>
      <c r="G153" s="412"/>
      <c r="H153" s="412"/>
      <c r="I153" s="412"/>
      <c r="J153" s="412"/>
      <c r="K153" s="412"/>
      <c r="L153" s="412"/>
      <c r="M153" s="412"/>
      <c r="N153" s="412"/>
      <c r="O153" s="412"/>
      <c r="P153" s="412"/>
      <c r="Q153" s="412"/>
      <c r="R153" s="412"/>
      <c r="S153" s="412"/>
      <c r="T153" s="412"/>
      <c r="U153" s="412"/>
      <c r="V153" s="412"/>
      <c r="W153" s="412"/>
      <c r="X153" s="412"/>
      <c r="Y153" s="412"/>
      <c r="Z153" s="412"/>
    </row>
    <row r="154" ht="13.5" customHeight="1">
      <c r="A154" s="473"/>
      <c r="B154" s="412"/>
      <c r="C154" s="412"/>
      <c r="D154" s="412"/>
      <c r="E154" s="412"/>
      <c r="F154" s="412"/>
      <c r="G154" s="412"/>
      <c r="H154" s="412"/>
      <c r="I154" s="412"/>
      <c r="J154" s="412"/>
      <c r="K154" s="412"/>
      <c r="L154" s="412"/>
      <c r="M154" s="412"/>
      <c r="N154" s="412"/>
      <c r="O154" s="412"/>
      <c r="P154" s="412"/>
      <c r="Q154" s="412"/>
      <c r="R154" s="412"/>
      <c r="S154" s="412"/>
      <c r="T154" s="412"/>
      <c r="U154" s="412"/>
      <c r="V154" s="412"/>
      <c r="W154" s="412"/>
      <c r="X154" s="412"/>
      <c r="Y154" s="412"/>
      <c r="Z154" s="412"/>
    </row>
    <row r="155" ht="13.5" customHeight="1">
      <c r="A155" s="473"/>
      <c r="B155" s="412"/>
      <c r="C155" s="412"/>
      <c r="D155" s="412"/>
      <c r="E155" s="412"/>
      <c r="F155" s="412"/>
      <c r="G155" s="412"/>
      <c r="H155" s="412"/>
      <c r="I155" s="412"/>
      <c r="J155" s="412"/>
      <c r="K155" s="412"/>
      <c r="L155" s="412"/>
      <c r="M155" s="412"/>
      <c r="N155" s="412"/>
      <c r="O155" s="412"/>
      <c r="P155" s="412"/>
      <c r="Q155" s="412"/>
      <c r="R155" s="412"/>
      <c r="S155" s="412"/>
      <c r="T155" s="412"/>
      <c r="U155" s="412"/>
      <c r="V155" s="412"/>
      <c r="W155" s="412"/>
      <c r="X155" s="412"/>
      <c r="Y155" s="412"/>
      <c r="Z155" s="412"/>
    </row>
    <row r="156" ht="13.5" customHeight="1">
      <c r="A156" s="473"/>
      <c r="B156" s="412"/>
      <c r="C156" s="412"/>
      <c r="D156" s="412"/>
      <c r="E156" s="412"/>
      <c r="F156" s="412"/>
      <c r="G156" s="412"/>
      <c r="H156" s="412"/>
      <c r="I156" s="412"/>
      <c r="J156" s="412"/>
      <c r="K156" s="412"/>
      <c r="L156" s="412"/>
      <c r="M156" s="412"/>
      <c r="N156" s="412"/>
      <c r="O156" s="412"/>
      <c r="P156" s="412"/>
      <c r="Q156" s="412"/>
      <c r="R156" s="412"/>
      <c r="S156" s="412"/>
      <c r="T156" s="412"/>
      <c r="U156" s="412"/>
      <c r="V156" s="412"/>
      <c r="W156" s="412"/>
      <c r="X156" s="412"/>
      <c r="Y156" s="412"/>
      <c r="Z156" s="412"/>
    </row>
    <row r="157" ht="13.5" customHeight="1">
      <c r="A157" s="473"/>
      <c r="B157" s="412"/>
      <c r="C157" s="412"/>
      <c r="D157" s="412"/>
      <c r="E157" s="412"/>
      <c r="F157" s="412"/>
      <c r="G157" s="412"/>
      <c r="H157" s="412"/>
      <c r="I157" s="412"/>
      <c r="J157" s="412"/>
      <c r="K157" s="412"/>
      <c r="L157" s="412"/>
      <c r="M157" s="412"/>
      <c r="N157" s="412"/>
      <c r="O157" s="412"/>
      <c r="P157" s="412"/>
      <c r="Q157" s="412"/>
      <c r="R157" s="412"/>
      <c r="S157" s="412"/>
      <c r="T157" s="412"/>
      <c r="U157" s="412"/>
      <c r="V157" s="412"/>
      <c r="W157" s="412"/>
      <c r="X157" s="412"/>
      <c r="Y157" s="412"/>
      <c r="Z157" s="412"/>
    </row>
    <row r="158" ht="13.5" customHeight="1">
      <c r="A158" s="473"/>
      <c r="B158" s="412"/>
      <c r="C158" s="412"/>
      <c r="D158" s="412"/>
      <c r="E158" s="412"/>
      <c r="F158" s="412"/>
      <c r="G158" s="412"/>
      <c r="H158" s="412"/>
      <c r="I158" s="412"/>
      <c r="J158" s="412"/>
      <c r="K158" s="412"/>
      <c r="L158" s="412"/>
      <c r="M158" s="412"/>
      <c r="N158" s="412"/>
      <c r="O158" s="412"/>
      <c r="P158" s="412"/>
      <c r="Q158" s="412"/>
      <c r="R158" s="412"/>
      <c r="S158" s="412"/>
      <c r="T158" s="412"/>
      <c r="U158" s="412"/>
      <c r="V158" s="412"/>
      <c r="W158" s="412"/>
      <c r="X158" s="412"/>
      <c r="Y158" s="412"/>
      <c r="Z158" s="412"/>
    </row>
    <row r="159" ht="13.5" customHeight="1">
      <c r="A159" s="473"/>
      <c r="B159" s="412"/>
      <c r="C159" s="412"/>
      <c r="D159" s="412"/>
      <c r="E159" s="412"/>
      <c r="F159" s="412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12"/>
      <c r="U159" s="412"/>
      <c r="V159" s="412"/>
      <c r="W159" s="412"/>
      <c r="X159" s="412"/>
      <c r="Y159" s="412"/>
      <c r="Z159" s="412"/>
    </row>
    <row r="160" ht="13.5" customHeight="1">
      <c r="A160" s="473"/>
      <c r="B160" s="412"/>
      <c r="C160" s="412"/>
      <c r="D160" s="412"/>
      <c r="E160" s="412"/>
      <c r="F160" s="412"/>
      <c r="G160" s="412"/>
      <c r="H160" s="412"/>
      <c r="I160" s="412"/>
      <c r="J160" s="412"/>
      <c r="K160" s="412"/>
      <c r="L160" s="412"/>
      <c r="M160" s="412"/>
      <c r="N160" s="412"/>
      <c r="O160" s="412"/>
      <c r="P160" s="412"/>
      <c r="Q160" s="412"/>
      <c r="R160" s="412"/>
      <c r="S160" s="412"/>
      <c r="T160" s="412"/>
      <c r="U160" s="412"/>
      <c r="V160" s="412"/>
      <c r="W160" s="412"/>
      <c r="X160" s="412"/>
      <c r="Y160" s="412"/>
      <c r="Z160" s="412"/>
    </row>
    <row r="161" ht="13.5" customHeight="1">
      <c r="A161" s="473"/>
      <c r="B161" s="412"/>
      <c r="C161" s="412"/>
      <c r="D161" s="412"/>
      <c r="E161" s="412"/>
      <c r="F161" s="412"/>
      <c r="G161" s="412"/>
      <c r="H161" s="412"/>
      <c r="I161" s="412"/>
      <c r="J161" s="412"/>
      <c r="K161" s="412"/>
      <c r="L161" s="412"/>
      <c r="M161" s="412"/>
      <c r="N161" s="412"/>
      <c r="O161" s="412"/>
      <c r="P161" s="412"/>
      <c r="Q161" s="412"/>
      <c r="R161" s="412"/>
      <c r="S161" s="412"/>
      <c r="T161" s="412"/>
      <c r="U161" s="412"/>
      <c r="V161" s="412"/>
      <c r="W161" s="412"/>
      <c r="X161" s="412"/>
      <c r="Y161" s="412"/>
      <c r="Z161" s="412"/>
    </row>
    <row r="162" ht="13.5" customHeight="1">
      <c r="A162" s="473"/>
      <c r="B162" s="412"/>
      <c r="C162" s="412"/>
      <c r="D162" s="412"/>
      <c r="E162" s="412"/>
      <c r="F162" s="412"/>
      <c r="G162" s="412"/>
      <c r="H162" s="412"/>
      <c r="I162" s="412"/>
      <c r="J162" s="412"/>
      <c r="K162" s="412"/>
      <c r="L162" s="412"/>
      <c r="M162" s="412"/>
      <c r="N162" s="412"/>
      <c r="O162" s="412"/>
      <c r="P162" s="412"/>
      <c r="Q162" s="412"/>
      <c r="R162" s="412"/>
      <c r="S162" s="412"/>
      <c r="T162" s="412"/>
      <c r="U162" s="412"/>
      <c r="V162" s="412"/>
      <c r="W162" s="412"/>
      <c r="X162" s="412"/>
      <c r="Y162" s="412"/>
      <c r="Z162" s="412"/>
    </row>
    <row r="163" ht="13.5" customHeight="1">
      <c r="A163" s="473"/>
      <c r="B163" s="412"/>
      <c r="C163" s="412"/>
      <c r="D163" s="412"/>
      <c r="E163" s="412"/>
      <c r="F163" s="412"/>
      <c r="G163" s="412"/>
      <c r="H163" s="412"/>
      <c r="I163" s="412"/>
      <c r="J163" s="412"/>
      <c r="K163" s="412"/>
      <c r="L163" s="412"/>
      <c r="M163" s="412"/>
      <c r="N163" s="412"/>
      <c r="O163" s="412"/>
      <c r="P163" s="412"/>
      <c r="Q163" s="412"/>
      <c r="R163" s="412"/>
      <c r="S163" s="412"/>
      <c r="T163" s="412"/>
      <c r="U163" s="412"/>
      <c r="V163" s="412"/>
      <c r="W163" s="412"/>
      <c r="X163" s="412"/>
      <c r="Y163" s="412"/>
      <c r="Z163" s="412"/>
    </row>
    <row r="164" ht="13.5" customHeight="1">
      <c r="A164" s="473"/>
      <c r="B164" s="412"/>
      <c r="C164" s="412"/>
      <c r="D164" s="412"/>
      <c r="E164" s="412"/>
      <c r="F164" s="412"/>
      <c r="G164" s="412"/>
      <c r="H164" s="412"/>
      <c r="I164" s="412"/>
      <c r="J164" s="412"/>
      <c r="K164" s="412"/>
      <c r="L164" s="412"/>
      <c r="M164" s="412"/>
      <c r="N164" s="412"/>
      <c r="O164" s="412"/>
      <c r="P164" s="412"/>
      <c r="Q164" s="412"/>
      <c r="R164" s="412"/>
      <c r="S164" s="412"/>
      <c r="T164" s="412"/>
      <c r="U164" s="412"/>
      <c r="V164" s="412"/>
      <c r="W164" s="412"/>
      <c r="X164" s="412"/>
      <c r="Y164" s="412"/>
      <c r="Z164" s="412"/>
    </row>
    <row r="165" ht="13.5" customHeight="1">
      <c r="A165" s="473"/>
      <c r="B165" s="412"/>
      <c r="C165" s="412"/>
      <c r="D165" s="412"/>
      <c r="E165" s="412"/>
      <c r="F165" s="412"/>
      <c r="G165" s="412"/>
      <c r="H165" s="412"/>
      <c r="I165" s="412"/>
      <c r="J165" s="412"/>
      <c r="K165" s="412"/>
      <c r="L165" s="412"/>
      <c r="M165" s="412"/>
      <c r="N165" s="412"/>
      <c r="O165" s="412"/>
      <c r="P165" s="412"/>
      <c r="Q165" s="412"/>
      <c r="R165" s="412"/>
      <c r="S165" s="412"/>
      <c r="T165" s="412"/>
      <c r="U165" s="412"/>
      <c r="V165" s="412"/>
      <c r="W165" s="412"/>
      <c r="X165" s="412"/>
      <c r="Y165" s="412"/>
      <c r="Z165" s="412"/>
    </row>
    <row r="166" ht="13.5" customHeight="1">
      <c r="A166" s="473"/>
      <c r="B166" s="412"/>
      <c r="C166" s="412"/>
      <c r="D166" s="412"/>
      <c r="E166" s="412"/>
      <c r="F166" s="412"/>
      <c r="G166" s="412"/>
      <c r="H166" s="412"/>
      <c r="I166" s="412"/>
      <c r="J166" s="412"/>
      <c r="K166" s="412"/>
      <c r="L166" s="412"/>
      <c r="M166" s="412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2"/>
      <c r="Y166" s="412"/>
      <c r="Z166" s="412"/>
    </row>
    <row r="167" ht="13.5" customHeight="1">
      <c r="A167" s="473"/>
      <c r="B167" s="412"/>
      <c r="C167" s="412"/>
      <c r="D167" s="412"/>
      <c r="E167" s="412"/>
      <c r="F167" s="412"/>
      <c r="G167" s="412"/>
      <c r="H167" s="412"/>
      <c r="I167" s="412"/>
      <c r="J167" s="412"/>
      <c r="K167" s="412"/>
      <c r="L167" s="412"/>
      <c r="M167" s="412"/>
      <c r="N167" s="412"/>
      <c r="O167" s="412"/>
      <c r="P167" s="412"/>
      <c r="Q167" s="412"/>
      <c r="R167" s="412"/>
      <c r="S167" s="412"/>
      <c r="T167" s="412"/>
      <c r="U167" s="412"/>
      <c r="V167" s="412"/>
      <c r="W167" s="412"/>
      <c r="X167" s="412"/>
      <c r="Y167" s="412"/>
      <c r="Z167" s="412"/>
    </row>
    <row r="168" ht="13.5" customHeight="1">
      <c r="A168" s="473"/>
      <c r="B168" s="412"/>
      <c r="C168" s="412"/>
      <c r="D168" s="412"/>
      <c r="E168" s="412"/>
      <c r="F168" s="412"/>
      <c r="G168" s="412"/>
      <c r="H168" s="412"/>
      <c r="I168" s="412"/>
      <c r="J168" s="412"/>
      <c r="K168" s="412"/>
      <c r="L168" s="412"/>
      <c r="M168" s="412"/>
      <c r="N168" s="412"/>
      <c r="O168" s="412"/>
      <c r="P168" s="412"/>
      <c r="Q168" s="412"/>
      <c r="R168" s="412"/>
      <c r="S168" s="412"/>
      <c r="T168" s="412"/>
      <c r="U168" s="412"/>
      <c r="V168" s="412"/>
      <c r="W168" s="412"/>
      <c r="X168" s="412"/>
      <c r="Y168" s="412"/>
      <c r="Z168" s="412"/>
    </row>
    <row r="169" ht="13.5" customHeight="1">
      <c r="A169" s="473"/>
      <c r="B169" s="412"/>
      <c r="C169" s="412"/>
      <c r="D169" s="412"/>
      <c r="E169" s="412"/>
      <c r="F169" s="412"/>
      <c r="G169" s="412"/>
      <c r="H169" s="412"/>
      <c r="I169" s="412"/>
      <c r="J169" s="412"/>
      <c r="K169" s="412"/>
      <c r="L169" s="412"/>
      <c r="M169" s="412"/>
      <c r="N169" s="412"/>
      <c r="O169" s="412"/>
      <c r="P169" s="412"/>
      <c r="Q169" s="412"/>
      <c r="R169" s="412"/>
      <c r="S169" s="412"/>
      <c r="T169" s="412"/>
      <c r="U169" s="412"/>
      <c r="V169" s="412"/>
      <c r="W169" s="412"/>
      <c r="X169" s="412"/>
      <c r="Y169" s="412"/>
      <c r="Z169" s="412"/>
    </row>
    <row r="170" ht="13.5" customHeight="1">
      <c r="A170" s="473"/>
      <c r="B170" s="412"/>
      <c r="C170" s="412"/>
      <c r="D170" s="412"/>
      <c r="E170" s="412"/>
      <c r="F170" s="412"/>
      <c r="G170" s="412"/>
      <c r="H170" s="412"/>
      <c r="I170" s="412"/>
      <c r="J170" s="412"/>
      <c r="K170" s="412"/>
      <c r="L170" s="412"/>
      <c r="M170" s="412"/>
      <c r="N170" s="412"/>
      <c r="O170" s="412"/>
      <c r="P170" s="412"/>
      <c r="Q170" s="412"/>
      <c r="R170" s="412"/>
      <c r="S170" s="412"/>
      <c r="T170" s="412"/>
      <c r="U170" s="412"/>
      <c r="V170" s="412"/>
      <c r="W170" s="412"/>
      <c r="X170" s="412"/>
      <c r="Y170" s="412"/>
      <c r="Z170" s="412"/>
    </row>
    <row r="171" ht="13.5" customHeight="1">
      <c r="A171" s="473"/>
      <c r="B171" s="412"/>
      <c r="C171" s="412"/>
      <c r="D171" s="412"/>
      <c r="E171" s="412"/>
      <c r="F171" s="412"/>
      <c r="G171" s="412"/>
      <c r="H171" s="412"/>
      <c r="I171" s="412"/>
      <c r="J171" s="412"/>
      <c r="K171" s="412"/>
      <c r="L171" s="412"/>
      <c r="M171" s="412"/>
      <c r="N171" s="412"/>
      <c r="O171" s="412"/>
      <c r="P171" s="412"/>
      <c r="Q171" s="412"/>
      <c r="R171" s="412"/>
      <c r="S171" s="412"/>
      <c r="T171" s="412"/>
      <c r="U171" s="412"/>
      <c r="V171" s="412"/>
      <c r="W171" s="412"/>
      <c r="X171" s="412"/>
      <c r="Y171" s="412"/>
      <c r="Z171" s="412"/>
    </row>
    <row r="172" ht="13.5" customHeight="1">
      <c r="A172" s="473"/>
      <c r="B172" s="412"/>
      <c r="C172" s="412"/>
      <c r="D172" s="412"/>
      <c r="E172" s="412"/>
      <c r="F172" s="412"/>
      <c r="G172" s="412"/>
      <c r="H172" s="412"/>
      <c r="I172" s="412"/>
      <c r="J172" s="412"/>
      <c r="K172" s="412"/>
      <c r="L172" s="412"/>
      <c r="M172" s="412"/>
      <c r="N172" s="412"/>
      <c r="O172" s="412"/>
      <c r="P172" s="412"/>
      <c r="Q172" s="412"/>
      <c r="R172" s="412"/>
      <c r="S172" s="412"/>
      <c r="T172" s="412"/>
      <c r="U172" s="412"/>
      <c r="V172" s="412"/>
      <c r="W172" s="412"/>
      <c r="X172" s="412"/>
      <c r="Y172" s="412"/>
      <c r="Z172" s="412"/>
    </row>
    <row r="173" ht="13.5" customHeight="1">
      <c r="A173" s="473"/>
      <c r="B173" s="412"/>
      <c r="C173" s="412"/>
      <c r="D173" s="412"/>
      <c r="E173" s="412"/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2"/>
      <c r="S173" s="412"/>
      <c r="T173" s="412"/>
      <c r="U173" s="412"/>
      <c r="V173" s="412"/>
      <c r="W173" s="412"/>
      <c r="X173" s="412"/>
      <c r="Y173" s="412"/>
      <c r="Z173" s="412"/>
    </row>
    <row r="174" ht="13.5" customHeight="1">
      <c r="A174" s="473"/>
      <c r="B174" s="412"/>
      <c r="C174" s="412"/>
      <c r="D174" s="412"/>
      <c r="E174" s="412"/>
      <c r="F174" s="412"/>
      <c r="G174" s="412"/>
      <c r="H174" s="412"/>
      <c r="I174" s="412"/>
      <c r="J174" s="412"/>
      <c r="K174" s="412"/>
      <c r="L174" s="412"/>
      <c r="M174" s="412"/>
      <c r="N174" s="412"/>
      <c r="O174" s="412"/>
      <c r="P174" s="412"/>
      <c r="Q174" s="412"/>
      <c r="R174" s="412"/>
      <c r="S174" s="412"/>
      <c r="T174" s="412"/>
      <c r="U174" s="412"/>
      <c r="V174" s="412"/>
      <c r="W174" s="412"/>
      <c r="X174" s="412"/>
      <c r="Y174" s="412"/>
      <c r="Z174" s="412"/>
    </row>
    <row r="175" ht="13.5" customHeight="1">
      <c r="A175" s="473"/>
      <c r="B175" s="412"/>
      <c r="C175" s="412"/>
      <c r="D175" s="412"/>
      <c r="E175" s="412"/>
      <c r="F175" s="412"/>
      <c r="G175" s="412"/>
      <c r="H175" s="412"/>
      <c r="I175" s="412"/>
      <c r="J175" s="412"/>
      <c r="K175" s="412"/>
      <c r="L175" s="412"/>
      <c r="M175" s="412"/>
      <c r="N175" s="412"/>
      <c r="O175" s="412"/>
      <c r="P175" s="412"/>
      <c r="Q175" s="412"/>
      <c r="R175" s="412"/>
      <c r="S175" s="412"/>
      <c r="T175" s="412"/>
      <c r="U175" s="412"/>
      <c r="V175" s="412"/>
      <c r="W175" s="412"/>
      <c r="X175" s="412"/>
      <c r="Y175" s="412"/>
      <c r="Z175" s="412"/>
    </row>
    <row r="176" ht="13.5" customHeight="1">
      <c r="A176" s="473"/>
      <c r="B176" s="412"/>
      <c r="C176" s="412"/>
      <c r="D176" s="412"/>
      <c r="E176" s="412"/>
      <c r="F176" s="412"/>
      <c r="G176" s="412"/>
      <c r="H176" s="412"/>
      <c r="I176" s="412"/>
      <c r="J176" s="412"/>
      <c r="K176" s="412"/>
      <c r="L176" s="412"/>
      <c r="M176" s="412"/>
      <c r="N176" s="412"/>
      <c r="O176" s="412"/>
      <c r="P176" s="412"/>
      <c r="Q176" s="412"/>
      <c r="R176" s="412"/>
      <c r="S176" s="412"/>
      <c r="T176" s="412"/>
      <c r="U176" s="412"/>
      <c r="V176" s="412"/>
      <c r="W176" s="412"/>
      <c r="X176" s="412"/>
      <c r="Y176" s="412"/>
      <c r="Z176" s="412"/>
    </row>
    <row r="177" ht="13.5" customHeight="1">
      <c r="A177" s="473"/>
      <c r="B177" s="412"/>
      <c r="C177" s="412"/>
      <c r="D177" s="412"/>
      <c r="E177" s="412"/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12"/>
      <c r="Q177" s="412"/>
      <c r="R177" s="412"/>
      <c r="S177" s="412"/>
      <c r="T177" s="412"/>
      <c r="U177" s="412"/>
      <c r="V177" s="412"/>
      <c r="W177" s="412"/>
      <c r="X177" s="412"/>
      <c r="Y177" s="412"/>
      <c r="Z177" s="412"/>
    </row>
    <row r="178" ht="13.5" customHeight="1">
      <c r="A178" s="473"/>
      <c r="B178" s="412"/>
      <c r="C178" s="412"/>
      <c r="D178" s="412"/>
      <c r="E178" s="412"/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2"/>
      <c r="S178" s="412"/>
      <c r="T178" s="412"/>
      <c r="U178" s="412"/>
      <c r="V178" s="412"/>
      <c r="W178" s="412"/>
      <c r="X178" s="412"/>
      <c r="Y178" s="412"/>
      <c r="Z178" s="412"/>
    </row>
    <row r="179" ht="13.5" customHeight="1">
      <c r="A179" s="473"/>
      <c r="B179" s="412"/>
      <c r="C179" s="412"/>
      <c r="D179" s="412"/>
      <c r="E179" s="412"/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2"/>
      <c r="Y179" s="412"/>
      <c r="Z179" s="412"/>
    </row>
    <row r="180" ht="13.5" customHeight="1">
      <c r="A180" s="473"/>
      <c r="B180" s="412"/>
      <c r="C180" s="412"/>
      <c r="D180" s="412"/>
      <c r="E180" s="412"/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2"/>
      <c r="S180" s="412"/>
      <c r="T180" s="412"/>
      <c r="U180" s="412"/>
      <c r="V180" s="412"/>
      <c r="W180" s="412"/>
      <c r="X180" s="412"/>
      <c r="Y180" s="412"/>
      <c r="Z180" s="412"/>
    </row>
    <row r="181" ht="13.5" customHeight="1">
      <c r="A181" s="473"/>
      <c r="B181" s="412"/>
      <c r="C181" s="412"/>
      <c r="D181" s="412"/>
      <c r="E181" s="412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412"/>
      <c r="Q181" s="412"/>
      <c r="R181" s="412"/>
      <c r="S181" s="412"/>
      <c r="T181" s="412"/>
      <c r="U181" s="412"/>
      <c r="V181" s="412"/>
      <c r="W181" s="412"/>
      <c r="X181" s="412"/>
      <c r="Y181" s="412"/>
      <c r="Z181" s="412"/>
    </row>
    <row r="182" ht="13.5" customHeight="1">
      <c r="A182" s="473"/>
      <c r="B182" s="412"/>
      <c r="C182" s="412"/>
      <c r="D182" s="412"/>
      <c r="E182" s="412"/>
      <c r="F182" s="412"/>
      <c r="G182" s="412"/>
      <c r="H182" s="412"/>
      <c r="I182" s="412"/>
      <c r="J182" s="412"/>
      <c r="K182" s="412"/>
      <c r="L182" s="412"/>
      <c r="M182" s="412"/>
      <c r="N182" s="412"/>
      <c r="O182" s="412"/>
      <c r="P182" s="412"/>
      <c r="Q182" s="412"/>
      <c r="R182" s="412"/>
      <c r="S182" s="412"/>
      <c r="T182" s="412"/>
      <c r="U182" s="412"/>
      <c r="V182" s="412"/>
      <c r="W182" s="412"/>
      <c r="X182" s="412"/>
      <c r="Y182" s="412"/>
      <c r="Z182" s="412"/>
    </row>
    <row r="183" ht="13.5" customHeight="1">
      <c r="A183" s="473"/>
      <c r="B183" s="412"/>
      <c r="C183" s="412"/>
      <c r="D183" s="412"/>
      <c r="E183" s="412"/>
      <c r="F183" s="412"/>
      <c r="G183" s="412"/>
      <c r="H183" s="412"/>
      <c r="I183" s="412"/>
      <c r="J183" s="412"/>
      <c r="K183" s="412"/>
      <c r="L183" s="412"/>
      <c r="M183" s="412"/>
      <c r="N183" s="412"/>
      <c r="O183" s="412"/>
      <c r="P183" s="412"/>
      <c r="Q183" s="412"/>
      <c r="R183" s="412"/>
      <c r="S183" s="412"/>
      <c r="T183" s="412"/>
      <c r="U183" s="412"/>
      <c r="V183" s="412"/>
      <c r="W183" s="412"/>
      <c r="X183" s="412"/>
      <c r="Y183" s="412"/>
      <c r="Z183" s="412"/>
    </row>
    <row r="184" ht="13.5" customHeight="1">
      <c r="A184" s="473"/>
      <c r="B184" s="412"/>
      <c r="C184" s="412"/>
      <c r="D184" s="412"/>
      <c r="E184" s="412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2"/>
      <c r="Y184" s="412"/>
      <c r="Z184" s="412"/>
    </row>
    <row r="185" ht="13.5" customHeight="1">
      <c r="A185" s="473"/>
      <c r="B185" s="412"/>
      <c r="C185" s="412"/>
      <c r="D185" s="412"/>
      <c r="E185" s="412"/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2"/>
      <c r="S185" s="412"/>
      <c r="T185" s="412"/>
      <c r="U185" s="412"/>
      <c r="V185" s="412"/>
      <c r="W185" s="412"/>
      <c r="X185" s="412"/>
      <c r="Y185" s="412"/>
      <c r="Z185" s="412"/>
    </row>
    <row r="186" ht="13.5" customHeight="1">
      <c r="A186" s="473"/>
      <c r="B186" s="412"/>
      <c r="C186" s="412"/>
      <c r="D186" s="412"/>
      <c r="E186" s="412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2"/>
      <c r="Y186" s="412"/>
      <c r="Z186" s="412"/>
    </row>
    <row r="187" ht="13.5" customHeight="1">
      <c r="A187" s="473"/>
      <c r="B187" s="412"/>
      <c r="C187" s="412"/>
      <c r="D187" s="412"/>
      <c r="E187" s="412"/>
      <c r="F187" s="412"/>
      <c r="G187" s="412"/>
      <c r="H187" s="412"/>
      <c r="I187" s="412"/>
      <c r="J187" s="412"/>
      <c r="K187" s="412"/>
      <c r="L187" s="412"/>
      <c r="M187" s="412"/>
      <c r="N187" s="412"/>
      <c r="O187" s="412"/>
      <c r="P187" s="412"/>
      <c r="Q187" s="412"/>
      <c r="R187" s="412"/>
      <c r="S187" s="412"/>
      <c r="T187" s="412"/>
      <c r="U187" s="412"/>
      <c r="V187" s="412"/>
      <c r="W187" s="412"/>
      <c r="X187" s="412"/>
      <c r="Y187" s="412"/>
      <c r="Z187" s="412"/>
    </row>
    <row r="188" ht="13.5" customHeight="1">
      <c r="A188" s="473"/>
      <c r="B188" s="412"/>
      <c r="C188" s="412"/>
      <c r="D188" s="412"/>
      <c r="E188" s="412"/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2"/>
      <c r="S188" s="412"/>
      <c r="T188" s="412"/>
      <c r="U188" s="412"/>
      <c r="V188" s="412"/>
      <c r="W188" s="412"/>
      <c r="X188" s="412"/>
      <c r="Y188" s="412"/>
      <c r="Z188" s="412"/>
    </row>
    <row r="189" ht="13.5" customHeight="1">
      <c r="A189" s="473"/>
      <c r="B189" s="412"/>
      <c r="C189" s="412"/>
      <c r="D189" s="412"/>
      <c r="E189" s="412"/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2"/>
      <c r="Y189" s="412"/>
      <c r="Z189" s="412"/>
    </row>
    <row r="190" ht="13.5" customHeight="1">
      <c r="A190" s="473"/>
      <c r="B190" s="412"/>
      <c r="C190" s="412"/>
      <c r="D190" s="412"/>
      <c r="E190" s="412"/>
      <c r="F190" s="412"/>
      <c r="G190" s="412"/>
      <c r="H190" s="412"/>
      <c r="I190" s="412"/>
      <c r="J190" s="412"/>
      <c r="K190" s="412"/>
      <c r="L190" s="412"/>
      <c r="M190" s="412"/>
      <c r="N190" s="412"/>
      <c r="O190" s="412"/>
      <c r="P190" s="412"/>
      <c r="Q190" s="412"/>
      <c r="R190" s="412"/>
      <c r="S190" s="412"/>
      <c r="T190" s="412"/>
      <c r="U190" s="412"/>
      <c r="V190" s="412"/>
      <c r="W190" s="412"/>
      <c r="X190" s="412"/>
      <c r="Y190" s="412"/>
      <c r="Z190" s="412"/>
    </row>
    <row r="191" ht="13.5" customHeight="1">
      <c r="A191" s="473"/>
      <c r="B191" s="412"/>
      <c r="C191" s="412"/>
      <c r="D191" s="412"/>
      <c r="E191" s="412"/>
      <c r="F191" s="412"/>
      <c r="G191" s="412"/>
      <c r="H191" s="412"/>
      <c r="I191" s="412"/>
      <c r="J191" s="412"/>
      <c r="K191" s="412"/>
      <c r="L191" s="412"/>
      <c r="M191" s="412"/>
      <c r="N191" s="412"/>
      <c r="O191" s="412"/>
      <c r="P191" s="412"/>
      <c r="Q191" s="412"/>
      <c r="R191" s="412"/>
      <c r="S191" s="412"/>
      <c r="T191" s="412"/>
      <c r="U191" s="412"/>
      <c r="V191" s="412"/>
      <c r="W191" s="412"/>
      <c r="X191" s="412"/>
      <c r="Y191" s="412"/>
      <c r="Z191" s="412"/>
    </row>
    <row r="192" ht="13.5" customHeight="1">
      <c r="A192" s="473"/>
      <c r="B192" s="412"/>
      <c r="C192" s="412"/>
      <c r="D192" s="412"/>
      <c r="E192" s="412"/>
      <c r="F192" s="412"/>
      <c r="G192" s="412"/>
      <c r="H192" s="412"/>
      <c r="I192" s="412"/>
      <c r="J192" s="412"/>
      <c r="K192" s="412"/>
      <c r="L192" s="412"/>
      <c r="M192" s="412"/>
      <c r="N192" s="412"/>
      <c r="O192" s="412"/>
      <c r="P192" s="412"/>
      <c r="Q192" s="412"/>
      <c r="R192" s="412"/>
      <c r="S192" s="412"/>
      <c r="T192" s="412"/>
      <c r="U192" s="412"/>
      <c r="V192" s="412"/>
      <c r="W192" s="412"/>
      <c r="X192" s="412"/>
      <c r="Y192" s="412"/>
      <c r="Z192" s="412"/>
    </row>
    <row r="193" ht="13.5" customHeight="1">
      <c r="A193" s="473"/>
      <c r="B193" s="412"/>
      <c r="C193" s="412"/>
      <c r="D193" s="412"/>
      <c r="E193" s="412"/>
      <c r="F193" s="412"/>
      <c r="G193" s="412"/>
      <c r="H193" s="412"/>
      <c r="I193" s="412"/>
      <c r="J193" s="412"/>
      <c r="K193" s="412"/>
      <c r="L193" s="412"/>
      <c r="M193" s="412"/>
      <c r="N193" s="412"/>
      <c r="O193" s="412"/>
      <c r="P193" s="412"/>
      <c r="Q193" s="412"/>
      <c r="R193" s="412"/>
      <c r="S193" s="412"/>
      <c r="T193" s="412"/>
      <c r="U193" s="412"/>
      <c r="V193" s="412"/>
      <c r="W193" s="412"/>
      <c r="X193" s="412"/>
      <c r="Y193" s="412"/>
      <c r="Z193" s="412"/>
    </row>
    <row r="194" ht="13.5" customHeight="1">
      <c r="A194" s="473"/>
      <c r="B194" s="412"/>
      <c r="C194" s="412"/>
      <c r="D194" s="412"/>
      <c r="E194" s="412"/>
      <c r="F194" s="412"/>
      <c r="G194" s="412"/>
      <c r="H194" s="412"/>
      <c r="I194" s="412"/>
      <c r="J194" s="412"/>
      <c r="K194" s="412"/>
      <c r="L194" s="412"/>
      <c r="M194" s="412"/>
      <c r="N194" s="412"/>
      <c r="O194" s="412"/>
      <c r="P194" s="412"/>
      <c r="Q194" s="412"/>
      <c r="R194" s="412"/>
      <c r="S194" s="412"/>
      <c r="T194" s="412"/>
      <c r="U194" s="412"/>
      <c r="V194" s="412"/>
      <c r="W194" s="412"/>
      <c r="X194" s="412"/>
      <c r="Y194" s="412"/>
      <c r="Z194" s="412"/>
    </row>
    <row r="195" ht="13.5" customHeight="1">
      <c r="A195" s="473"/>
      <c r="B195" s="412"/>
      <c r="C195" s="412"/>
      <c r="D195" s="412"/>
      <c r="E195" s="412"/>
      <c r="F195" s="412"/>
      <c r="G195" s="412"/>
      <c r="H195" s="412"/>
      <c r="I195" s="412"/>
      <c r="J195" s="412"/>
      <c r="K195" s="412"/>
      <c r="L195" s="412"/>
      <c r="M195" s="412"/>
      <c r="N195" s="412"/>
      <c r="O195" s="412"/>
      <c r="P195" s="412"/>
      <c r="Q195" s="412"/>
      <c r="R195" s="412"/>
      <c r="S195" s="412"/>
      <c r="T195" s="412"/>
      <c r="U195" s="412"/>
      <c r="V195" s="412"/>
      <c r="W195" s="412"/>
      <c r="X195" s="412"/>
      <c r="Y195" s="412"/>
      <c r="Z195" s="412"/>
    </row>
    <row r="196" ht="13.5" customHeight="1">
      <c r="A196" s="473"/>
      <c r="B196" s="412"/>
      <c r="C196" s="412"/>
      <c r="D196" s="412"/>
      <c r="E196" s="412"/>
      <c r="F196" s="412"/>
      <c r="G196" s="412"/>
      <c r="H196" s="412"/>
      <c r="I196" s="412"/>
      <c r="J196" s="412"/>
      <c r="K196" s="412"/>
      <c r="L196" s="412"/>
      <c r="M196" s="412"/>
      <c r="N196" s="412"/>
      <c r="O196" s="412"/>
      <c r="P196" s="412"/>
      <c r="Q196" s="412"/>
      <c r="R196" s="412"/>
      <c r="S196" s="412"/>
      <c r="T196" s="412"/>
      <c r="U196" s="412"/>
      <c r="V196" s="412"/>
      <c r="W196" s="412"/>
      <c r="X196" s="412"/>
      <c r="Y196" s="412"/>
      <c r="Z196" s="412"/>
    </row>
    <row r="197" ht="13.5" customHeight="1">
      <c r="A197" s="473"/>
      <c r="B197" s="412"/>
      <c r="C197" s="412"/>
      <c r="D197" s="412"/>
      <c r="E197" s="412"/>
      <c r="F197" s="412"/>
      <c r="G197" s="412"/>
      <c r="H197" s="412"/>
      <c r="I197" s="412"/>
      <c r="J197" s="412"/>
      <c r="K197" s="412"/>
      <c r="L197" s="412"/>
      <c r="M197" s="412"/>
      <c r="N197" s="412"/>
      <c r="O197" s="412"/>
      <c r="P197" s="412"/>
      <c r="Q197" s="412"/>
      <c r="R197" s="412"/>
      <c r="S197" s="412"/>
      <c r="T197" s="412"/>
      <c r="U197" s="412"/>
      <c r="V197" s="412"/>
      <c r="W197" s="412"/>
      <c r="X197" s="412"/>
      <c r="Y197" s="412"/>
      <c r="Z197" s="412"/>
    </row>
    <row r="198" ht="13.5" customHeight="1">
      <c r="A198" s="473"/>
      <c r="B198" s="412"/>
      <c r="C198" s="412"/>
      <c r="D198" s="412"/>
      <c r="E198" s="412"/>
      <c r="F198" s="412"/>
      <c r="G198" s="412"/>
      <c r="H198" s="412"/>
      <c r="I198" s="412"/>
      <c r="J198" s="412"/>
      <c r="K198" s="412"/>
      <c r="L198" s="412"/>
      <c r="M198" s="412"/>
      <c r="N198" s="412"/>
      <c r="O198" s="412"/>
      <c r="P198" s="412"/>
      <c r="Q198" s="412"/>
      <c r="R198" s="412"/>
      <c r="S198" s="412"/>
      <c r="T198" s="412"/>
      <c r="U198" s="412"/>
      <c r="V198" s="412"/>
      <c r="W198" s="412"/>
      <c r="X198" s="412"/>
      <c r="Y198" s="412"/>
      <c r="Z198" s="412"/>
    </row>
    <row r="199" ht="13.5" customHeight="1">
      <c r="A199" s="473"/>
      <c r="B199" s="412"/>
      <c r="C199" s="412"/>
      <c r="D199" s="412"/>
      <c r="E199" s="412"/>
      <c r="F199" s="412"/>
      <c r="G199" s="412"/>
      <c r="H199" s="412"/>
      <c r="I199" s="412"/>
      <c r="J199" s="412"/>
      <c r="K199" s="412"/>
      <c r="L199" s="412"/>
      <c r="M199" s="412"/>
      <c r="N199" s="412"/>
      <c r="O199" s="412"/>
      <c r="P199" s="412"/>
      <c r="Q199" s="412"/>
      <c r="R199" s="412"/>
      <c r="S199" s="412"/>
      <c r="T199" s="412"/>
      <c r="U199" s="412"/>
      <c r="V199" s="412"/>
      <c r="W199" s="412"/>
      <c r="X199" s="412"/>
      <c r="Y199" s="412"/>
      <c r="Z199" s="412"/>
    </row>
    <row r="200" ht="13.5" customHeight="1">
      <c r="A200" s="473"/>
      <c r="B200" s="412"/>
      <c r="C200" s="412"/>
      <c r="D200" s="412"/>
      <c r="E200" s="412"/>
      <c r="F200" s="412"/>
      <c r="G200" s="412"/>
      <c r="H200" s="412"/>
      <c r="I200" s="412"/>
      <c r="J200" s="412"/>
      <c r="K200" s="412"/>
      <c r="L200" s="412"/>
      <c r="M200" s="412"/>
      <c r="N200" s="412"/>
      <c r="O200" s="412"/>
      <c r="P200" s="412"/>
      <c r="Q200" s="412"/>
      <c r="R200" s="412"/>
      <c r="S200" s="412"/>
      <c r="T200" s="412"/>
      <c r="U200" s="412"/>
      <c r="V200" s="412"/>
      <c r="W200" s="412"/>
      <c r="X200" s="412"/>
      <c r="Y200" s="412"/>
      <c r="Z200" s="412"/>
    </row>
    <row r="201" ht="13.5" customHeight="1">
      <c r="A201" s="473"/>
      <c r="B201" s="412"/>
      <c r="C201" s="412"/>
      <c r="D201" s="412"/>
      <c r="E201" s="412"/>
      <c r="F201" s="412"/>
      <c r="G201" s="412"/>
      <c r="H201" s="412"/>
      <c r="I201" s="412"/>
      <c r="J201" s="412"/>
      <c r="K201" s="412"/>
      <c r="L201" s="412"/>
      <c r="M201" s="412"/>
      <c r="N201" s="412"/>
      <c r="O201" s="412"/>
      <c r="P201" s="412"/>
      <c r="Q201" s="412"/>
      <c r="R201" s="412"/>
      <c r="S201" s="412"/>
      <c r="T201" s="412"/>
      <c r="U201" s="412"/>
      <c r="V201" s="412"/>
      <c r="W201" s="412"/>
      <c r="X201" s="412"/>
      <c r="Y201" s="412"/>
      <c r="Z201" s="412"/>
    </row>
    <row r="202" ht="13.5" customHeight="1">
      <c r="A202" s="473"/>
      <c r="B202" s="412"/>
      <c r="C202" s="412"/>
      <c r="D202" s="412"/>
      <c r="E202" s="412"/>
      <c r="F202" s="412"/>
      <c r="G202" s="412"/>
      <c r="H202" s="412"/>
      <c r="I202" s="412"/>
      <c r="J202" s="412"/>
      <c r="K202" s="412"/>
      <c r="L202" s="412"/>
      <c r="M202" s="412"/>
      <c r="N202" s="412"/>
      <c r="O202" s="412"/>
      <c r="P202" s="412"/>
      <c r="Q202" s="412"/>
      <c r="R202" s="412"/>
      <c r="S202" s="412"/>
      <c r="T202" s="412"/>
      <c r="U202" s="412"/>
      <c r="V202" s="412"/>
      <c r="W202" s="412"/>
      <c r="X202" s="412"/>
      <c r="Y202" s="412"/>
      <c r="Z202" s="412"/>
    </row>
    <row r="203" ht="13.5" customHeight="1">
      <c r="A203" s="473"/>
      <c r="B203" s="412"/>
      <c r="C203" s="412"/>
      <c r="D203" s="412"/>
      <c r="E203" s="412"/>
      <c r="F203" s="412"/>
      <c r="G203" s="412"/>
      <c r="H203" s="412"/>
      <c r="I203" s="412"/>
      <c r="J203" s="412"/>
      <c r="K203" s="412"/>
      <c r="L203" s="412"/>
      <c r="M203" s="412"/>
      <c r="N203" s="412"/>
      <c r="O203" s="412"/>
      <c r="P203" s="412"/>
      <c r="Q203" s="412"/>
      <c r="R203" s="412"/>
      <c r="S203" s="412"/>
      <c r="T203" s="412"/>
      <c r="U203" s="412"/>
      <c r="V203" s="412"/>
      <c r="W203" s="412"/>
      <c r="X203" s="412"/>
      <c r="Y203" s="412"/>
      <c r="Z203" s="412"/>
    </row>
    <row r="204" ht="13.5" customHeight="1">
      <c r="A204" s="473"/>
      <c r="B204" s="412"/>
      <c r="C204" s="412"/>
      <c r="D204" s="412"/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2"/>
      <c r="Y204" s="412"/>
      <c r="Z204" s="412"/>
    </row>
    <row r="205" ht="13.5" customHeight="1">
      <c r="A205" s="473"/>
      <c r="B205" s="412"/>
      <c r="C205" s="412"/>
      <c r="D205" s="412"/>
      <c r="E205" s="412"/>
      <c r="F205" s="412"/>
      <c r="G205" s="412"/>
      <c r="H205" s="412"/>
      <c r="I205" s="412"/>
      <c r="J205" s="412"/>
      <c r="K205" s="412"/>
      <c r="L205" s="412"/>
      <c r="M205" s="412"/>
      <c r="N205" s="412"/>
      <c r="O205" s="412"/>
      <c r="P205" s="412"/>
      <c r="Q205" s="412"/>
      <c r="R205" s="412"/>
      <c r="S205" s="412"/>
      <c r="T205" s="412"/>
      <c r="U205" s="412"/>
      <c r="V205" s="412"/>
      <c r="W205" s="412"/>
      <c r="X205" s="412"/>
      <c r="Y205" s="412"/>
      <c r="Z205" s="412"/>
    </row>
    <row r="206" ht="13.5" customHeight="1">
      <c r="A206" s="473"/>
      <c r="B206" s="412"/>
      <c r="C206" s="412"/>
      <c r="D206" s="412"/>
      <c r="E206" s="412"/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2"/>
      <c r="S206" s="412"/>
      <c r="T206" s="412"/>
      <c r="U206" s="412"/>
      <c r="V206" s="412"/>
      <c r="W206" s="412"/>
      <c r="X206" s="412"/>
      <c r="Y206" s="412"/>
      <c r="Z206" s="412"/>
    </row>
    <row r="207" ht="13.5" customHeight="1">
      <c r="A207" s="473"/>
      <c r="B207" s="412"/>
      <c r="C207" s="412"/>
      <c r="D207" s="412"/>
      <c r="E207" s="412"/>
      <c r="F207" s="412"/>
      <c r="G207" s="412"/>
      <c r="H207" s="412"/>
      <c r="I207" s="412"/>
      <c r="J207" s="412"/>
      <c r="K207" s="412"/>
      <c r="L207" s="412"/>
      <c r="M207" s="412"/>
      <c r="N207" s="412"/>
      <c r="O207" s="412"/>
      <c r="P207" s="412"/>
      <c r="Q207" s="412"/>
      <c r="R207" s="412"/>
      <c r="S207" s="412"/>
      <c r="T207" s="412"/>
      <c r="U207" s="412"/>
      <c r="V207" s="412"/>
      <c r="W207" s="412"/>
      <c r="X207" s="412"/>
      <c r="Y207" s="412"/>
      <c r="Z207" s="412"/>
    </row>
    <row r="208" ht="13.5" customHeight="1">
      <c r="A208" s="473"/>
      <c r="B208" s="412"/>
      <c r="C208" s="412"/>
      <c r="D208" s="412"/>
      <c r="E208" s="412"/>
      <c r="F208" s="412"/>
      <c r="G208" s="412"/>
      <c r="H208" s="412"/>
      <c r="I208" s="412"/>
      <c r="J208" s="412"/>
      <c r="K208" s="412"/>
      <c r="L208" s="412"/>
      <c r="M208" s="412"/>
      <c r="N208" s="412"/>
      <c r="O208" s="412"/>
      <c r="P208" s="412"/>
      <c r="Q208" s="412"/>
      <c r="R208" s="412"/>
      <c r="S208" s="412"/>
      <c r="T208" s="412"/>
      <c r="U208" s="412"/>
      <c r="V208" s="412"/>
      <c r="W208" s="412"/>
      <c r="X208" s="412"/>
      <c r="Y208" s="412"/>
      <c r="Z208" s="412"/>
    </row>
    <row r="209" ht="13.5" customHeight="1">
      <c r="A209" s="473"/>
      <c r="B209" s="412"/>
      <c r="C209" s="412"/>
      <c r="D209" s="412"/>
      <c r="E209" s="412"/>
      <c r="F209" s="412"/>
      <c r="G209" s="412"/>
      <c r="H209" s="412"/>
      <c r="I209" s="412"/>
      <c r="J209" s="412"/>
      <c r="K209" s="412"/>
      <c r="L209" s="412"/>
      <c r="M209" s="412"/>
      <c r="N209" s="412"/>
      <c r="O209" s="412"/>
      <c r="P209" s="412"/>
      <c r="Q209" s="412"/>
      <c r="R209" s="412"/>
      <c r="S209" s="412"/>
      <c r="T209" s="412"/>
      <c r="U209" s="412"/>
      <c r="V209" s="412"/>
      <c r="W209" s="412"/>
      <c r="X209" s="412"/>
      <c r="Y209" s="412"/>
      <c r="Z209" s="412"/>
    </row>
    <row r="210" ht="13.5" customHeight="1">
      <c r="A210" s="473"/>
      <c r="B210" s="412"/>
      <c r="C210" s="412"/>
      <c r="D210" s="412"/>
      <c r="E210" s="412"/>
      <c r="F210" s="41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R210" s="412"/>
      <c r="S210" s="412"/>
      <c r="T210" s="412"/>
      <c r="U210" s="412"/>
      <c r="V210" s="412"/>
      <c r="W210" s="412"/>
      <c r="X210" s="412"/>
      <c r="Y210" s="412"/>
      <c r="Z210" s="412"/>
    </row>
    <row r="211" ht="13.5" customHeight="1">
      <c r="A211" s="473"/>
      <c r="B211" s="412"/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2"/>
      <c r="Y211" s="412"/>
      <c r="Z211" s="412"/>
    </row>
    <row r="212" ht="13.5" customHeight="1">
      <c r="A212" s="473"/>
      <c r="B212" s="412"/>
      <c r="C212" s="412"/>
      <c r="D212" s="412"/>
      <c r="E212" s="412"/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2"/>
      <c r="S212" s="412"/>
      <c r="T212" s="412"/>
      <c r="U212" s="412"/>
      <c r="V212" s="412"/>
      <c r="W212" s="412"/>
      <c r="X212" s="412"/>
      <c r="Y212" s="412"/>
      <c r="Z212" s="412"/>
    </row>
    <row r="213" ht="13.5" customHeight="1">
      <c r="A213" s="473"/>
      <c r="B213" s="412"/>
      <c r="C213" s="412"/>
      <c r="D213" s="412"/>
      <c r="E213" s="412"/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2"/>
      <c r="S213" s="412"/>
      <c r="T213" s="412"/>
      <c r="U213" s="412"/>
      <c r="V213" s="412"/>
      <c r="W213" s="412"/>
      <c r="X213" s="412"/>
      <c r="Y213" s="412"/>
      <c r="Z213" s="412"/>
    </row>
    <row r="214" ht="13.5" customHeight="1">
      <c r="A214" s="473"/>
      <c r="B214" s="412"/>
      <c r="C214" s="412"/>
      <c r="D214" s="412"/>
      <c r="E214" s="412"/>
      <c r="F214" s="412"/>
      <c r="G214" s="412"/>
      <c r="H214" s="412"/>
      <c r="I214" s="412"/>
      <c r="J214" s="412"/>
      <c r="K214" s="412"/>
      <c r="L214" s="412"/>
      <c r="M214" s="412"/>
      <c r="N214" s="412"/>
      <c r="O214" s="412"/>
      <c r="P214" s="412"/>
      <c r="Q214" s="412"/>
      <c r="R214" s="412"/>
      <c r="S214" s="412"/>
      <c r="T214" s="412"/>
      <c r="U214" s="412"/>
      <c r="V214" s="412"/>
      <c r="W214" s="412"/>
      <c r="X214" s="412"/>
      <c r="Y214" s="412"/>
      <c r="Z214" s="412"/>
    </row>
    <row r="215" ht="13.5" customHeight="1">
      <c r="A215" s="473"/>
      <c r="B215" s="412"/>
      <c r="C215" s="412"/>
      <c r="D215" s="412"/>
      <c r="E215" s="412"/>
      <c r="F215" s="412"/>
      <c r="G215" s="412"/>
      <c r="H215" s="412"/>
      <c r="I215" s="412"/>
      <c r="J215" s="412"/>
      <c r="K215" s="412"/>
      <c r="L215" s="412"/>
      <c r="M215" s="412"/>
      <c r="N215" s="412"/>
      <c r="O215" s="412"/>
      <c r="P215" s="412"/>
      <c r="Q215" s="412"/>
      <c r="R215" s="412"/>
      <c r="S215" s="412"/>
      <c r="T215" s="412"/>
      <c r="U215" s="412"/>
      <c r="V215" s="412"/>
      <c r="W215" s="412"/>
      <c r="X215" s="412"/>
      <c r="Y215" s="412"/>
      <c r="Z215" s="412"/>
    </row>
    <row r="216" ht="13.5" customHeight="1">
      <c r="A216" s="473"/>
      <c r="B216" s="412"/>
      <c r="C216" s="412"/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12"/>
      <c r="O216" s="412"/>
      <c r="P216" s="412"/>
      <c r="Q216" s="412"/>
      <c r="R216" s="412"/>
      <c r="S216" s="412"/>
      <c r="T216" s="412"/>
      <c r="U216" s="412"/>
      <c r="V216" s="412"/>
      <c r="W216" s="412"/>
      <c r="X216" s="412"/>
      <c r="Y216" s="412"/>
      <c r="Z216" s="412"/>
    </row>
    <row r="217" ht="13.5" customHeight="1">
      <c r="A217" s="473"/>
      <c r="B217" s="412"/>
      <c r="C217" s="412"/>
      <c r="D217" s="412"/>
      <c r="E217" s="412"/>
      <c r="F217" s="412"/>
      <c r="G217" s="412"/>
      <c r="H217" s="412"/>
      <c r="I217" s="412"/>
      <c r="J217" s="412"/>
      <c r="K217" s="412"/>
      <c r="L217" s="412"/>
      <c r="M217" s="412"/>
      <c r="N217" s="412"/>
      <c r="O217" s="412"/>
      <c r="P217" s="412"/>
      <c r="Q217" s="412"/>
      <c r="R217" s="412"/>
      <c r="S217" s="412"/>
      <c r="T217" s="412"/>
      <c r="U217" s="412"/>
      <c r="V217" s="412"/>
      <c r="W217" s="412"/>
      <c r="X217" s="412"/>
      <c r="Y217" s="412"/>
      <c r="Z217" s="412"/>
    </row>
    <row r="218" ht="13.5" customHeight="1">
      <c r="A218" s="473"/>
      <c r="B218" s="412"/>
      <c r="C218" s="412"/>
      <c r="D218" s="412"/>
      <c r="E218" s="412"/>
      <c r="F218" s="412"/>
      <c r="G218" s="412"/>
      <c r="H218" s="412"/>
      <c r="I218" s="412"/>
      <c r="J218" s="412"/>
      <c r="K218" s="412"/>
      <c r="L218" s="412"/>
      <c r="M218" s="412"/>
      <c r="N218" s="412"/>
      <c r="O218" s="412"/>
      <c r="P218" s="412"/>
      <c r="Q218" s="412"/>
      <c r="R218" s="412"/>
      <c r="S218" s="412"/>
      <c r="T218" s="412"/>
      <c r="U218" s="412"/>
      <c r="V218" s="412"/>
      <c r="W218" s="412"/>
      <c r="X218" s="412"/>
      <c r="Y218" s="412"/>
      <c r="Z218" s="412"/>
    </row>
    <row r="219" ht="13.5" customHeight="1">
      <c r="A219" s="473"/>
      <c r="B219" s="412"/>
      <c r="C219" s="412"/>
      <c r="D219" s="412"/>
      <c r="E219" s="412"/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2"/>
      <c r="S219" s="412"/>
      <c r="T219" s="412"/>
      <c r="U219" s="412"/>
      <c r="V219" s="412"/>
      <c r="W219" s="412"/>
      <c r="X219" s="412"/>
      <c r="Y219" s="412"/>
      <c r="Z219" s="412"/>
    </row>
    <row r="220" ht="13.5" customHeight="1">
      <c r="A220" s="473"/>
      <c r="B220" s="412"/>
      <c r="C220" s="412"/>
      <c r="D220" s="412"/>
      <c r="E220" s="412"/>
      <c r="F220" s="412"/>
      <c r="G220" s="412"/>
      <c r="H220" s="412"/>
      <c r="I220" s="412"/>
      <c r="J220" s="412"/>
      <c r="K220" s="412"/>
      <c r="L220" s="412"/>
      <c r="M220" s="412"/>
      <c r="N220" s="412"/>
      <c r="O220" s="412"/>
      <c r="P220" s="412"/>
      <c r="Q220" s="412"/>
      <c r="R220" s="412"/>
      <c r="S220" s="412"/>
      <c r="T220" s="412"/>
      <c r="U220" s="412"/>
      <c r="V220" s="412"/>
      <c r="W220" s="412"/>
      <c r="X220" s="412"/>
      <c r="Y220" s="412"/>
      <c r="Z220" s="412"/>
    </row>
    <row r="221" ht="13.5" customHeight="1">
      <c r="A221" s="473"/>
      <c r="B221" s="412"/>
      <c r="C221" s="412"/>
      <c r="D221" s="412"/>
      <c r="E221" s="412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2"/>
      <c r="Y221" s="412"/>
      <c r="Z221" s="412"/>
    </row>
    <row r="222" ht="13.5" customHeight="1">
      <c r="A222" s="473"/>
      <c r="B222" s="412"/>
      <c r="C222" s="412"/>
      <c r="D222" s="412"/>
      <c r="E222" s="412"/>
      <c r="F222" s="412"/>
      <c r="G222" s="412"/>
      <c r="H222" s="412"/>
      <c r="I222" s="412"/>
      <c r="J222" s="412"/>
      <c r="K222" s="412"/>
      <c r="L222" s="412"/>
      <c r="M222" s="412"/>
      <c r="N222" s="412"/>
      <c r="O222" s="412"/>
      <c r="P222" s="412"/>
      <c r="Q222" s="412"/>
      <c r="R222" s="412"/>
      <c r="S222" s="412"/>
      <c r="T222" s="412"/>
      <c r="U222" s="412"/>
      <c r="V222" s="412"/>
      <c r="W222" s="412"/>
      <c r="X222" s="412"/>
      <c r="Y222" s="412"/>
      <c r="Z222" s="412"/>
    </row>
    <row r="223" ht="13.5" customHeight="1">
      <c r="A223" s="473"/>
      <c r="B223" s="412"/>
      <c r="C223" s="412"/>
      <c r="D223" s="412"/>
      <c r="E223" s="412"/>
      <c r="F223" s="412"/>
      <c r="G223" s="412"/>
      <c r="H223" s="412"/>
      <c r="I223" s="412"/>
      <c r="J223" s="412"/>
      <c r="K223" s="412"/>
      <c r="L223" s="412"/>
      <c r="M223" s="412"/>
      <c r="N223" s="412"/>
      <c r="O223" s="412"/>
      <c r="P223" s="412"/>
      <c r="Q223" s="412"/>
      <c r="R223" s="412"/>
      <c r="S223" s="412"/>
      <c r="T223" s="412"/>
      <c r="U223" s="412"/>
      <c r="V223" s="412"/>
      <c r="W223" s="412"/>
      <c r="X223" s="412"/>
      <c r="Y223" s="412"/>
      <c r="Z223" s="412"/>
    </row>
    <row r="224" ht="13.5" customHeight="1">
      <c r="A224" s="473"/>
      <c r="B224" s="412"/>
      <c r="C224" s="412"/>
      <c r="D224" s="412"/>
      <c r="E224" s="412"/>
      <c r="F224" s="412"/>
      <c r="G224" s="412"/>
      <c r="H224" s="412"/>
      <c r="I224" s="412"/>
      <c r="J224" s="412"/>
      <c r="K224" s="412"/>
      <c r="L224" s="412"/>
      <c r="M224" s="412"/>
      <c r="N224" s="412"/>
      <c r="O224" s="412"/>
      <c r="P224" s="412"/>
      <c r="Q224" s="412"/>
      <c r="R224" s="412"/>
      <c r="S224" s="412"/>
      <c r="T224" s="412"/>
      <c r="U224" s="412"/>
      <c r="V224" s="412"/>
      <c r="W224" s="412"/>
      <c r="X224" s="412"/>
      <c r="Y224" s="412"/>
      <c r="Z224" s="412"/>
    </row>
    <row r="225" ht="13.5" customHeight="1">
      <c r="A225" s="473"/>
      <c r="B225" s="412"/>
      <c r="C225" s="412"/>
      <c r="D225" s="412"/>
      <c r="E225" s="412"/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2"/>
      <c r="S225" s="412"/>
      <c r="T225" s="412"/>
      <c r="U225" s="412"/>
      <c r="V225" s="412"/>
      <c r="W225" s="412"/>
      <c r="X225" s="412"/>
      <c r="Y225" s="412"/>
      <c r="Z225" s="412"/>
    </row>
    <row r="226" ht="13.5" customHeight="1">
      <c r="A226" s="473"/>
      <c r="B226" s="412"/>
      <c r="C226" s="412"/>
      <c r="D226" s="412"/>
      <c r="E226" s="412"/>
      <c r="F226" s="412"/>
      <c r="G226" s="412"/>
      <c r="H226" s="412"/>
      <c r="I226" s="412"/>
      <c r="J226" s="412"/>
      <c r="K226" s="412"/>
      <c r="L226" s="412"/>
      <c r="M226" s="412"/>
      <c r="N226" s="412"/>
      <c r="O226" s="412"/>
      <c r="P226" s="412"/>
      <c r="Q226" s="412"/>
      <c r="R226" s="412"/>
      <c r="S226" s="412"/>
      <c r="T226" s="412"/>
      <c r="U226" s="412"/>
      <c r="V226" s="412"/>
      <c r="W226" s="412"/>
      <c r="X226" s="412"/>
      <c r="Y226" s="412"/>
      <c r="Z226" s="412"/>
    </row>
    <row r="227" ht="13.5" customHeight="1">
      <c r="A227" s="473"/>
      <c r="B227" s="412"/>
      <c r="C227" s="412"/>
      <c r="D227" s="412"/>
      <c r="E227" s="412"/>
      <c r="F227" s="412"/>
      <c r="G227" s="412"/>
      <c r="H227" s="412"/>
      <c r="I227" s="412"/>
      <c r="J227" s="412"/>
      <c r="K227" s="412"/>
      <c r="L227" s="412"/>
      <c r="M227" s="412"/>
      <c r="N227" s="412"/>
      <c r="O227" s="412"/>
      <c r="P227" s="412"/>
      <c r="Q227" s="412"/>
      <c r="R227" s="412"/>
      <c r="S227" s="412"/>
      <c r="T227" s="412"/>
      <c r="U227" s="412"/>
      <c r="V227" s="412"/>
      <c r="W227" s="412"/>
      <c r="X227" s="412"/>
      <c r="Y227" s="412"/>
      <c r="Z227" s="412"/>
    </row>
    <row r="228" ht="13.5" customHeight="1">
      <c r="A228" s="473"/>
      <c r="B228" s="412"/>
      <c r="C228" s="412"/>
      <c r="D228" s="412"/>
      <c r="E228" s="412"/>
      <c r="F228" s="412"/>
      <c r="G228" s="412"/>
      <c r="H228" s="412"/>
      <c r="I228" s="412"/>
      <c r="J228" s="412"/>
      <c r="K228" s="412"/>
      <c r="L228" s="412"/>
      <c r="M228" s="412"/>
      <c r="N228" s="412"/>
      <c r="O228" s="412"/>
      <c r="P228" s="412"/>
      <c r="Q228" s="412"/>
      <c r="R228" s="412"/>
      <c r="S228" s="412"/>
      <c r="T228" s="412"/>
      <c r="U228" s="412"/>
      <c r="V228" s="412"/>
      <c r="W228" s="412"/>
      <c r="X228" s="412"/>
      <c r="Y228" s="412"/>
      <c r="Z228" s="412"/>
    </row>
    <row r="229" ht="13.5" customHeight="1">
      <c r="A229" s="473"/>
      <c r="B229" s="412"/>
      <c r="C229" s="412"/>
      <c r="D229" s="412"/>
      <c r="E229" s="412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2"/>
      <c r="Y229" s="412"/>
      <c r="Z229" s="412"/>
    </row>
    <row r="230" ht="13.5" customHeight="1">
      <c r="A230" s="473"/>
      <c r="B230" s="412"/>
      <c r="C230" s="412"/>
      <c r="D230" s="412"/>
      <c r="E230" s="412"/>
      <c r="F230" s="412"/>
      <c r="G230" s="412"/>
      <c r="H230" s="412"/>
      <c r="I230" s="412"/>
      <c r="J230" s="412"/>
      <c r="K230" s="412"/>
      <c r="L230" s="412"/>
      <c r="M230" s="412"/>
      <c r="N230" s="412"/>
      <c r="O230" s="412"/>
      <c r="P230" s="412"/>
      <c r="Q230" s="412"/>
      <c r="R230" s="412"/>
      <c r="S230" s="412"/>
      <c r="T230" s="412"/>
      <c r="U230" s="412"/>
      <c r="V230" s="412"/>
      <c r="W230" s="412"/>
      <c r="X230" s="412"/>
      <c r="Y230" s="412"/>
      <c r="Z230" s="412"/>
    </row>
    <row r="231" ht="13.5" customHeight="1">
      <c r="A231" s="473"/>
      <c r="B231" s="412"/>
      <c r="C231" s="412"/>
      <c r="D231" s="412"/>
      <c r="E231" s="412"/>
      <c r="F231" s="412"/>
      <c r="G231" s="412"/>
      <c r="H231" s="412"/>
      <c r="I231" s="412"/>
      <c r="J231" s="412"/>
      <c r="K231" s="412"/>
      <c r="L231" s="412"/>
      <c r="M231" s="412"/>
      <c r="N231" s="412"/>
      <c r="O231" s="412"/>
      <c r="P231" s="412"/>
      <c r="Q231" s="412"/>
      <c r="R231" s="412"/>
      <c r="S231" s="412"/>
      <c r="T231" s="412"/>
      <c r="U231" s="412"/>
      <c r="V231" s="412"/>
      <c r="W231" s="412"/>
      <c r="X231" s="412"/>
      <c r="Y231" s="412"/>
      <c r="Z231" s="412"/>
    </row>
    <row r="232" ht="13.5" customHeight="1">
      <c r="A232" s="473"/>
      <c r="B232" s="412"/>
      <c r="C232" s="412"/>
      <c r="D232" s="412"/>
      <c r="E232" s="412"/>
      <c r="F232" s="412"/>
      <c r="G232" s="412"/>
      <c r="H232" s="412"/>
      <c r="I232" s="412"/>
      <c r="J232" s="412"/>
      <c r="K232" s="412"/>
      <c r="L232" s="412"/>
      <c r="M232" s="412"/>
      <c r="N232" s="412"/>
      <c r="O232" s="412"/>
      <c r="P232" s="412"/>
      <c r="Q232" s="412"/>
      <c r="R232" s="412"/>
      <c r="S232" s="412"/>
      <c r="T232" s="412"/>
      <c r="U232" s="412"/>
      <c r="V232" s="412"/>
      <c r="W232" s="412"/>
      <c r="X232" s="412"/>
      <c r="Y232" s="412"/>
      <c r="Z232" s="412"/>
    </row>
    <row r="233" ht="13.5" customHeight="1">
      <c r="A233" s="473"/>
      <c r="B233" s="412"/>
      <c r="C233" s="412"/>
      <c r="D233" s="412"/>
      <c r="E233" s="412"/>
      <c r="F233" s="412"/>
      <c r="G233" s="412"/>
      <c r="H233" s="412"/>
      <c r="I233" s="412"/>
      <c r="J233" s="412"/>
      <c r="K233" s="412"/>
      <c r="L233" s="412"/>
      <c r="M233" s="412"/>
      <c r="N233" s="412"/>
      <c r="O233" s="412"/>
      <c r="P233" s="412"/>
      <c r="Q233" s="412"/>
      <c r="R233" s="412"/>
      <c r="S233" s="412"/>
      <c r="T233" s="412"/>
      <c r="U233" s="412"/>
      <c r="V233" s="412"/>
      <c r="W233" s="412"/>
      <c r="X233" s="412"/>
      <c r="Y233" s="412"/>
      <c r="Z233" s="412"/>
    </row>
    <row r="234" ht="13.5" customHeight="1">
      <c r="A234" s="473"/>
      <c r="B234" s="412"/>
      <c r="C234" s="412"/>
      <c r="D234" s="412"/>
      <c r="E234" s="412"/>
      <c r="F234" s="412"/>
      <c r="G234" s="412"/>
      <c r="H234" s="412"/>
      <c r="I234" s="412"/>
      <c r="J234" s="412"/>
      <c r="K234" s="412"/>
      <c r="L234" s="412"/>
      <c r="M234" s="412"/>
      <c r="N234" s="412"/>
      <c r="O234" s="412"/>
      <c r="P234" s="412"/>
      <c r="Q234" s="412"/>
      <c r="R234" s="412"/>
      <c r="S234" s="412"/>
      <c r="T234" s="412"/>
      <c r="U234" s="412"/>
      <c r="V234" s="412"/>
      <c r="W234" s="412"/>
      <c r="X234" s="412"/>
      <c r="Y234" s="412"/>
      <c r="Z234" s="412"/>
    </row>
    <row r="235" ht="13.5" customHeight="1">
      <c r="A235" s="473"/>
      <c r="B235" s="412"/>
      <c r="C235" s="412"/>
      <c r="D235" s="412"/>
      <c r="E235" s="412"/>
      <c r="F235" s="412"/>
      <c r="G235" s="412"/>
      <c r="H235" s="412"/>
      <c r="I235" s="412"/>
      <c r="J235" s="412"/>
      <c r="K235" s="412"/>
      <c r="L235" s="412"/>
      <c r="M235" s="412"/>
      <c r="N235" s="412"/>
      <c r="O235" s="412"/>
      <c r="P235" s="412"/>
      <c r="Q235" s="412"/>
      <c r="R235" s="412"/>
      <c r="S235" s="412"/>
      <c r="T235" s="412"/>
      <c r="U235" s="412"/>
      <c r="V235" s="412"/>
      <c r="W235" s="412"/>
      <c r="X235" s="412"/>
      <c r="Y235" s="412"/>
      <c r="Z235" s="412"/>
    </row>
    <row r="236" ht="13.5" customHeight="1">
      <c r="A236" s="473"/>
      <c r="B236" s="412"/>
      <c r="C236" s="412"/>
      <c r="D236" s="412"/>
      <c r="E236" s="412"/>
      <c r="F236" s="412"/>
      <c r="G236" s="412"/>
      <c r="H236" s="412"/>
      <c r="I236" s="412"/>
      <c r="J236" s="412"/>
      <c r="K236" s="412"/>
      <c r="L236" s="412"/>
      <c r="M236" s="412"/>
      <c r="N236" s="412"/>
      <c r="O236" s="412"/>
      <c r="P236" s="412"/>
      <c r="Q236" s="412"/>
      <c r="R236" s="412"/>
      <c r="S236" s="412"/>
      <c r="T236" s="412"/>
      <c r="U236" s="412"/>
      <c r="V236" s="412"/>
      <c r="W236" s="412"/>
      <c r="X236" s="412"/>
      <c r="Y236" s="412"/>
      <c r="Z236" s="412"/>
    </row>
    <row r="237" ht="13.5" customHeight="1">
      <c r="A237" s="473"/>
      <c r="B237" s="412"/>
      <c r="C237" s="412"/>
      <c r="D237" s="412"/>
      <c r="E237" s="412"/>
      <c r="F237" s="412"/>
      <c r="G237" s="412"/>
      <c r="H237" s="412"/>
      <c r="I237" s="412"/>
      <c r="J237" s="412"/>
      <c r="K237" s="412"/>
      <c r="L237" s="412"/>
      <c r="M237" s="412"/>
      <c r="N237" s="412"/>
      <c r="O237" s="412"/>
      <c r="P237" s="412"/>
      <c r="Q237" s="412"/>
      <c r="R237" s="412"/>
      <c r="S237" s="412"/>
      <c r="T237" s="412"/>
      <c r="U237" s="412"/>
      <c r="V237" s="412"/>
      <c r="W237" s="412"/>
      <c r="X237" s="412"/>
      <c r="Y237" s="412"/>
      <c r="Z237" s="412"/>
    </row>
    <row r="238" ht="13.5" customHeight="1">
      <c r="A238" s="473"/>
      <c r="B238" s="412"/>
      <c r="C238" s="412"/>
      <c r="D238" s="412"/>
      <c r="E238" s="412"/>
      <c r="F238" s="412"/>
      <c r="G238" s="412"/>
      <c r="H238" s="412"/>
      <c r="I238" s="412"/>
      <c r="J238" s="412"/>
      <c r="K238" s="412"/>
      <c r="L238" s="412"/>
      <c r="M238" s="412"/>
      <c r="N238" s="412"/>
      <c r="O238" s="412"/>
      <c r="P238" s="412"/>
      <c r="Q238" s="412"/>
      <c r="R238" s="412"/>
      <c r="S238" s="412"/>
      <c r="T238" s="412"/>
      <c r="U238" s="412"/>
      <c r="V238" s="412"/>
      <c r="W238" s="412"/>
      <c r="X238" s="412"/>
      <c r="Y238" s="412"/>
      <c r="Z238" s="412"/>
    </row>
    <row r="239" ht="13.5" customHeight="1">
      <c r="A239" s="473"/>
      <c r="B239" s="412"/>
      <c r="C239" s="412"/>
      <c r="D239" s="412"/>
      <c r="E239" s="412"/>
      <c r="F239" s="412"/>
      <c r="G239" s="412"/>
      <c r="H239" s="412"/>
      <c r="I239" s="412"/>
      <c r="J239" s="412"/>
      <c r="K239" s="412"/>
      <c r="L239" s="412"/>
      <c r="M239" s="412"/>
      <c r="N239" s="412"/>
      <c r="O239" s="412"/>
      <c r="P239" s="412"/>
      <c r="Q239" s="412"/>
      <c r="R239" s="412"/>
      <c r="S239" s="412"/>
      <c r="T239" s="412"/>
      <c r="U239" s="412"/>
      <c r="V239" s="412"/>
      <c r="W239" s="412"/>
      <c r="X239" s="412"/>
      <c r="Y239" s="412"/>
      <c r="Z239" s="412"/>
    </row>
    <row r="240" ht="13.5" customHeight="1">
      <c r="A240" s="473"/>
      <c r="B240" s="412"/>
      <c r="C240" s="412"/>
      <c r="D240" s="412"/>
      <c r="E240" s="412"/>
      <c r="F240" s="412"/>
      <c r="G240" s="412"/>
      <c r="H240" s="412"/>
      <c r="I240" s="412"/>
      <c r="J240" s="412"/>
      <c r="K240" s="412"/>
      <c r="L240" s="412"/>
      <c r="M240" s="412"/>
      <c r="N240" s="412"/>
      <c r="O240" s="412"/>
      <c r="P240" s="412"/>
      <c r="Q240" s="412"/>
      <c r="R240" s="412"/>
      <c r="S240" s="412"/>
      <c r="T240" s="412"/>
      <c r="U240" s="412"/>
      <c r="V240" s="412"/>
      <c r="W240" s="412"/>
      <c r="X240" s="412"/>
      <c r="Y240" s="412"/>
      <c r="Z240" s="412"/>
    </row>
    <row r="241" ht="13.5" customHeight="1">
      <c r="A241" s="473"/>
      <c r="B241" s="412"/>
      <c r="C241" s="412"/>
      <c r="D241" s="412"/>
      <c r="E241" s="412"/>
      <c r="F241" s="412"/>
      <c r="G241" s="412"/>
      <c r="H241" s="412"/>
      <c r="I241" s="412"/>
      <c r="J241" s="412"/>
      <c r="K241" s="412"/>
      <c r="L241" s="412"/>
      <c r="M241" s="412"/>
      <c r="N241" s="412"/>
      <c r="O241" s="412"/>
      <c r="P241" s="412"/>
      <c r="Q241" s="412"/>
      <c r="R241" s="412"/>
      <c r="S241" s="412"/>
      <c r="T241" s="412"/>
      <c r="U241" s="412"/>
      <c r="V241" s="412"/>
      <c r="W241" s="412"/>
      <c r="X241" s="412"/>
      <c r="Y241" s="412"/>
      <c r="Z241" s="412"/>
    </row>
    <row r="242" ht="13.5" customHeight="1">
      <c r="A242" s="473"/>
      <c r="B242" s="412"/>
      <c r="C242" s="412"/>
      <c r="D242" s="412"/>
      <c r="E242" s="412"/>
      <c r="F242" s="412"/>
      <c r="G242" s="412"/>
      <c r="H242" s="412"/>
      <c r="I242" s="412"/>
      <c r="J242" s="412"/>
      <c r="K242" s="412"/>
      <c r="L242" s="412"/>
      <c r="M242" s="412"/>
      <c r="N242" s="412"/>
      <c r="O242" s="412"/>
      <c r="P242" s="412"/>
      <c r="Q242" s="412"/>
      <c r="R242" s="412"/>
      <c r="S242" s="412"/>
      <c r="T242" s="412"/>
      <c r="U242" s="412"/>
      <c r="V242" s="412"/>
      <c r="W242" s="412"/>
      <c r="X242" s="412"/>
      <c r="Y242" s="412"/>
      <c r="Z242" s="412"/>
    </row>
    <row r="243" ht="13.5" customHeight="1">
      <c r="A243" s="473"/>
      <c r="B243" s="412"/>
      <c r="C243" s="412"/>
      <c r="D243" s="412"/>
      <c r="E243" s="412"/>
      <c r="F243" s="412"/>
      <c r="G243" s="412"/>
      <c r="H243" s="412"/>
      <c r="I243" s="412"/>
      <c r="J243" s="412"/>
      <c r="K243" s="412"/>
      <c r="L243" s="412"/>
      <c r="M243" s="412"/>
      <c r="N243" s="412"/>
      <c r="O243" s="412"/>
      <c r="P243" s="412"/>
      <c r="Q243" s="412"/>
      <c r="R243" s="412"/>
      <c r="S243" s="412"/>
      <c r="T243" s="412"/>
      <c r="U243" s="412"/>
      <c r="V243" s="412"/>
      <c r="W243" s="412"/>
      <c r="X243" s="412"/>
      <c r="Y243" s="412"/>
      <c r="Z243" s="412"/>
    </row>
    <row r="244" ht="13.5" customHeight="1">
      <c r="A244" s="473"/>
      <c r="B244" s="412"/>
      <c r="C244" s="412"/>
      <c r="D244" s="412"/>
      <c r="E244" s="412"/>
      <c r="F244" s="412"/>
      <c r="G244" s="412"/>
      <c r="H244" s="412"/>
      <c r="I244" s="412"/>
      <c r="J244" s="412"/>
      <c r="K244" s="412"/>
      <c r="L244" s="412"/>
      <c r="M244" s="412"/>
      <c r="N244" s="412"/>
      <c r="O244" s="412"/>
      <c r="P244" s="412"/>
      <c r="Q244" s="412"/>
      <c r="R244" s="412"/>
      <c r="S244" s="412"/>
      <c r="T244" s="412"/>
      <c r="U244" s="412"/>
      <c r="V244" s="412"/>
      <c r="W244" s="412"/>
      <c r="X244" s="412"/>
      <c r="Y244" s="412"/>
      <c r="Z244" s="412"/>
    </row>
    <row r="245" ht="13.5" customHeight="1">
      <c r="A245" s="473"/>
      <c r="B245" s="412"/>
      <c r="C245" s="412"/>
      <c r="D245" s="412"/>
      <c r="E245" s="412"/>
      <c r="F245" s="412"/>
      <c r="G245" s="412"/>
      <c r="H245" s="412"/>
      <c r="I245" s="412"/>
      <c r="J245" s="412"/>
      <c r="K245" s="412"/>
      <c r="L245" s="412"/>
      <c r="M245" s="412"/>
      <c r="N245" s="412"/>
      <c r="O245" s="412"/>
      <c r="P245" s="412"/>
      <c r="Q245" s="412"/>
      <c r="R245" s="412"/>
      <c r="S245" s="412"/>
      <c r="T245" s="412"/>
      <c r="U245" s="412"/>
      <c r="V245" s="412"/>
      <c r="W245" s="412"/>
      <c r="X245" s="412"/>
      <c r="Y245" s="412"/>
      <c r="Z245" s="412"/>
    </row>
    <row r="246" ht="13.5" customHeight="1">
      <c r="A246" s="473"/>
      <c r="B246" s="412"/>
      <c r="C246" s="412"/>
      <c r="D246" s="412"/>
      <c r="E246" s="412"/>
      <c r="F246" s="412"/>
      <c r="G246" s="412"/>
      <c r="H246" s="412"/>
      <c r="I246" s="412"/>
      <c r="J246" s="412"/>
      <c r="K246" s="412"/>
      <c r="L246" s="412"/>
      <c r="M246" s="412"/>
      <c r="N246" s="412"/>
      <c r="O246" s="412"/>
      <c r="P246" s="412"/>
      <c r="Q246" s="412"/>
      <c r="R246" s="412"/>
      <c r="S246" s="412"/>
      <c r="T246" s="412"/>
      <c r="U246" s="412"/>
      <c r="V246" s="412"/>
      <c r="W246" s="412"/>
      <c r="X246" s="412"/>
      <c r="Y246" s="412"/>
      <c r="Z246" s="412"/>
    </row>
    <row r="247" ht="13.5" customHeight="1">
      <c r="A247" s="473"/>
      <c r="B247" s="412"/>
      <c r="C247" s="412"/>
      <c r="D247" s="412"/>
      <c r="E247" s="412"/>
      <c r="F247" s="412"/>
      <c r="G247" s="412"/>
      <c r="H247" s="412"/>
      <c r="I247" s="412"/>
      <c r="J247" s="412"/>
      <c r="K247" s="412"/>
      <c r="L247" s="412"/>
      <c r="M247" s="412"/>
      <c r="N247" s="412"/>
      <c r="O247" s="412"/>
      <c r="P247" s="412"/>
      <c r="Q247" s="412"/>
      <c r="R247" s="412"/>
      <c r="S247" s="412"/>
      <c r="T247" s="412"/>
      <c r="U247" s="412"/>
      <c r="V247" s="412"/>
      <c r="W247" s="412"/>
      <c r="X247" s="412"/>
      <c r="Y247" s="412"/>
      <c r="Z247" s="412"/>
    </row>
    <row r="248" ht="13.5" customHeight="1">
      <c r="A248" s="473"/>
      <c r="B248" s="412"/>
      <c r="C248" s="412"/>
      <c r="D248" s="412"/>
      <c r="E248" s="412"/>
      <c r="F248" s="412"/>
      <c r="G248" s="412"/>
      <c r="H248" s="412"/>
      <c r="I248" s="412"/>
      <c r="J248" s="412"/>
      <c r="K248" s="412"/>
      <c r="L248" s="412"/>
      <c r="M248" s="412"/>
      <c r="N248" s="412"/>
      <c r="O248" s="412"/>
      <c r="P248" s="412"/>
      <c r="Q248" s="412"/>
      <c r="R248" s="412"/>
      <c r="S248" s="412"/>
      <c r="T248" s="412"/>
      <c r="U248" s="412"/>
      <c r="V248" s="412"/>
      <c r="W248" s="412"/>
      <c r="X248" s="412"/>
      <c r="Y248" s="412"/>
      <c r="Z248" s="412"/>
    </row>
    <row r="249" ht="13.5" customHeight="1">
      <c r="A249" s="473"/>
      <c r="B249" s="412"/>
      <c r="C249" s="412"/>
      <c r="D249" s="412"/>
      <c r="E249" s="412"/>
      <c r="F249" s="412"/>
      <c r="G249" s="412"/>
      <c r="H249" s="412"/>
      <c r="I249" s="412"/>
      <c r="J249" s="412"/>
      <c r="K249" s="412"/>
      <c r="L249" s="412"/>
      <c r="M249" s="412"/>
      <c r="N249" s="412"/>
      <c r="O249" s="412"/>
      <c r="P249" s="412"/>
      <c r="Q249" s="412"/>
      <c r="R249" s="412"/>
      <c r="S249" s="412"/>
      <c r="T249" s="412"/>
      <c r="U249" s="412"/>
      <c r="V249" s="412"/>
      <c r="W249" s="412"/>
      <c r="X249" s="412"/>
      <c r="Y249" s="412"/>
      <c r="Z249" s="412"/>
    </row>
    <row r="250" ht="13.5" customHeight="1">
      <c r="A250" s="473"/>
      <c r="B250" s="412"/>
      <c r="C250" s="412"/>
      <c r="D250" s="412"/>
      <c r="E250" s="412"/>
      <c r="F250" s="412"/>
      <c r="G250" s="412"/>
      <c r="H250" s="412"/>
      <c r="I250" s="412"/>
      <c r="J250" s="412"/>
      <c r="K250" s="412"/>
      <c r="L250" s="412"/>
      <c r="M250" s="412"/>
      <c r="N250" s="412"/>
      <c r="O250" s="412"/>
      <c r="P250" s="412"/>
      <c r="Q250" s="412"/>
      <c r="R250" s="412"/>
      <c r="S250" s="412"/>
      <c r="T250" s="412"/>
      <c r="U250" s="412"/>
      <c r="V250" s="412"/>
      <c r="W250" s="412"/>
      <c r="X250" s="412"/>
      <c r="Y250" s="412"/>
      <c r="Z250" s="412"/>
    </row>
    <row r="251" ht="13.5" customHeight="1">
      <c r="A251" s="473"/>
      <c r="B251" s="412"/>
      <c r="C251" s="412"/>
      <c r="D251" s="412"/>
      <c r="E251" s="412"/>
      <c r="F251" s="412"/>
      <c r="G251" s="412"/>
      <c r="H251" s="412"/>
      <c r="I251" s="412"/>
      <c r="J251" s="412"/>
      <c r="K251" s="412"/>
      <c r="L251" s="412"/>
      <c r="M251" s="412"/>
      <c r="N251" s="412"/>
      <c r="O251" s="412"/>
      <c r="P251" s="412"/>
      <c r="Q251" s="412"/>
      <c r="R251" s="412"/>
      <c r="S251" s="412"/>
      <c r="T251" s="412"/>
      <c r="U251" s="412"/>
      <c r="V251" s="412"/>
      <c r="W251" s="412"/>
      <c r="X251" s="412"/>
      <c r="Y251" s="412"/>
      <c r="Z251" s="412"/>
    </row>
    <row r="252" ht="13.5" customHeight="1">
      <c r="A252" s="473"/>
      <c r="B252" s="412"/>
      <c r="C252" s="412"/>
      <c r="D252" s="412"/>
      <c r="E252" s="412"/>
      <c r="F252" s="412"/>
      <c r="G252" s="412"/>
      <c r="H252" s="412"/>
      <c r="I252" s="412"/>
      <c r="J252" s="412"/>
      <c r="K252" s="412"/>
      <c r="L252" s="412"/>
      <c r="M252" s="412"/>
      <c r="N252" s="412"/>
      <c r="O252" s="412"/>
      <c r="P252" s="412"/>
      <c r="Q252" s="412"/>
      <c r="R252" s="412"/>
      <c r="S252" s="412"/>
      <c r="T252" s="412"/>
      <c r="U252" s="412"/>
      <c r="V252" s="412"/>
      <c r="W252" s="412"/>
      <c r="X252" s="412"/>
      <c r="Y252" s="412"/>
      <c r="Z252" s="412"/>
    </row>
    <row r="253" ht="13.5" customHeight="1">
      <c r="A253" s="473"/>
      <c r="B253" s="412"/>
      <c r="C253" s="412"/>
      <c r="D253" s="412"/>
      <c r="E253" s="412"/>
      <c r="F253" s="412"/>
      <c r="G253" s="412"/>
      <c r="H253" s="412"/>
      <c r="I253" s="412"/>
      <c r="J253" s="412"/>
      <c r="K253" s="412"/>
      <c r="L253" s="412"/>
      <c r="M253" s="412"/>
      <c r="N253" s="412"/>
      <c r="O253" s="412"/>
      <c r="P253" s="412"/>
      <c r="Q253" s="412"/>
      <c r="R253" s="412"/>
      <c r="S253" s="412"/>
      <c r="T253" s="412"/>
      <c r="U253" s="412"/>
      <c r="V253" s="412"/>
      <c r="W253" s="412"/>
      <c r="X253" s="412"/>
      <c r="Y253" s="412"/>
      <c r="Z253" s="412"/>
    </row>
    <row r="254" ht="13.5" customHeight="1">
      <c r="A254" s="473"/>
      <c r="B254" s="412"/>
      <c r="C254" s="412"/>
      <c r="D254" s="412"/>
      <c r="E254" s="412"/>
      <c r="F254" s="412"/>
      <c r="G254" s="412"/>
      <c r="H254" s="412"/>
      <c r="I254" s="412"/>
      <c r="J254" s="412"/>
      <c r="K254" s="412"/>
      <c r="L254" s="412"/>
      <c r="M254" s="412"/>
      <c r="N254" s="412"/>
      <c r="O254" s="412"/>
      <c r="P254" s="412"/>
      <c r="Q254" s="412"/>
      <c r="R254" s="412"/>
      <c r="S254" s="412"/>
      <c r="T254" s="412"/>
      <c r="U254" s="412"/>
      <c r="V254" s="412"/>
      <c r="W254" s="412"/>
      <c r="X254" s="412"/>
      <c r="Y254" s="412"/>
      <c r="Z254" s="412"/>
    </row>
    <row r="255" ht="13.5" customHeight="1">
      <c r="A255" s="473"/>
      <c r="B255" s="412"/>
      <c r="C255" s="412"/>
      <c r="D255" s="412"/>
      <c r="E255" s="412"/>
      <c r="F255" s="412"/>
      <c r="G255" s="412"/>
      <c r="H255" s="412"/>
      <c r="I255" s="412"/>
      <c r="J255" s="412"/>
      <c r="K255" s="412"/>
      <c r="L255" s="412"/>
      <c r="M255" s="412"/>
      <c r="N255" s="412"/>
      <c r="O255" s="412"/>
      <c r="P255" s="412"/>
      <c r="Q255" s="412"/>
      <c r="R255" s="412"/>
      <c r="S255" s="412"/>
      <c r="T255" s="412"/>
      <c r="U255" s="412"/>
      <c r="V255" s="412"/>
      <c r="W255" s="412"/>
      <c r="X255" s="412"/>
      <c r="Y255" s="412"/>
      <c r="Z255" s="412"/>
    </row>
    <row r="256" ht="13.5" customHeight="1">
      <c r="A256" s="473"/>
      <c r="B256" s="412"/>
      <c r="C256" s="412"/>
      <c r="D256" s="412"/>
      <c r="E256" s="412"/>
      <c r="F256" s="412"/>
      <c r="G256" s="412"/>
      <c r="H256" s="412"/>
      <c r="I256" s="412"/>
      <c r="J256" s="412"/>
      <c r="K256" s="412"/>
      <c r="L256" s="412"/>
      <c r="M256" s="412"/>
      <c r="N256" s="412"/>
      <c r="O256" s="412"/>
      <c r="P256" s="412"/>
      <c r="Q256" s="412"/>
      <c r="R256" s="412"/>
      <c r="S256" s="412"/>
      <c r="T256" s="412"/>
      <c r="U256" s="412"/>
      <c r="V256" s="412"/>
      <c r="W256" s="412"/>
      <c r="X256" s="412"/>
      <c r="Y256" s="412"/>
      <c r="Z256" s="412"/>
    </row>
    <row r="257" ht="13.5" customHeight="1">
      <c r="A257" s="473"/>
      <c r="B257" s="412"/>
      <c r="C257" s="412"/>
      <c r="D257" s="412"/>
      <c r="E257" s="412"/>
      <c r="F257" s="412"/>
      <c r="G257" s="412"/>
      <c r="H257" s="412"/>
      <c r="I257" s="412"/>
      <c r="J257" s="412"/>
      <c r="K257" s="412"/>
      <c r="L257" s="412"/>
      <c r="M257" s="412"/>
      <c r="N257" s="412"/>
      <c r="O257" s="412"/>
      <c r="P257" s="412"/>
      <c r="Q257" s="412"/>
      <c r="R257" s="412"/>
      <c r="S257" s="412"/>
      <c r="T257" s="412"/>
      <c r="U257" s="412"/>
      <c r="V257" s="412"/>
      <c r="W257" s="412"/>
      <c r="X257" s="412"/>
      <c r="Y257" s="412"/>
      <c r="Z257" s="412"/>
    </row>
    <row r="258" ht="13.5" customHeight="1">
      <c r="A258" s="473"/>
      <c r="B258" s="412"/>
      <c r="C258" s="412"/>
      <c r="D258" s="412"/>
      <c r="E258" s="412"/>
      <c r="F258" s="412"/>
      <c r="G258" s="412"/>
      <c r="H258" s="412"/>
      <c r="I258" s="412"/>
      <c r="J258" s="412"/>
      <c r="K258" s="412"/>
      <c r="L258" s="412"/>
      <c r="M258" s="412"/>
      <c r="N258" s="412"/>
      <c r="O258" s="412"/>
      <c r="P258" s="412"/>
      <c r="Q258" s="412"/>
      <c r="R258" s="412"/>
      <c r="S258" s="412"/>
      <c r="T258" s="412"/>
      <c r="U258" s="412"/>
      <c r="V258" s="412"/>
      <c r="W258" s="412"/>
      <c r="X258" s="412"/>
      <c r="Y258" s="412"/>
      <c r="Z258" s="412"/>
    </row>
    <row r="259" ht="13.5" customHeight="1">
      <c r="A259" s="473"/>
      <c r="B259" s="412"/>
      <c r="C259" s="412"/>
      <c r="D259" s="412"/>
      <c r="E259" s="412"/>
      <c r="F259" s="412"/>
      <c r="G259" s="412"/>
      <c r="H259" s="412"/>
      <c r="I259" s="412"/>
      <c r="J259" s="412"/>
      <c r="K259" s="412"/>
      <c r="L259" s="412"/>
      <c r="M259" s="412"/>
      <c r="N259" s="412"/>
      <c r="O259" s="412"/>
      <c r="P259" s="412"/>
      <c r="Q259" s="412"/>
      <c r="R259" s="412"/>
      <c r="S259" s="412"/>
      <c r="T259" s="412"/>
      <c r="U259" s="412"/>
      <c r="V259" s="412"/>
      <c r="W259" s="412"/>
      <c r="X259" s="412"/>
      <c r="Y259" s="412"/>
      <c r="Z259" s="412"/>
    </row>
    <row r="260" ht="13.5" customHeight="1">
      <c r="A260" s="473"/>
      <c r="B260" s="412"/>
      <c r="C260" s="412"/>
      <c r="D260" s="412"/>
      <c r="E260" s="412"/>
      <c r="F260" s="412"/>
      <c r="G260" s="412"/>
      <c r="H260" s="412"/>
      <c r="I260" s="412"/>
      <c r="J260" s="412"/>
      <c r="K260" s="412"/>
      <c r="L260" s="412"/>
      <c r="M260" s="412"/>
      <c r="N260" s="412"/>
      <c r="O260" s="412"/>
      <c r="P260" s="412"/>
      <c r="Q260" s="412"/>
      <c r="R260" s="412"/>
      <c r="S260" s="412"/>
      <c r="T260" s="412"/>
      <c r="U260" s="412"/>
      <c r="V260" s="412"/>
      <c r="W260" s="412"/>
      <c r="X260" s="412"/>
      <c r="Y260" s="412"/>
      <c r="Z260" s="412"/>
    </row>
    <row r="261" ht="13.5" customHeight="1">
      <c r="A261" s="473"/>
      <c r="B261" s="412"/>
      <c r="C261" s="412"/>
      <c r="D261" s="412"/>
      <c r="E261" s="412"/>
      <c r="F261" s="412"/>
      <c r="G261" s="412"/>
      <c r="H261" s="412"/>
      <c r="I261" s="412"/>
      <c r="J261" s="412"/>
      <c r="K261" s="412"/>
      <c r="L261" s="412"/>
      <c r="M261" s="412"/>
      <c r="N261" s="412"/>
      <c r="O261" s="412"/>
      <c r="P261" s="412"/>
      <c r="Q261" s="412"/>
      <c r="R261" s="412"/>
      <c r="S261" s="412"/>
      <c r="T261" s="412"/>
      <c r="U261" s="412"/>
      <c r="V261" s="412"/>
      <c r="W261" s="412"/>
      <c r="X261" s="412"/>
      <c r="Y261" s="412"/>
      <c r="Z261" s="412"/>
    </row>
    <row r="262" ht="13.5" customHeight="1">
      <c r="A262" s="473"/>
      <c r="B262" s="412"/>
      <c r="C262" s="412"/>
      <c r="D262" s="412"/>
      <c r="E262" s="412"/>
      <c r="F262" s="412"/>
      <c r="G262" s="412"/>
      <c r="H262" s="412"/>
      <c r="I262" s="412"/>
      <c r="J262" s="412"/>
      <c r="K262" s="412"/>
      <c r="L262" s="412"/>
      <c r="M262" s="412"/>
      <c r="N262" s="412"/>
      <c r="O262" s="412"/>
      <c r="P262" s="412"/>
      <c r="Q262" s="412"/>
      <c r="R262" s="412"/>
      <c r="S262" s="412"/>
      <c r="T262" s="412"/>
      <c r="U262" s="412"/>
      <c r="V262" s="412"/>
      <c r="W262" s="412"/>
      <c r="X262" s="412"/>
      <c r="Y262" s="412"/>
      <c r="Z262" s="412"/>
    </row>
    <row r="263" ht="13.5" customHeight="1">
      <c r="A263" s="473"/>
      <c r="B263" s="412"/>
      <c r="C263" s="412"/>
      <c r="D263" s="412"/>
      <c r="E263" s="412"/>
      <c r="F263" s="412"/>
      <c r="G263" s="412"/>
      <c r="H263" s="412"/>
      <c r="I263" s="412"/>
      <c r="J263" s="412"/>
      <c r="K263" s="412"/>
      <c r="L263" s="412"/>
      <c r="M263" s="412"/>
      <c r="N263" s="412"/>
      <c r="O263" s="412"/>
      <c r="P263" s="412"/>
      <c r="Q263" s="412"/>
      <c r="R263" s="412"/>
      <c r="S263" s="412"/>
      <c r="T263" s="412"/>
      <c r="U263" s="412"/>
      <c r="V263" s="412"/>
      <c r="W263" s="412"/>
      <c r="X263" s="412"/>
      <c r="Y263" s="412"/>
      <c r="Z263" s="412"/>
    </row>
    <row r="264" ht="13.5" customHeight="1">
      <c r="A264" s="473"/>
      <c r="B264" s="412"/>
      <c r="C264" s="412"/>
      <c r="D264" s="412"/>
      <c r="E264" s="412"/>
      <c r="F264" s="412"/>
      <c r="G264" s="412"/>
      <c r="H264" s="412"/>
      <c r="I264" s="412"/>
      <c r="J264" s="412"/>
      <c r="K264" s="412"/>
      <c r="L264" s="412"/>
      <c r="M264" s="412"/>
      <c r="N264" s="412"/>
      <c r="O264" s="412"/>
      <c r="P264" s="412"/>
      <c r="Q264" s="412"/>
      <c r="R264" s="412"/>
      <c r="S264" s="412"/>
      <c r="T264" s="412"/>
      <c r="U264" s="412"/>
      <c r="V264" s="412"/>
      <c r="W264" s="412"/>
      <c r="X264" s="412"/>
      <c r="Y264" s="412"/>
      <c r="Z264" s="412"/>
    </row>
    <row r="265" ht="13.5" customHeight="1">
      <c r="A265" s="473"/>
      <c r="B265" s="412"/>
      <c r="C265" s="412"/>
      <c r="D265" s="412"/>
      <c r="E265" s="412"/>
      <c r="F265" s="412"/>
      <c r="G265" s="412"/>
      <c r="H265" s="412"/>
      <c r="I265" s="412"/>
      <c r="J265" s="412"/>
      <c r="K265" s="412"/>
      <c r="L265" s="412"/>
      <c r="M265" s="412"/>
      <c r="N265" s="412"/>
      <c r="O265" s="412"/>
      <c r="P265" s="412"/>
      <c r="Q265" s="412"/>
      <c r="R265" s="412"/>
      <c r="S265" s="412"/>
      <c r="T265" s="412"/>
      <c r="U265" s="412"/>
      <c r="V265" s="412"/>
      <c r="W265" s="412"/>
      <c r="X265" s="412"/>
      <c r="Y265" s="412"/>
      <c r="Z265" s="412"/>
    </row>
    <row r="266" ht="13.5" customHeight="1">
      <c r="A266" s="473"/>
      <c r="B266" s="412"/>
      <c r="C266" s="412"/>
      <c r="D266" s="412"/>
      <c r="E266" s="412"/>
      <c r="F266" s="412"/>
      <c r="G266" s="412"/>
      <c r="H266" s="412"/>
      <c r="I266" s="412"/>
      <c r="J266" s="412"/>
      <c r="K266" s="412"/>
      <c r="L266" s="412"/>
      <c r="M266" s="412"/>
      <c r="N266" s="412"/>
      <c r="O266" s="412"/>
      <c r="P266" s="412"/>
      <c r="Q266" s="412"/>
      <c r="R266" s="412"/>
      <c r="S266" s="412"/>
      <c r="T266" s="412"/>
      <c r="U266" s="412"/>
      <c r="V266" s="412"/>
      <c r="W266" s="412"/>
      <c r="X266" s="412"/>
      <c r="Y266" s="412"/>
      <c r="Z266" s="412"/>
    </row>
    <row r="267" ht="13.5" customHeight="1">
      <c r="A267" s="473"/>
      <c r="B267" s="412"/>
      <c r="C267" s="412"/>
      <c r="D267" s="412"/>
      <c r="E267" s="412"/>
      <c r="F267" s="412"/>
      <c r="G267" s="412"/>
      <c r="H267" s="412"/>
      <c r="I267" s="412"/>
      <c r="J267" s="412"/>
      <c r="K267" s="412"/>
      <c r="L267" s="412"/>
      <c r="M267" s="412"/>
      <c r="N267" s="412"/>
      <c r="O267" s="412"/>
      <c r="P267" s="412"/>
      <c r="Q267" s="412"/>
      <c r="R267" s="412"/>
      <c r="S267" s="412"/>
      <c r="T267" s="412"/>
      <c r="U267" s="412"/>
      <c r="V267" s="412"/>
      <c r="W267" s="412"/>
      <c r="X267" s="412"/>
      <c r="Y267" s="412"/>
      <c r="Z267" s="412"/>
    </row>
    <row r="268" ht="13.5" customHeight="1">
      <c r="A268" s="473"/>
      <c r="B268" s="412"/>
      <c r="C268" s="412"/>
      <c r="D268" s="412"/>
      <c r="E268" s="412"/>
      <c r="F268" s="412"/>
      <c r="G268" s="412"/>
      <c r="H268" s="412"/>
      <c r="I268" s="412"/>
      <c r="J268" s="412"/>
      <c r="K268" s="412"/>
      <c r="L268" s="412"/>
      <c r="M268" s="412"/>
      <c r="N268" s="412"/>
      <c r="O268" s="412"/>
      <c r="P268" s="412"/>
      <c r="Q268" s="412"/>
      <c r="R268" s="412"/>
      <c r="S268" s="412"/>
      <c r="T268" s="412"/>
      <c r="U268" s="412"/>
      <c r="V268" s="412"/>
      <c r="W268" s="412"/>
      <c r="X268" s="412"/>
      <c r="Y268" s="412"/>
      <c r="Z268" s="412"/>
    </row>
    <row r="269" ht="13.5" customHeight="1">
      <c r="A269" s="473"/>
      <c r="B269" s="412"/>
      <c r="C269" s="412"/>
      <c r="D269" s="412"/>
      <c r="E269" s="412"/>
      <c r="F269" s="412"/>
      <c r="G269" s="412"/>
      <c r="H269" s="412"/>
      <c r="I269" s="412"/>
      <c r="J269" s="412"/>
      <c r="K269" s="412"/>
      <c r="L269" s="412"/>
      <c r="M269" s="412"/>
      <c r="N269" s="412"/>
      <c r="O269" s="412"/>
      <c r="P269" s="412"/>
      <c r="Q269" s="412"/>
      <c r="R269" s="412"/>
      <c r="S269" s="412"/>
      <c r="T269" s="412"/>
      <c r="U269" s="412"/>
      <c r="V269" s="412"/>
      <c r="W269" s="412"/>
      <c r="X269" s="412"/>
      <c r="Y269" s="412"/>
      <c r="Z269" s="412"/>
    </row>
    <row r="270" ht="13.5" customHeight="1">
      <c r="A270" s="473"/>
      <c r="B270" s="412"/>
      <c r="C270" s="412"/>
      <c r="D270" s="412"/>
      <c r="E270" s="412"/>
      <c r="F270" s="412"/>
      <c r="G270" s="412"/>
      <c r="H270" s="412"/>
      <c r="I270" s="412"/>
      <c r="J270" s="412"/>
      <c r="K270" s="412"/>
      <c r="L270" s="412"/>
      <c r="M270" s="412"/>
      <c r="N270" s="412"/>
      <c r="O270" s="412"/>
      <c r="P270" s="412"/>
      <c r="Q270" s="412"/>
      <c r="R270" s="412"/>
      <c r="S270" s="412"/>
      <c r="T270" s="412"/>
      <c r="U270" s="412"/>
      <c r="V270" s="412"/>
      <c r="W270" s="412"/>
      <c r="X270" s="412"/>
      <c r="Y270" s="412"/>
      <c r="Z270" s="412"/>
    </row>
    <row r="271" ht="13.5" customHeight="1">
      <c r="A271" s="473"/>
      <c r="B271" s="412"/>
      <c r="C271" s="412"/>
      <c r="D271" s="412"/>
      <c r="E271" s="412"/>
      <c r="F271" s="412"/>
      <c r="G271" s="412"/>
      <c r="H271" s="412"/>
      <c r="I271" s="412"/>
      <c r="J271" s="412"/>
      <c r="K271" s="412"/>
      <c r="L271" s="412"/>
      <c r="M271" s="412"/>
      <c r="N271" s="412"/>
      <c r="O271" s="412"/>
      <c r="P271" s="412"/>
      <c r="Q271" s="412"/>
      <c r="R271" s="412"/>
      <c r="S271" s="412"/>
      <c r="T271" s="412"/>
      <c r="U271" s="412"/>
      <c r="V271" s="412"/>
      <c r="W271" s="412"/>
      <c r="X271" s="412"/>
      <c r="Y271" s="412"/>
      <c r="Z271" s="412"/>
    </row>
    <row r="272" ht="13.5" customHeight="1">
      <c r="A272" s="473"/>
      <c r="B272" s="412"/>
      <c r="C272" s="412"/>
      <c r="D272" s="412"/>
      <c r="E272" s="412"/>
      <c r="F272" s="412"/>
      <c r="G272" s="412"/>
      <c r="H272" s="412"/>
      <c r="I272" s="412"/>
      <c r="J272" s="412"/>
      <c r="K272" s="412"/>
      <c r="L272" s="412"/>
      <c r="M272" s="412"/>
      <c r="N272" s="412"/>
      <c r="O272" s="412"/>
      <c r="P272" s="412"/>
      <c r="Q272" s="412"/>
      <c r="R272" s="412"/>
      <c r="S272" s="412"/>
      <c r="T272" s="412"/>
      <c r="U272" s="412"/>
      <c r="V272" s="412"/>
      <c r="W272" s="412"/>
      <c r="X272" s="412"/>
      <c r="Y272" s="412"/>
      <c r="Z272" s="412"/>
    </row>
    <row r="273" ht="13.5" customHeight="1">
      <c r="A273" s="473"/>
      <c r="B273" s="412"/>
      <c r="C273" s="412"/>
      <c r="D273" s="412"/>
      <c r="E273" s="412"/>
      <c r="F273" s="412"/>
      <c r="G273" s="412"/>
      <c r="H273" s="412"/>
      <c r="I273" s="412"/>
      <c r="J273" s="412"/>
      <c r="K273" s="412"/>
      <c r="L273" s="412"/>
      <c r="M273" s="412"/>
      <c r="N273" s="412"/>
      <c r="O273" s="412"/>
      <c r="P273" s="412"/>
      <c r="Q273" s="412"/>
      <c r="R273" s="412"/>
      <c r="S273" s="412"/>
      <c r="T273" s="412"/>
      <c r="U273" s="412"/>
      <c r="V273" s="412"/>
      <c r="W273" s="412"/>
      <c r="X273" s="412"/>
      <c r="Y273" s="412"/>
      <c r="Z273" s="412"/>
    </row>
    <row r="274" ht="13.5" customHeight="1">
      <c r="A274" s="473"/>
      <c r="B274" s="412"/>
      <c r="C274" s="412"/>
      <c r="D274" s="412"/>
      <c r="E274" s="412"/>
      <c r="F274" s="412"/>
      <c r="G274" s="412"/>
      <c r="H274" s="412"/>
      <c r="I274" s="412"/>
      <c r="J274" s="412"/>
      <c r="K274" s="412"/>
      <c r="L274" s="412"/>
      <c r="M274" s="412"/>
      <c r="N274" s="412"/>
      <c r="O274" s="412"/>
      <c r="P274" s="412"/>
      <c r="Q274" s="412"/>
      <c r="R274" s="412"/>
      <c r="S274" s="412"/>
      <c r="T274" s="412"/>
      <c r="U274" s="412"/>
      <c r="V274" s="412"/>
      <c r="W274" s="412"/>
      <c r="X274" s="412"/>
      <c r="Y274" s="412"/>
      <c r="Z274" s="412"/>
    </row>
    <row r="275" ht="13.5" customHeight="1">
      <c r="A275" s="473"/>
      <c r="B275" s="412"/>
      <c r="C275" s="412"/>
      <c r="D275" s="412"/>
      <c r="E275" s="412"/>
      <c r="F275" s="412"/>
      <c r="G275" s="412"/>
      <c r="H275" s="412"/>
      <c r="I275" s="412"/>
      <c r="J275" s="412"/>
      <c r="K275" s="412"/>
      <c r="L275" s="412"/>
      <c r="M275" s="412"/>
      <c r="N275" s="412"/>
      <c r="O275" s="412"/>
      <c r="P275" s="412"/>
      <c r="Q275" s="412"/>
      <c r="R275" s="412"/>
      <c r="S275" s="412"/>
      <c r="T275" s="412"/>
      <c r="U275" s="412"/>
      <c r="V275" s="412"/>
      <c r="W275" s="412"/>
      <c r="X275" s="412"/>
      <c r="Y275" s="412"/>
      <c r="Z275" s="412"/>
    </row>
    <row r="276" ht="13.5" customHeight="1">
      <c r="A276" s="473"/>
      <c r="B276" s="412"/>
      <c r="C276" s="412"/>
      <c r="D276" s="412"/>
      <c r="E276" s="412"/>
      <c r="F276" s="412"/>
      <c r="G276" s="412"/>
      <c r="H276" s="412"/>
      <c r="I276" s="412"/>
      <c r="J276" s="412"/>
      <c r="K276" s="412"/>
      <c r="L276" s="412"/>
      <c r="M276" s="412"/>
      <c r="N276" s="412"/>
      <c r="O276" s="412"/>
      <c r="P276" s="412"/>
      <c r="Q276" s="412"/>
      <c r="R276" s="412"/>
      <c r="S276" s="412"/>
      <c r="T276" s="412"/>
      <c r="U276" s="412"/>
      <c r="V276" s="412"/>
      <c r="W276" s="412"/>
      <c r="X276" s="412"/>
      <c r="Y276" s="412"/>
      <c r="Z276" s="412"/>
    </row>
    <row r="277" ht="13.5" customHeight="1">
      <c r="A277" s="473"/>
      <c r="B277" s="412"/>
      <c r="C277" s="412"/>
      <c r="D277" s="412"/>
      <c r="E277" s="412"/>
      <c r="F277" s="412"/>
      <c r="G277" s="412"/>
      <c r="H277" s="412"/>
      <c r="I277" s="412"/>
      <c r="J277" s="412"/>
      <c r="K277" s="412"/>
      <c r="L277" s="412"/>
      <c r="M277" s="412"/>
      <c r="N277" s="412"/>
      <c r="O277" s="412"/>
      <c r="P277" s="412"/>
      <c r="Q277" s="412"/>
      <c r="R277" s="412"/>
      <c r="S277" s="412"/>
      <c r="T277" s="412"/>
      <c r="U277" s="412"/>
      <c r="V277" s="412"/>
      <c r="W277" s="412"/>
      <c r="X277" s="412"/>
      <c r="Y277" s="412"/>
      <c r="Z277" s="412"/>
    </row>
    <row r="278" ht="13.5" customHeight="1">
      <c r="A278" s="473"/>
      <c r="B278" s="412"/>
      <c r="C278" s="412"/>
      <c r="D278" s="412"/>
      <c r="E278" s="412"/>
      <c r="F278" s="412"/>
      <c r="G278" s="412"/>
      <c r="H278" s="412"/>
      <c r="I278" s="412"/>
      <c r="J278" s="412"/>
      <c r="K278" s="412"/>
      <c r="L278" s="412"/>
      <c r="M278" s="412"/>
      <c r="N278" s="412"/>
      <c r="O278" s="412"/>
      <c r="P278" s="412"/>
      <c r="Q278" s="412"/>
      <c r="R278" s="412"/>
      <c r="S278" s="412"/>
      <c r="T278" s="412"/>
      <c r="U278" s="412"/>
      <c r="V278" s="412"/>
      <c r="W278" s="412"/>
      <c r="X278" s="412"/>
      <c r="Y278" s="412"/>
      <c r="Z278" s="412"/>
    </row>
    <row r="279" ht="13.5" customHeight="1">
      <c r="A279" s="473"/>
      <c r="B279" s="412"/>
      <c r="C279" s="412"/>
      <c r="D279" s="412"/>
      <c r="E279" s="412"/>
      <c r="F279" s="412"/>
      <c r="G279" s="412"/>
      <c r="H279" s="412"/>
      <c r="I279" s="412"/>
      <c r="J279" s="412"/>
      <c r="K279" s="412"/>
      <c r="L279" s="412"/>
      <c r="M279" s="412"/>
      <c r="N279" s="412"/>
      <c r="O279" s="412"/>
      <c r="P279" s="412"/>
      <c r="Q279" s="412"/>
      <c r="R279" s="412"/>
      <c r="S279" s="412"/>
      <c r="T279" s="412"/>
      <c r="U279" s="412"/>
      <c r="V279" s="412"/>
      <c r="W279" s="412"/>
      <c r="X279" s="412"/>
      <c r="Y279" s="412"/>
      <c r="Z279" s="412"/>
    </row>
    <row r="280" ht="13.5" customHeight="1">
      <c r="A280" s="473"/>
      <c r="B280" s="412"/>
      <c r="C280" s="412"/>
      <c r="D280" s="412"/>
      <c r="E280" s="412"/>
      <c r="F280" s="412"/>
      <c r="G280" s="412"/>
      <c r="H280" s="412"/>
      <c r="I280" s="412"/>
      <c r="J280" s="412"/>
      <c r="K280" s="412"/>
      <c r="L280" s="412"/>
      <c r="M280" s="412"/>
      <c r="N280" s="412"/>
      <c r="O280" s="412"/>
      <c r="P280" s="412"/>
      <c r="Q280" s="412"/>
      <c r="R280" s="412"/>
      <c r="S280" s="412"/>
      <c r="T280" s="412"/>
      <c r="U280" s="412"/>
      <c r="V280" s="412"/>
      <c r="W280" s="412"/>
      <c r="X280" s="412"/>
      <c r="Y280" s="412"/>
      <c r="Z280" s="412"/>
    </row>
    <row r="281" ht="13.5" customHeight="1">
      <c r="A281" s="473"/>
      <c r="B281" s="412"/>
      <c r="C281" s="412"/>
      <c r="D281" s="412"/>
      <c r="E281" s="412"/>
      <c r="F281" s="412"/>
      <c r="G281" s="412"/>
      <c r="H281" s="412"/>
      <c r="I281" s="412"/>
      <c r="J281" s="412"/>
      <c r="K281" s="412"/>
      <c r="L281" s="412"/>
      <c r="M281" s="412"/>
      <c r="N281" s="412"/>
      <c r="O281" s="412"/>
      <c r="P281" s="412"/>
      <c r="Q281" s="412"/>
      <c r="R281" s="412"/>
      <c r="S281" s="412"/>
      <c r="T281" s="412"/>
      <c r="U281" s="412"/>
      <c r="V281" s="412"/>
      <c r="W281" s="412"/>
      <c r="X281" s="412"/>
      <c r="Y281" s="412"/>
      <c r="Z281" s="412"/>
    </row>
    <row r="282" ht="13.5" customHeight="1">
      <c r="A282" s="473"/>
      <c r="B282" s="412"/>
      <c r="C282" s="412"/>
      <c r="D282" s="412"/>
      <c r="E282" s="412"/>
      <c r="F282" s="412"/>
      <c r="G282" s="412"/>
      <c r="H282" s="412"/>
      <c r="I282" s="412"/>
      <c r="J282" s="412"/>
      <c r="K282" s="412"/>
      <c r="L282" s="412"/>
      <c r="M282" s="412"/>
      <c r="N282" s="412"/>
      <c r="O282" s="412"/>
      <c r="P282" s="412"/>
      <c r="Q282" s="412"/>
      <c r="R282" s="412"/>
      <c r="S282" s="412"/>
      <c r="T282" s="412"/>
      <c r="U282" s="412"/>
      <c r="V282" s="412"/>
      <c r="W282" s="412"/>
      <c r="X282" s="412"/>
      <c r="Y282" s="412"/>
      <c r="Z282" s="412"/>
    </row>
    <row r="283" ht="13.5" customHeight="1">
      <c r="A283" s="473"/>
      <c r="B283" s="412"/>
      <c r="C283" s="412"/>
      <c r="D283" s="412"/>
      <c r="E283" s="412"/>
      <c r="F283" s="412"/>
      <c r="G283" s="412"/>
      <c r="H283" s="412"/>
      <c r="I283" s="412"/>
      <c r="J283" s="412"/>
      <c r="K283" s="412"/>
      <c r="L283" s="412"/>
      <c r="M283" s="412"/>
      <c r="N283" s="412"/>
      <c r="O283" s="412"/>
      <c r="P283" s="412"/>
      <c r="Q283" s="412"/>
      <c r="R283" s="412"/>
      <c r="S283" s="412"/>
      <c r="T283" s="412"/>
      <c r="U283" s="412"/>
      <c r="V283" s="412"/>
      <c r="W283" s="412"/>
      <c r="X283" s="412"/>
      <c r="Y283" s="412"/>
      <c r="Z283" s="412"/>
    </row>
    <row r="284" ht="13.5" customHeight="1">
      <c r="A284" s="473"/>
      <c r="B284" s="412"/>
      <c r="C284" s="412"/>
      <c r="D284" s="412"/>
      <c r="E284" s="412"/>
      <c r="F284" s="412"/>
      <c r="G284" s="412"/>
      <c r="H284" s="412"/>
      <c r="I284" s="412"/>
      <c r="J284" s="412"/>
      <c r="K284" s="412"/>
      <c r="L284" s="412"/>
      <c r="M284" s="412"/>
      <c r="N284" s="412"/>
      <c r="O284" s="412"/>
      <c r="P284" s="412"/>
      <c r="Q284" s="412"/>
      <c r="R284" s="412"/>
      <c r="S284" s="412"/>
      <c r="T284" s="412"/>
      <c r="U284" s="412"/>
      <c r="V284" s="412"/>
      <c r="W284" s="412"/>
      <c r="X284" s="412"/>
      <c r="Y284" s="412"/>
      <c r="Z284" s="412"/>
    </row>
    <row r="285" ht="13.5" customHeight="1">
      <c r="A285" s="473"/>
      <c r="B285" s="412"/>
      <c r="C285" s="412"/>
      <c r="D285" s="412"/>
      <c r="E285" s="412"/>
      <c r="F285" s="412"/>
      <c r="G285" s="412"/>
      <c r="H285" s="412"/>
      <c r="I285" s="412"/>
      <c r="J285" s="412"/>
      <c r="K285" s="412"/>
      <c r="L285" s="412"/>
      <c r="M285" s="412"/>
      <c r="N285" s="412"/>
      <c r="O285" s="412"/>
      <c r="P285" s="412"/>
      <c r="Q285" s="412"/>
      <c r="R285" s="412"/>
      <c r="S285" s="412"/>
      <c r="T285" s="412"/>
      <c r="U285" s="412"/>
      <c r="V285" s="412"/>
      <c r="W285" s="412"/>
      <c r="X285" s="412"/>
      <c r="Y285" s="412"/>
      <c r="Z285" s="412"/>
    </row>
    <row r="286" ht="13.5" customHeight="1">
      <c r="A286" s="473"/>
      <c r="B286" s="412"/>
      <c r="C286" s="412"/>
      <c r="D286" s="412"/>
      <c r="E286" s="412"/>
      <c r="F286" s="412"/>
      <c r="G286" s="412"/>
      <c r="H286" s="412"/>
      <c r="I286" s="412"/>
      <c r="J286" s="412"/>
      <c r="K286" s="412"/>
      <c r="L286" s="412"/>
      <c r="M286" s="412"/>
      <c r="N286" s="412"/>
      <c r="O286" s="412"/>
      <c r="P286" s="412"/>
      <c r="Q286" s="412"/>
      <c r="R286" s="412"/>
      <c r="S286" s="412"/>
      <c r="T286" s="412"/>
      <c r="U286" s="412"/>
      <c r="V286" s="412"/>
      <c r="W286" s="412"/>
      <c r="X286" s="412"/>
      <c r="Y286" s="412"/>
      <c r="Z286" s="412"/>
    </row>
    <row r="287" ht="13.5" customHeight="1">
      <c r="A287" s="473"/>
      <c r="B287" s="412"/>
      <c r="C287" s="412"/>
      <c r="D287" s="412"/>
      <c r="E287" s="412"/>
      <c r="F287" s="412"/>
      <c r="G287" s="412"/>
      <c r="H287" s="412"/>
      <c r="I287" s="412"/>
      <c r="J287" s="412"/>
      <c r="K287" s="412"/>
      <c r="L287" s="412"/>
      <c r="M287" s="412"/>
      <c r="N287" s="412"/>
      <c r="O287" s="412"/>
      <c r="P287" s="412"/>
      <c r="Q287" s="412"/>
      <c r="R287" s="412"/>
      <c r="S287" s="412"/>
      <c r="T287" s="412"/>
      <c r="U287" s="412"/>
      <c r="V287" s="412"/>
      <c r="W287" s="412"/>
      <c r="X287" s="412"/>
      <c r="Y287" s="412"/>
      <c r="Z287" s="412"/>
    </row>
    <row r="288" ht="13.5" customHeight="1">
      <c r="A288" s="473"/>
      <c r="B288" s="412"/>
      <c r="C288" s="412"/>
      <c r="D288" s="412"/>
      <c r="E288" s="412"/>
      <c r="F288" s="412"/>
      <c r="G288" s="412"/>
      <c r="H288" s="412"/>
      <c r="I288" s="412"/>
      <c r="J288" s="412"/>
      <c r="K288" s="412"/>
      <c r="L288" s="412"/>
      <c r="M288" s="412"/>
      <c r="N288" s="412"/>
      <c r="O288" s="412"/>
      <c r="P288" s="412"/>
      <c r="Q288" s="412"/>
      <c r="R288" s="412"/>
      <c r="S288" s="412"/>
      <c r="T288" s="412"/>
      <c r="U288" s="412"/>
      <c r="V288" s="412"/>
      <c r="W288" s="412"/>
      <c r="X288" s="412"/>
      <c r="Y288" s="412"/>
      <c r="Z288" s="412"/>
    </row>
    <row r="289" ht="13.5" customHeight="1">
      <c r="A289" s="473"/>
      <c r="B289" s="412"/>
      <c r="C289" s="412"/>
      <c r="D289" s="412"/>
      <c r="E289" s="412"/>
      <c r="F289" s="412"/>
      <c r="G289" s="412"/>
      <c r="H289" s="412"/>
      <c r="I289" s="412"/>
      <c r="J289" s="412"/>
      <c r="K289" s="412"/>
      <c r="L289" s="412"/>
      <c r="M289" s="412"/>
      <c r="N289" s="412"/>
      <c r="O289" s="412"/>
      <c r="P289" s="412"/>
      <c r="Q289" s="412"/>
      <c r="R289" s="412"/>
      <c r="S289" s="412"/>
      <c r="T289" s="412"/>
      <c r="U289" s="412"/>
      <c r="V289" s="412"/>
      <c r="W289" s="412"/>
      <c r="X289" s="412"/>
      <c r="Y289" s="412"/>
      <c r="Z289" s="412"/>
    </row>
    <row r="290" ht="13.5" customHeight="1">
      <c r="A290" s="473"/>
      <c r="B290" s="412"/>
      <c r="C290" s="412"/>
      <c r="D290" s="412"/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412"/>
      <c r="V290" s="412"/>
      <c r="W290" s="412"/>
      <c r="X290" s="412"/>
      <c r="Y290" s="412"/>
      <c r="Z290" s="412"/>
    </row>
    <row r="291" ht="13.5" customHeight="1">
      <c r="A291" s="473"/>
      <c r="B291" s="412"/>
      <c r="C291" s="412"/>
      <c r="D291" s="412"/>
      <c r="E291" s="412"/>
      <c r="F291" s="412"/>
      <c r="G291" s="412"/>
      <c r="H291" s="412"/>
      <c r="I291" s="412"/>
      <c r="J291" s="412"/>
      <c r="K291" s="412"/>
      <c r="L291" s="412"/>
      <c r="M291" s="412"/>
      <c r="N291" s="412"/>
      <c r="O291" s="412"/>
      <c r="P291" s="412"/>
      <c r="Q291" s="412"/>
      <c r="R291" s="412"/>
      <c r="S291" s="412"/>
      <c r="T291" s="412"/>
      <c r="U291" s="412"/>
      <c r="V291" s="412"/>
      <c r="W291" s="412"/>
      <c r="X291" s="412"/>
      <c r="Y291" s="412"/>
      <c r="Z291" s="412"/>
    </row>
    <row r="292" ht="13.5" customHeight="1">
      <c r="A292" s="473"/>
      <c r="B292" s="412"/>
      <c r="C292" s="412"/>
      <c r="D292" s="412"/>
      <c r="E292" s="412"/>
      <c r="F292" s="412"/>
      <c r="G292" s="412"/>
      <c r="H292" s="412"/>
      <c r="I292" s="412"/>
      <c r="J292" s="412"/>
      <c r="K292" s="412"/>
      <c r="L292" s="412"/>
      <c r="M292" s="412"/>
      <c r="N292" s="412"/>
      <c r="O292" s="412"/>
      <c r="P292" s="412"/>
      <c r="Q292" s="412"/>
      <c r="R292" s="412"/>
      <c r="S292" s="412"/>
      <c r="T292" s="412"/>
      <c r="U292" s="412"/>
      <c r="V292" s="412"/>
      <c r="W292" s="412"/>
      <c r="X292" s="412"/>
      <c r="Y292" s="412"/>
      <c r="Z292" s="412"/>
    </row>
    <row r="293" ht="13.5" customHeight="1">
      <c r="A293" s="473"/>
      <c r="B293" s="412"/>
      <c r="C293" s="412"/>
      <c r="D293" s="412"/>
      <c r="E293" s="412"/>
      <c r="F293" s="412"/>
      <c r="G293" s="412"/>
      <c r="H293" s="412"/>
      <c r="I293" s="412"/>
      <c r="J293" s="412"/>
      <c r="K293" s="412"/>
      <c r="L293" s="412"/>
      <c r="M293" s="412"/>
      <c r="N293" s="412"/>
      <c r="O293" s="412"/>
      <c r="P293" s="412"/>
      <c r="Q293" s="412"/>
      <c r="R293" s="412"/>
      <c r="S293" s="412"/>
      <c r="T293" s="412"/>
      <c r="U293" s="412"/>
      <c r="V293" s="412"/>
      <c r="W293" s="412"/>
      <c r="X293" s="412"/>
      <c r="Y293" s="412"/>
      <c r="Z293" s="412"/>
    </row>
    <row r="294" ht="13.5" customHeight="1">
      <c r="A294" s="473"/>
      <c r="B294" s="412"/>
      <c r="C294" s="412"/>
      <c r="D294" s="412"/>
      <c r="E294" s="412"/>
      <c r="F294" s="412"/>
      <c r="G294" s="412"/>
      <c r="H294" s="412"/>
      <c r="I294" s="412"/>
      <c r="J294" s="412"/>
      <c r="K294" s="412"/>
      <c r="L294" s="412"/>
      <c r="M294" s="412"/>
      <c r="N294" s="412"/>
      <c r="O294" s="412"/>
      <c r="P294" s="412"/>
      <c r="Q294" s="412"/>
      <c r="R294" s="412"/>
      <c r="S294" s="412"/>
      <c r="T294" s="412"/>
      <c r="U294" s="412"/>
      <c r="V294" s="412"/>
      <c r="W294" s="412"/>
      <c r="X294" s="412"/>
      <c r="Y294" s="412"/>
      <c r="Z294" s="412"/>
    </row>
    <row r="295" ht="13.5" customHeight="1">
      <c r="A295" s="473"/>
      <c r="B295" s="412"/>
      <c r="C295" s="412"/>
      <c r="D295" s="412"/>
      <c r="E295" s="412"/>
      <c r="F295" s="412"/>
      <c r="G295" s="412"/>
      <c r="H295" s="412"/>
      <c r="I295" s="412"/>
      <c r="J295" s="412"/>
      <c r="K295" s="412"/>
      <c r="L295" s="412"/>
      <c r="M295" s="412"/>
      <c r="N295" s="412"/>
      <c r="O295" s="412"/>
      <c r="P295" s="412"/>
      <c r="Q295" s="412"/>
      <c r="R295" s="412"/>
      <c r="S295" s="412"/>
      <c r="T295" s="412"/>
      <c r="U295" s="412"/>
      <c r="V295" s="412"/>
      <c r="W295" s="412"/>
      <c r="X295" s="412"/>
      <c r="Y295" s="412"/>
      <c r="Z295" s="412"/>
    </row>
    <row r="296" ht="13.5" customHeight="1">
      <c r="A296" s="473"/>
      <c r="B296" s="412"/>
      <c r="C296" s="412"/>
      <c r="D296" s="412"/>
      <c r="E296" s="412"/>
      <c r="F296" s="412"/>
      <c r="G296" s="412"/>
      <c r="H296" s="412"/>
      <c r="I296" s="412"/>
      <c r="J296" s="412"/>
      <c r="K296" s="412"/>
      <c r="L296" s="412"/>
      <c r="M296" s="412"/>
      <c r="N296" s="412"/>
      <c r="O296" s="412"/>
      <c r="P296" s="412"/>
      <c r="Q296" s="412"/>
      <c r="R296" s="412"/>
      <c r="S296" s="412"/>
      <c r="T296" s="412"/>
      <c r="U296" s="412"/>
      <c r="V296" s="412"/>
      <c r="W296" s="412"/>
      <c r="X296" s="412"/>
      <c r="Y296" s="412"/>
      <c r="Z296" s="412"/>
    </row>
    <row r="297" ht="13.5" customHeight="1">
      <c r="A297" s="473"/>
      <c r="B297" s="412"/>
      <c r="C297" s="412"/>
      <c r="D297" s="412"/>
      <c r="E297" s="412"/>
      <c r="F297" s="412"/>
      <c r="G297" s="412"/>
      <c r="H297" s="412"/>
      <c r="I297" s="412"/>
      <c r="J297" s="412"/>
      <c r="K297" s="412"/>
      <c r="L297" s="412"/>
      <c r="M297" s="412"/>
      <c r="N297" s="412"/>
      <c r="O297" s="412"/>
      <c r="P297" s="412"/>
      <c r="Q297" s="412"/>
      <c r="R297" s="412"/>
      <c r="S297" s="412"/>
      <c r="T297" s="412"/>
      <c r="U297" s="412"/>
      <c r="V297" s="412"/>
      <c r="W297" s="412"/>
      <c r="X297" s="412"/>
      <c r="Y297" s="412"/>
      <c r="Z297" s="412"/>
    </row>
    <row r="298" ht="13.5" customHeight="1">
      <c r="A298" s="473"/>
      <c r="B298" s="412"/>
      <c r="C298" s="412"/>
      <c r="D298" s="412"/>
      <c r="E298" s="412"/>
      <c r="F298" s="412"/>
      <c r="G298" s="412"/>
      <c r="H298" s="412"/>
      <c r="I298" s="412"/>
      <c r="J298" s="412"/>
      <c r="K298" s="412"/>
      <c r="L298" s="412"/>
      <c r="M298" s="412"/>
      <c r="N298" s="412"/>
      <c r="O298" s="412"/>
      <c r="P298" s="412"/>
      <c r="Q298" s="412"/>
      <c r="R298" s="412"/>
      <c r="S298" s="412"/>
      <c r="T298" s="412"/>
      <c r="U298" s="412"/>
      <c r="V298" s="412"/>
      <c r="W298" s="412"/>
      <c r="X298" s="412"/>
      <c r="Y298" s="412"/>
      <c r="Z298" s="412"/>
    </row>
    <row r="299" ht="13.5" customHeight="1">
      <c r="A299" s="473"/>
      <c r="B299" s="412"/>
      <c r="C299" s="412"/>
      <c r="D299" s="412"/>
      <c r="E299" s="412"/>
      <c r="F299" s="412"/>
      <c r="G299" s="412"/>
      <c r="H299" s="412"/>
      <c r="I299" s="412"/>
      <c r="J299" s="412"/>
      <c r="K299" s="412"/>
      <c r="L299" s="412"/>
      <c r="M299" s="412"/>
      <c r="N299" s="412"/>
      <c r="O299" s="412"/>
      <c r="P299" s="412"/>
      <c r="Q299" s="412"/>
      <c r="R299" s="412"/>
      <c r="S299" s="412"/>
      <c r="T299" s="412"/>
      <c r="U299" s="412"/>
      <c r="V299" s="412"/>
      <c r="W299" s="412"/>
      <c r="X299" s="412"/>
      <c r="Y299" s="412"/>
      <c r="Z299" s="412"/>
    </row>
    <row r="300" ht="13.5" customHeight="1">
      <c r="A300" s="473"/>
      <c r="B300" s="412"/>
      <c r="C300" s="412"/>
      <c r="D300" s="412"/>
      <c r="E300" s="412"/>
      <c r="F300" s="412"/>
      <c r="G300" s="412"/>
      <c r="H300" s="412"/>
      <c r="I300" s="412"/>
      <c r="J300" s="412"/>
      <c r="K300" s="412"/>
      <c r="L300" s="412"/>
      <c r="M300" s="412"/>
      <c r="N300" s="412"/>
      <c r="O300" s="412"/>
      <c r="P300" s="412"/>
      <c r="Q300" s="412"/>
      <c r="R300" s="412"/>
      <c r="S300" s="412"/>
      <c r="T300" s="412"/>
      <c r="U300" s="412"/>
      <c r="V300" s="412"/>
      <c r="W300" s="412"/>
      <c r="X300" s="412"/>
      <c r="Y300" s="412"/>
      <c r="Z300" s="412"/>
    </row>
    <row r="301" ht="13.5" customHeight="1">
      <c r="A301" s="473"/>
      <c r="B301" s="412"/>
      <c r="C301" s="412"/>
      <c r="D301" s="412"/>
      <c r="E301" s="412"/>
      <c r="F301" s="412"/>
      <c r="G301" s="412"/>
      <c r="H301" s="412"/>
      <c r="I301" s="412"/>
      <c r="J301" s="412"/>
      <c r="K301" s="412"/>
      <c r="L301" s="412"/>
      <c r="M301" s="412"/>
      <c r="N301" s="412"/>
      <c r="O301" s="412"/>
      <c r="P301" s="412"/>
      <c r="Q301" s="412"/>
      <c r="R301" s="412"/>
      <c r="S301" s="412"/>
      <c r="T301" s="412"/>
      <c r="U301" s="412"/>
      <c r="V301" s="412"/>
      <c r="W301" s="412"/>
      <c r="X301" s="412"/>
      <c r="Y301" s="412"/>
      <c r="Z301" s="412"/>
    </row>
    <row r="302" ht="13.5" customHeight="1">
      <c r="A302" s="473"/>
      <c r="B302" s="412"/>
      <c r="C302" s="412"/>
      <c r="D302" s="412"/>
      <c r="E302" s="412"/>
      <c r="F302" s="412"/>
      <c r="G302" s="412"/>
      <c r="H302" s="412"/>
      <c r="I302" s="412"/>
      <c r="J302" s="412"/>
      <c r="K302" s="412"/>
      <c r="L302" s="412"/>
      <c r="M302" s="412"/>
      <c r="N302" s="412"/>
      <c r="O302" s="412"/>
      <c r="P302" s="412"/>
      <c r="Q302" s="412"/>
      <c r="R302" s="412"/>
      <c r="S302" s="412"/>
      <c r="T302" s="412"/>
      <c r="U302" s="412"/>
      <c r="V302" s="412"/>
      <c r="W302" s="412"/>
      <c r="X302" s="412"/>
      <c r="Y302" s="412"/>
      <c r="Z302" s="412"/>
    </row>
    <row r="303" ht="13.5" customHeight="1">
      <c r="A303" s="473"/>
      <c r="B303" s="412"/>
      <c r="C303" s="412"/>
      <c r="D303" s="412"/>
      <c r="E303" s="412"/>
      <c r="F303" s="412"/>
      <c r="G303" s="412"/>
      <c r="H303" s="412"/>
      <c r="I303" s="412"/>
      <c r="J303" s="412"/>
      <c r="K303" s="412"/>
      <c r="L303" s="412"/>
      <c r="M303" s="412"/>
      <c r="N303" s="412"/>
      <c r="O303" s="412"/>
      <c r="P303" s="412"/>
      <c r="Q303" s="412"/>
      <c r="R303" s="412"/>
      <c r="S303" s="412"/>
      <c r="T303" s="412"/>
      <c r="U303" s="412"/>
      <c r="V303" s="412"/>
      <c r="W303" s="412"/>
      <c r="X303" s="412"/>
      <c r="Y303" s="412"/>
      <c r="Z303" s="412"/>
    </row>
    <row r="304" ht="13.5" customHeight="1">
      <c r="A304" s="473"/>
      <c r="B304" s="412"/>
      <c r="C304" s="412"/>
      <c r="D304" s="412"/>
      <c r="E304" s="412"/>
      <c r="F304" s="412"/>
      <c r="G304" s="412"/>
      <c r="H304" s="412"/>
      <c r="I304" s="412"/>
      <c r="J304" s="412"/>
      <c r="K304" s="412"/>
      <c r="L304" s="412"/>
      <c r="M304" s="412"/>
      <c r="N304" s="412"/>
      <c r="O304" s="412"/>
      <c r="P304" s="412"/>
      <c r="Q304" s="412"/>
      <c r="R304" s="412"/>
      <c r="S304" s="412"/>
      <c r="T304" s="412"/>
      <c r="U304" s="412"/>
      <c r="V304" s="412"/>
      <c r="W304" s="412"/>
      <c r="X304" s="412"/>
      <c r="Y304" s="412"/>
      <c r="Z304" s="412"/>
    </row>
    <row r="305" ht="13.5" customHeight="1">
      <c r="A305" s="473"/>
      <c r="B305" s="412"/>
      <c r="C305" s="412"/>
      <c r="D305" s="412"/>
      <c r="E305" s="412"/>
      <c r="F305" s="412"/>
      <c r="G305" s="412"/>
      <c r="H305" s="412"/>
      <c r="I305" s="412"/>
      <c r="J305" s="412"/>
      <c r="K305" s="412"/>
      <c r="L305" s="412"/>
      <c r="M305" s="412"/>
      <c r="N305" s="412"/>
      <c r="O305" s="412"/>
      <c r="P305" s="412"/>
      <c r="Q305" s="412"/>
      <c r="R305" s="412"/>
      <c r="S305" s="412"/>
      <c r="T305" s="412"/>
      <c r="U305" s="412"/>
      <c r="V305" s="412"/>
      <c r="W305" s="412"/>
      <c r="X305" s="412"/>
      <c r="Y305" s="412"/>
      <c r="Z305" s="412"/>
    </row>
    <row r="306" ht="13.5" customHeight="1">
      <c r="A306" s="473"/>
      <c r="B306" s="412"/>
      <c r="C306" s="412"/>
      <c r="D306" s="412"/>
      <c r="E306" s="412"/>
      <c r="F306" s="412"/>
      <c r="G306" s="412"/>
      <c r="H306" s="412"/>
      <c r="I306" s="412"/>
      <c r="J306" s="412"/>
      <c r="K306" s="412"/>
      <c r="L306" s="412"/>
      <c r="M306" s="412"/>
      <c r="N306" s="412"/>
      <c r="O306" s="412"/>
      <c r="P306" s="412"/>
      <c r="Q306" s="412"/>
      <c r="R306" s="412"/>
      <c r="S306" s="412"/>
      <c r="T306" s="412"/>
      <c r="U306" s="412"/>
      <c r="V306" s="412"/>
      <c r="W306" s="412"/>
      <c r="X306" s="412"/>
      <c r="Y306" s="412"/>
      <c r="Z306" s="412"/>
    </row>
    <row r="307" ht="13.5" customHeight="1">
      <c r="A307" s="473"/>
      <c r="B307" s="412"/>
      <c r="C307" s="412"/>
      <c r="D307" s="412"/>
      <c r="E307" s="412"/>
      <c r="F307" s="412"/>
      <c r="G307" s="412"/>
      <c r="H307" s="412"/>
      <c r="I307" s="412"/>
      <c r="J307" s="412"/>
      <c r="K307" s="412"/>
      <c r="L307" s="412"/>
      <c r="M307" s="412"/>
      <c r="N307" s="412"/>
      <c r="O307" s="412"/>
      <c r="P307" s="412"/>
      <c r="Q307" s="412"/>
      <c r="R307" s="412"/>
      <c r="S307" s="412"/>
      <c r="T307" s="412"/>
      <c r="U307" s="412"/>
      <c r="V307" s="412"/>
      <c r="W307" s="412"/>
      <c r="X307" s="412"/>
      <c r="Y307" s="412"/>
      <c r="Z307" s="412"/>
    </row>
    <row r="308" ht="13.5" customHeight="1">
      <c r="A308" s="473"/>
      <c r="B308" s="412"/>
      <c r="C308" s="412"/>
      <c r="D308" s="412"/>
      <c r="E308" s="412"/>
      <c r="F308" s="412"/>
      <c r="G308" s="412"/>
      <c r="H308" s="412"/>
      <c r="I308" s="412"/>
      <c r="J308" s="412"/>
      <c r="K308" s="412"/>
      <c r="L308" s="412"/>
      <c r="M308" s="412"/>
      <c r="N308" s="412"/>
      <c r="O308" s="412"/>
      <c r="P308" s="412"/>
      <c r="Q308" s="412"/>
      <c r="R308" s="412"/>
      <c r="S308" s="412"/>
      <c r="T308" s="412"/>
      <c r="U308" s="412"/>
      <c r="V308" s="412"/>
      <c r="W308" s="412"/>
      <c r="X308" s="412"/>
      <c r="Y308" s="412"/>
      <c r="Z308" s="412"/>
    </row>
    <row r="309" ht="13.5" customHeight="1">
      <c r="A309" s="473"/>
      <c r="B309" s="412"/>
      <c r="C309" s="412"/>
      <c r="D309" s="412"/>
      <c r="E309" s="412"/>
      <c r="F309" s="412"/>
      <c r="G309" s="412"/>
      <c r="H309" s="412"/>
      <c r="I309" s="412"/>
      <c r="J309" s="412"/>
      <c r="K309" s="412"/>
      <c r="L309" s="412"/>
      <c r="M309" s="412"/>
      <c r="N309" s="412"/>
      <c r="O309" s="412"/>
      <c r="P309" s="412"/>
      <c r="Q309" s="412"/>
      <c r="R309" s="412"/>
      <c r="S309" s="412"/>
      <c r="T309" s="412"/>
      <c r="U309" s="412"/>
      <c r="V309" s="412"/>
      <c r="W309" s="412"/>
      <c r="X309" s="412"/>
      <c r="Y309" s="412"/>
      <c r="Z309" s="412"/>
    </row>
    <row r="310" ht="13.5" customHeight="1">
      <c r="A310" s="473"/>
      <c r="B310" s="412"/>
      <c r="C310" s="412"/>
      <c r="D310" s="412"/>
      <c r="E310" s="412"/>
      <c r="F310" s="412"/>
      <c r="G310" s="412"/>
      <c r="H310" s="412"/>
      <c r="I310" s="412"/>
      <c r="J310" s="412"/>
      <c r="K310" s="412"/>
      <c r="L310" s="412"/>
      <c r="M310" s="412"/>
      <c r="N310" s="412"/>
      <c r="O310" s="412"/>
      <c r="P310" s="412"/>
      <c r="Q310" s="412"/>
      <c r="R310" s="412"/>
      <c r="S310" s="412"/>
      <c r="T310" s="412"/>
      <c r="U310" s="412"/>
      <c r="V310" s="412"/>
      <c r="W310" s="412"/>
      <c r="X310" s="412"/>
      <c r="Y310" s="412"/>
      <c r="Z310" s="412"/>
    </row>
    <row r="311" ht="13.5" customHeight="1">
      <c r="A311" s="473"/>
      <c r="B311" s="412"/>
      <c r="C311" s="412"/>
      <c r="D311" s="412"/>
      <c r="E311" s="412"/>
      <c r="F311" s="412"/>
      <c r="G311" s="412"/>
      <c r="H311" s="412"/>
      <c r="I311" s="412"/>
      <c r="J311" s="412"/>
      <c r="K311" s="412"/>
      <c r="L311" s="412"/>
      <c r="M311" s="412"/>
      <c r="N311" s="412"/>
      <c r="O311" s="412"/>
      <c r="P311" s="412"/>
      <c r="Q311" s="412"/>
      <c r="R311" s="412"/>
      <c r="S311" s="412"/>
      <c r="T311" s="412"/>
      <c r="U311" s="412"/>
      <c r="V311" s="412"/>
      <c r="W311" s="412"/>
      <c r="X311" s="412"/>
      <c r="Y311" s="412"/>
      <c r="Z311" s="412"/>
    </row>
    <row r="312" ht="13.5" customHeight="1">
      <c r="A312" s="473"/>
      <c r="B312" s="412"/>
      <c r="C312" s="412"/>
      <c r="D312" s="412"/>
      <c r="E312" s="412"/>
      <c r="F312" s="412"/>
      <c r="G312" s="412"/>
      <c r="H312" s="412"/>
      <c r="I312" s="412"/>
      <c r="J312" s="412"/>
      <c r="K312" s="412"/>
      <c r="L312" s="412"/>
      <c r="M312" s="412"/>
      <c r="N312" s="412"/>
      <c r="O312" s="412"/>
      <c r="P312" s="412"/>
      <c r="Q312" s="412"/>
      <c r="R312" s="412"/>
      <c r="S312" s="412"/>
      <c r="T312" s="412"/>
      <c r="U312" s="412"/>
      <c r="V312" s="412"/>
      <c r="W312" s="412"/>
      <c r="X312" s="412"/>
      <c r="Y312" s="412"/>
      <c r="Z312" s="412"/>
    </row>
    <row r="313" ht="13.5" customHeight="1">
      <c r="A313" s="473"/>
      <c r="B313" s="412"/>
      <c r="C313" s="412"/>
      <c r="D313" s="412"/>
      <c r="E313" s="412"/>
      <c r="F313" s="412"/>
      <c r="G313" s="412"/>
      <c r="H313" s="412"/>
      <c r="I313" s="412"/>
      <c r="J313" s="412"/>
      <c r="K313" s="412"/>
      <c r="L313" s="412"/>
      <c r="M313" s="412"/>
      <c r="N313" s="412"/>
      <c r="O313" s="412"/>
      <c r="P313" s="412"/>
      <c r="Q313" s="412"/>
      <c r="R313" s="412"/>
      <c r="S313" s="412"/>
      <c r="T313" s="412"/>
      <c r="U313" s="412"/>
      <c r="V313" s="412"/>
      <c r="W313" s="412"/>
      <c r="X313" s="412"/>
      <c r="Y313" s="412"/>
      <c r="Z313" s="412"/>
    </row>
    <row r="314" ht="13.5" customHeight="1">
      <c r="A314" s="473"/>
      <c r="B314" s="412"/>
      <c r="C314" s="412"/>
      <c r="D314" s="412"/>
      <c r="E314" s="412"/>
      <c r="F314" s="412"/>
      <c r="G314" s="412"/>
      <c r="H314" s="412"/>
      <c r="I314" s="412"/>
      <c r="J314" s="412"/>
      <c r="K314" s="412"/>
      <c r="L314" s="412"/>
      <c r="M314" s="412"/>
      <c r="N314" s="412"/>
      <c r="O314" s="412"/>
      <c r="P314" s="412"/>
      <c r="Q314" s="412"/>
      <c r="R314" s="412"/>
      <c r="S314" s="412"/>
      <c r="T314" s="412"/>
      <c r="U314" s="412"/>
      <c r="V314" s="412"/>
      <c r="W314" s="412"/>
      <c r="X314" s="412"/>
      <c r="Y314" s="412"/>
      <c r="Z314" s="412"/>
    </row>
    <row r="315" ht="13.5" customHeight="1">
      <c r="A315" s="473"/>
      <c r="B315" s="412"/>
      <c r="C315" s="412"/>
      <c r="D315" s="412"/>
      <c r="E315" s="412"/>
      <c r="F315" s="412"/>
      <c r="G315" s="412"/>
      <c r="H315" s="412"/>
      <c r="I315" s="412"/>
      <c r="J315" s="412"/>
      <c r="K315" s="412"/>
      <c r="L315" s="412"/>
      <c r="M315" s="412"/>
      <c r="N315" s="412"/>
      <c r="O315" s="412"/>
      <c r="P315" s="412"/>
      <c r="Q315" s="412"/>
      <c r="R315" s="412"/>
      <c r="S315" s="412"/>
      <c r="T315" s="412"/>
      <c r="U315" s="412"/>
      <c r="V315" s="412"/>
      <c r="W315" s="412"/>
      <c r="X315" s="412"/>
      <c r="Y315" s="412"/>
      <c r="Z315" s="412"/>
    </row>
    <row r="316" ht="13.5" customHeight="1">
      <c r="A316" s="473"/>
      <c r="B316" s="412"/>
      <c r="C316" s="412"/>
      <c r="D316" s="412"/>
      <c r="E316" s="412"/>
      <c r="F316" s="412"/>
      <c r="G316" s="412"/>
      <c r="H316" s="412"/>
      <c r="I316" s="412"/>
      <c r="J316" s="412"/>
      <c r="K316" s="412"/>
      <c r="L316" s="412"/>
      <c r="M316" s="412"/>
      <c r="N316" s="412"/>
      <c r="O316" s="412"/>
      <c r="P316" s="412"/>
      <c r="Q316" s="412"/>
      <c r="R316" s="412"/>
      <c r="S316" s="412"/>
      <c r="T316" s="412"/>
      <c r="U316" s="412"/>
      <c r="V316" s="412"/>
      <c r="W316" s="412"/>
      <c r="X316" s="412"/>
      <c r="Y316" s="412"/>
      <c r="Z316" s="412"/>
    </row>
    <row r="317" ht="13.5" customHeight="1">
      <c r="A317" s="473"/>
      <c r="B317" s="412"/>
      <c r="C317" s="412"/>
      <c r="D317" s="412"/>
      <c r="E317" s="412"/>
      <c r="F317" s="412"/>
      <c r="G317" s="412"/>
      <c r="H317" s="412"/>
      <c r="I317" s="412"/>
      <c r="J317" s="412"/>
      <c r="K317" s="412"/>
      <c r="L317" s="412"/>
      <c r="M317" s="412"/>
      <c r="N317" s="412"/>
      <c r="O317" s="412"/>
      <c r="P317" s="412"/>
      <c r="Q317" s="412"/>
      <c r="R317" s="412"/>
      <c r="S317" s="412"/>
      <c r="T317" s="412"/>
      <c r="U317" s="412"/>
      <c r="V317" s="412"/>
      <c r="W317" s="412"/>
      <c r="X317" s="412"/>
      <c r="Y317" s="412"/>
      <c r="Z317" s="412"/>
    </row>
    <row r="318" ht="13.5" customHeight="1">
      <c r="A318" s="473"/>
      <c r="B318" s="412"/>
      <c r="C318" s="412"/>
      <c r="D318" s="412"/>
      <c r="E318" s="412"/>
      <c r="F318" s="412"/>
      <c r="G318" s="412"/>
      <c r="H318" s="412"/>
      <c r="I318" s="412"/>
      <c r="J318" s="412"/>
      <c r="K318" s="412"/>
      <c r="L318" s="412"/>
      <c r="M318" s="412"/>
      <c r="N318" s="412"/>
      <c r="O318" s="412"/>
      <c r="P318" s="412"/>
      <c r="Q318" s="412"/>
      <c r="R318" s="412"/>
      <c r="S318" s="412"/>
      <c r="T318" s="412"/>
      <c r="U318" s="412"/>
      <c r="V318" s="412"/>
      <c r="W318" s="412"/>
      <c r="X318" s="412"/>
      <c r="Y318" s="412"/>
      <c r="Z318" s="412"/>
    </row>
    <row r="319" ht="13.5" customHeight="1">
      <c r="A319" s="473"/>
      <c r="B319" s="412"/>
      <c r="C319" s="412"/>
      <c r="D319" s="412"/>
      <c r="E319" s="412"/>
      <c r="F319" s="412"/>
      <c r="G319" s="412"/>
      <c r="H319" s="412"/>
      <c r="I319" s="412"/>
      <c r="J319" s="412"/>
      <c r="K319" s="412"/>
      <c r="L319" s="412"/>
      <c r="M319" s="412"/>
      <c r="N319" s="412"/>
      <c r="O319" s="412"/>
      <c r="P319" s="412"/>
      <c r="Q319" s="412"/>
      <c r="R319" s="412"/>
      <c r="S319" s="412"/>
      <c r="T319" s="412"/>
      <c r="U319" s="412"/>
      <c r="V319" s="412"/>
      <c r="W319" s="412"/>
      <c r="X319" s="412"/>
      <c r="Y319" s="412"/>
      <c r="Z319" s="412"/>
    </row>
    <row r="320" ht="13.5" customHeight="1">
      <c r="A320" s="473"/>
      <c r="B320" s="412"/>
      <c r="C320" s="412"/>
      <c r="D320" s="412"/>
      <c r="E320" s="412"/>
      <c r="F320" s="412"/>
      <c r="G320" s="412"/>
      <c r="H320" s="412"/>
      <c r="I320" s="412"/>
      <c r="J320" s="412"/>
      <c r="K320" s="412"/>
      <c r="L320" s="412"/>
      <c r="M320" s="412"/>
      <c r="N320" s="412"/>
      <c r="O320" s="412"/>
      <c r="P320" s="412"/>
      <c r="Q320" s="412"/>
      <c r="R320" s="412"/>
      <c r="S320" s="412"/>
      <c r="T320" s="412"/>
      <c r="U320" s="412"/>
      <c r="V320" s="412"/>
      <c r="W320" s="412"/>
      <c r="X320" s="412"/>
      <c r="Y320" s="412"/>
      <c r="Z320" s="412"/>
    </row>
    <row r="321" ht="13.5" customHeight="1">
      <c r="A321" s="473"/>
      <c r="B321" s="412"/>
      <c r="C321" s="412"/>
      <c r="D321" s="412"/>
      <c r="E321" s="412"/>
      <c r="F321" s="412"/>
      <c r="G321" s="412"/>
      <c r="H321" s="412"/>
      <c r="I321" s="412"/>
      <c r="J321" s="412"/>
      <c r="K321" s="412"/>
      <c r="L321" s="412"/>
      <c r="M321" s="412"/>
      <c r="N321" s="412"/>
      <c r="O321" s="412"/>
      <c r="P321" s="412"/>
      <c r="Q321" s="412"/>
      <c r="R321" s="412"/>
      <c r="S321" s="412"/>
      <c r="T321" s="412"/>
      <c r="U321" s="412"/>
      <c r="V321" s="412"/>
      <c r="W321" s="412"/>
      <c r="X321" s="412"/>
      <c r="Y321" s="412"/>
      <c r="Z321" s="412"/>
    </row>
    <row r="322" ht="13.5" customHeight="1">
      <c r="A322" s="473"/>
      <c r="B322" s="412"/>
      <c r="C322" s="412"/>
      <c r="D322" s="412"/>
      <c r="E322" s="412"/>
      <c r="F322" s="412"/>
      <c r="G322" s="412"/>
      <c r="H322" s="412"/>
      <c r="I322" s="412"/>
      <c r="J322" s="412"/>
      <c r="K322" s="412"/>
      <c r="L322" s="412"/>
      <c r="M322" s="412"/>
      <c r="N322" s="412"/>
      <c r="O322" s="412"/>
      <c r="P322" s="412"/>
      <c r="Q322" s="412"/>
      <c r="R322" s="412"/>
      <c r="S322" s="412"/>
      <c r="T322" s="412"/>
      <c r="U322" s="412"/>
      <c r="V322" s="412"/>
      <c r="W322" s="412"/>
      <c r="X322" s="412"/>
      <c r="Y322" s="412"/>
      <c r="Z322" s="412"/>
    </row>
    <row r="323" ht="13.5" customHeight="1">
      <c r="A323" s="473"/>
      <c r="B323" s="412"/>
      <c r="C323" s="412"/>
      <c r="D323" s="412"/>
      <c r="E323" s="412"/>
      <c r="F323" s="412"/>
      <c r="G323" s="412"/>
      <c r="H323" s="412"/>
      <c r="I323" s="412"/>
      <c r="J323" s="412"/>
      <c r="K323" s="412"/>
      <c r="L323" s="412"/>
      <c r="M323" s="412"/>
      <c r="N323" s="412"/>
      <c r="O323" s="412"/>
      <c r="P323" s="412"/>
      <c r="Q323" s="412"/>
      <c r="R323" s="412"/>
      <c r="S323" s="412"/>
      <c r="T323" s="412"/>
      <c r="U323" s="412"/>
      <c r="V323" s="412"/>
      <c r="W323" s="412"/>
      <c r="X323" s="412"/>
      <c r="Y323" s="412"/>
      <c r="Z323" s="412"/>
    </row>
    <row r="324" ht="13.5" customHeight="1">
      <c r="A324" s="473"/>
      <c r="B324" s="412"/>
      <c r="C324" s="412"/>
      <c r="D324" s="412"/>
      <c r="E324" s="412"/>
      <c r="F324" s="412"/>
      <c r="G324" s="412"/>
      <c r="H324" s="412"/>
      <c r="I324" s="412"/>
      <c r="J324" s="412"/>
      <c r="K324" s="412"/>
      <c r="L324" s="412"/>
      <c r="M324" s="412"/>
      <c r="N324" s="412"/>
      <c r="O324" s="412"/>
      <c r="P324" s="412"/>
      <c r="Q324" s="412"/>
      <c r="R324" s="412"/>
      <c r="S324" s="412"/>
      <c r="T324" s="412"/>
      <c r="U324" s="412"/>
      <c r="V324" s="412"/>
      <c r="W324" s="412"/>
      <c r="X324" s="412"/>
      <c r="Y324" s="412"/>
      <c r="Z324" s="412"/>
    </row>
    <row r="325" ht="13.5" customHeight="1">
      <c r="A325" s="473"/>
      <c r="B325" s="412"/>
      <c r="C325" s="412"/>
      <c r="D325" s="412"/>
      <c r="E325" s="412"/>
      <c r="F325" s="412"/>
      <c r="G325" s="412"/>
      <c r="H325" s="412"/>
      <c r="I325" s="412"/>
      <c r="J325" s="412"/>
      <c r="K325" s="412"/>
      <c r="L325" s="412"/>
      <c r="M325" s="412"/>
      <c r="N325" s="412"/>
      <c r="O325" s="412"/>
      <c r="P325" s="412"/>
      <c r="Q325" s="412"/>
      <c r="R325" s="412"/>
      <c r="S325" s="412"/>
      <c r="T325" s="412"/>
      <c r="U325" s="412"/>
      <c r="V325" s="412"/>
      <c r="W325" s="412"/>
      <c r="X325" s="412"/>
      <c r="Y325" s="412"/>
      <c r="Z325" s="412"/>
    </row>
    <row r="326" ht="13.5" customHeight="1">
      <c r="A326" s="473"/>
      <c r="B326" s="412"/>
      <c r="C326" s="412"/>
      <c r="D326" s="412"/>
      <c r="E326" s="412"/>
      <c r="F326" s="412"/>
      <c r="G326" s="412"/>
      <c r="H326" s="412"/>
      <c r="I326" s="412"/>
      <c r="J326" s="412"/>
      <c r="K326" s="412"/>
      <c r="L326" s="412"/>
      <c r="M326" s="412"/>
      <c r="N326" s="412"/>
      <c r="O326" s="412"/>
      <c r="P326" s="412"/>
      <c r="Q326" s="412"/>
      <c r="R326" s="412"/>
      <c r="S326" s="412"/>
      <c r="T326" s="412"/>
      <c r="U326" s="412"/>
      <c r="V326" s="412"/>
      <c r="W326" s="412"/>
      <c r="X326" s="412"/>
      <c r="Y326" s="412"/>
      <c r="Z326" s="412"/>
    </row>
    <row r="327" ht="13.5" customHeight="1">
      <c r="A327" s="473"/>
      <c r="B327" s="412"/>
      <c r="C327" s="412"/>
      <c r="D327" s="412"/>
      <c r="E327" s="412"/>
      <c r="F327" s="412"/>
      <c r="G327" s="412"/>
      <c r="H327" s="412"/>
      <c r="I327" s="412"/>
      <c r="J327" s="412"/>
      <c r="K327" s="412"/>
      <c r="L327" s="412"/>
      <c r="M327" s="412"/>
      <c r="N327" s="412"/>
      <c r="O327" s="412"/>
      <c r="P327" s="412"/>
      <c r="Q327" s="412"/>
      <c r="R327" s="412"/>
      <c r="S327" s="412"/>
      <c r="T327" s="412"/>
      <c r="U327" s="412"/>
      <c r="V327" s="412"/>
      <c r="W327" s="412"/>
      <c r="X327" s="412"/>
      <c r="Y327" s="412"/>
      <c r="Z327" s="412"/>
    </row>
    <row r="328" ht="13.5" customHeight="1">
      <c r="A328" s="473"/>
      <c r="B328" s="412"/>
      <c r="C328" s="412"/>
      <c r="D328" s="412"/>
      <c r="E328" s="412"/>
      <c r="F328" s="412"/>
      <c r="G328" s="412"/>
      <c r="H328" s="412"/>
      <c r="I328" s="412"/>
      <c r="J328" s="412"/>
      <c r="K328" s="412"/>
      <c r="L328" s="412"/>
      <c r="M328" s="412"/>
      <c r="N328" s="412"/>
      <c r="O328" s="412"/>
      <c r="P328" s="412"/>
      <c r="Q328" s="412"/>
      <c r="R328" s="412"/>
      <c r="S328" s="412"/>
      <c r="T328" s="412"/>
      <c r="U328" s="412"/>
      <c r="V328" s="412"/>
      <c r="W328" s="412"/>
      <c r="X328" s="412"/>
      <c r="Y328" s="412"/>
      <c r="Z328" s="412"/>
    </row>
    <row r="329" ht="13.5" customHeight="1">
      <c r="A329" s="473"/>
      <c r="B329" s="412"/>
      <c r="C329" s="412"/>
      <c r="D329" s="412"/>
      <c r="E329" s="412"/>
      <c r="F329" s="412"/>
      <c r="G329" s="412"/>
      <c r="H329" s="412"/>
      <c r="I329" s="412"/>
      <c r="J329" s="412"/>
      <c r="K329" s="412"/>
      <c r="L329" s="412"/>
      <c r="M329" s="412"/>
      <c r="N329" s="412"/>
      <c r="O329" s="412"/>
      <c r="P329" s="412"/>
      <c r="Q329" s="412"/>
      <c r="R329" s="412"/>
      <c r="S329" s="412"/>
      <c r="T329" s="412"/>
      <c r="U329" s="412"/>
      <c r="V329" s="412"/>
      <c r="W329" s="412"/>
      <c r="X329" s="412"/>
      <c r="Y329" s="412"/>
      <c r="Z329" s="412"/>
    </row>
    <row r="330" ht="13.5" customHeight="1">
      <c r="A330" s="473"/>
      <c r="B330" s="412"/>
      <c r="C330" s="412"/>
      <c r="D330" s="412"/>
      <c r="E330" s="412"/>
      <c r="F330" s="412"/>
      <c r="G330" s="412"/>
      <c r="H330" s="412"/>
      <c r="I330" s="412"/>
      <c r="J330" s="412"/>
      <c r="K330" s="412"/>
      <c r="L330" s="412"/>
      <c r="M330" s="412"/>
      <c r="N330" s="412"/>
      <c r="O330" s="412"/>
      <c r="P330" s="412"/>
      <c r="Q330" s="412"/>
      <c r="R330" s="412"/>
      <c r="S330" s="412"/>
      <c r="T330" s="412"/>
      <c r="U330" s="412"/>
      <c r="V330" s="412"/>
      <c r="W330" s="412"/>
      <c r="X330" s="412"/>
      <c r="Y330" s="412"/>
      <c r="Z330" s="412"/>
    </row>
    <row r="331" ht="13.5" customHeight="1">
      <c r="A331" s="473"/>
      <c r="B331" s="412"/>
      <c r="C331" s="412"/>
      <c r="D331" s="412"/>
      <c r="E331" s="412"/>
      <c r="F331" s="412"/>
      <c r="G331" s="412"/>
      <c r="H331" s="412"/>
      <c r="I331" s="412"/>
      <c r="J331" s="412"/>
      <c r="K331" s="412"/>
      <c r="L331" s="412"/>
      <c r="M331" s="412"/>
      <c r="N331" s="412"/>
      <c r="O331" s="412"/>
      <c r="P331" s="412"/>
      <c r="Q331" s="412"/>
      <c r="R331" s="412"/>
      <c r="S331" s="412"/>
      <c r="T331" s="412"/>
      <c r="U331" s="412"/>
      <c r="V331" s="412"/>
      <c r="W331" s="412"/>
      <c r="X331" s="412"/>
      <c r="Y331" s="412"/>
      <c r="Z331" s="412"/>
    </row>
    <row r="332" ht="13.5" customHeight="1">
      <c r="A332" s="473"/>
      <c r="B332" s="412"/>
      <c r="C332" s="412"/>
      <c r="D332" s="412"/>
      <c r="E332" s="412"/>
      <c r="F332" s="412"/>
      <c r="G332" s="412"/>
      <c r="H332" s="412"/>
      <c r="I332" s="412"/>
      <c r="J332" s="412"/>
      <c r="K332" s="412"/>
      <c r="L332" s="412"/>
      <c r="M332" s="412"/>
      <c r="N332" s="412"/>
      <c r="O332" s="412"/>
      <c r="P332" s="412"/>
      <c r="Q332" s="412"/>
      <c r="R332" s="412"/>
      <c r="S332" s="412"/>
      <c r="T332" s="412"/>
      <c r="U332" s="412"/>
      <c r="V332" s="412"/>
      <c r="W332" s="412"/>
      <c r="X332" s="412"/>
      <c r="Y332" s="412"/>
      <c r="Z332" s="412"/>
    </row>
    <row r="333" ht="13.5" customHeight="1">
      <c r="A333" s="473"/>
      <c r="B333" s="412"/>
      <c r="C333" s="412"/>
      <c r="D333" s="412"/>
      <c r="E333" s="412"/>
      <c r="F333" s="412"/>
      <c r="G333" s="412"/>
      <c r="H333" s="412"/>
      <c r="I333" s="412"/>
      <c r="J333" s="412"/>
      <c r="K333" s="412"/>
      <c r="L333" s="412"/>
      <c r="M333" s="412"/>
      <c r="N333" s="412"/>
      <c r="O333" s="412"/>
      <c r="P333" s="412"/>
      <c r="Q333" s="412"/>
      <c r="R333" s="412"/>
      <c r="S333" s="412"/>
      <c r="T333" s="412"/>
      <c r="U333" s="412"/>
      <c r="V333" s="412"/>
      <c r="W333" s="412"/>
      <c r="X333" s="412"/>
      <c r="Y333" s="412"/>
      <c r="Z333" s="412"/>
    </row>
    <row r="334" ht="13.5" customHeight="1">
      <c r="A334" s="473"/>
      <c r="B334" s="412"/>
      <c r="C334" s="412"/>
      <c r="D334" s="412"/>
      <c r="E334" s="412"/>
      <c r="F334" s="412"/>
      <c r="G334" s="412"/>
      <c r="H334" s="412"/>
      <c r="I334" s="412"/>
      <c r="J334" s="412"/>
      <c r="K334" s="412"/>
      <c r="L334" s="412"/>
      <c r="M334" s="412"/>
      <c r="N334" s="412"/>
      <c r="O334" s="412"/>
      <c r="P334" s="412"/>
      <c r="Q334" s="412"/>
      <c r="R334" s="412"/>
      <c r="S334" s="412"/>
      <c r="T334" s="412"/>
      <c r="U334" s="412"/>
      <c r="V334" s="412"/>
      <c r="W334" s="412"/>
      <c r="X334" s="412"/>
      <c r="Y334" s="412"/>
      <c r="Z334" s="412"/>
    </row>
    <row r="335" ht="13.5" customHeight="1">
      <c r="A335" s="473"/>
      <c r="B335" s="412"/>
      <c r="C335" s="412"/>
      <c r="D335" s="412"/>
      <c r="E335" s="412"/>
      <c r="F335" s="412"/>
      <c r="G335" s="412"/>
      <c r="H335" s="412"/>
      <c r="I335" s="412"/>
      <c r="J335" s="412"/>
      <c r="K335" s="412"/>
      <c r="L335" s="412"/>
      <c r="M335" s="412"/>
      <c r="N335" s="412"/>
      <c r="O335" s="412"/>
      <c r="P335" s="412"/>
      <c r="Q335" s="412"/>
      <c r="R335" s="412"/>
      <c r="S335" s="412"/>
      <c r="T335" s="412"/>
      <c r="U335" s="412"/>
      <c r="V335" s="412"/>
      <c r="W335" s="412"/>
      <c r="X335" s="412"/>
      <c r="Y335" s="412"/>
      <c r="Z335" s="412"/>
    </row>
    <row r="336" ht="13.5" customHeight="1">
      <c r="A336" s="473"/>
      <c r="B336" s="412"/>
      <c r="C336" s="412"/>
      <c r="D336" s="412"/>
      <c r="E336" s="412"/>
      <c r="F336" s="412"/>
      <c r="G336" s="412"/>
      <c r="H336" s="412"/>
      <c r="I336" s="412"/>
      <c r="J336" s="412"/>
      <c r="K336" s="412"/>
      <c r="L336" s="412"/>
      <c r="M336" s="412"/>
      <c r="N336" s="412"/>
      <c r="O336" s="412"/>
      <c r="P336" s="412"/>
      <c r="Q336" s="412"/>
      <c r="R336" s="412"/>
      <c r="S336" s="412"/>
      <c r="T336" s="412"/>
      <c r="U336" s="412"/>
      <c r="V336" s="412"/>
      <c r="W336" s="412"/>
      <c r="X336" s="412"/>
      <c r="Y336" s="412"/>
      <c r="Z336" s="412"/>
    </row>
    <row r="337" ht="13.5" customHeight="1">
      <c r="A337" s="473"/>
      <c r="B337" s="412"/>
      <c r="C337" s="412"/>
      <c r="D337" s="412"/>
      <c r="E337" s="412"/>
      <c r="F337" s="412"/>
      <c r="G337" s="412"/>
      <c r="H337" s="412"/>
      <c r="I337" s="412"/>
      <c r="J337" s="412"/>
      <c r="K337" s="412"/>
      <c r="L337" s="412"/>
      <c r="M337" s="412"/>
      <c r="N337" s="412"/>
      <c r="O337" s="412"/>
      <c r="P337" s="412"/>
      <c r="Q337" s="412"/>
      <c r="R337" s="412"/>
      <c r="S337" s="412"/>
      <c r="T337" s="412"/>
      <c r="U337" s="412"/>
      <c r="V337" s="412"/>
      <c r="W337" s="412"/>
      <c r="X337" s="412"/>
      <c r="Y337" s="412"/>
      <c r="Z337" s="412"/>
    </row>
    <row r="338" ht="13.5" customHeight="1">
      <c r="A338" s="473"/>
      <c r="B338" s="412"/>
      <c r="C338" s="412"/>
      <c r="D338" s="412"/>
      <c r="E338" s="412"/>
      <c r="F338" s="412"/>
      <c r="G338" s="412"/>
      <c r="H338" s="412"/>
      <c r="I338" s="412"/>
      <c r="J338" s="412"/>
      <c r="K338" s="412"/>
      <c r="L338" s="412"/>
      <c r="M338" s="412"/>
      <c r="N338" s="412"/>
      <c r="O338" s="412"/>
      <c r="P338" s="412"/>
      <c r="Q338" s="412"/>
      <c r="R338" s="412"/>
      <c r="S338" s="412"/>
      <c r="T338" s="412"/>
      <c r="U338" s="412"/>
      <c r="V338" s="412"/>
      <c r="W338" s="412"/>
      <c r="X338" s="412"/>
      <c r="Y338" s="412"/>
      <c r="Z338" s="412"/>
    </row>
    <row r="339" ht="13.5" customHeight="1">
      <c r="A339" s="473"/>
      <c r="B339" s="412"/>
      <c r="C339" s="412"/>
      <c r="D339" s="412"/>
      <c r="E339" s="412"/>
      <c r="F339" s="412"/>
      <c r="G339" s="412"/>
      <c r="H339" s="412"/>
      <c r="I339" s="412"/>
      <c r="J339" s="412"/>
      <c r="K339" s="412"/>
      <c r="L339" s="412"/>
      <c r="M339" s="412"/>
      <c r="N339" s="412"/>
      <c r="O339" s="412"/>
      <c r="P339" s="412"/>
      <c r="Q339" s="412"/>
      <c r="R339" s="412"/>
      <c r="S339" s="412"/>
      <c r="T339" s="412"/>
      <c r="U339" s="412"/>
      <c r="V339" s="412"/>
      <c r="W339" s="412"/>
      <c r="X339" s="412"/>
      <c r="Y339" s="412"/>
      <c r="Z339" s="412"/>
    </row>
    <row r="340" ht="13.5" customHeight="1">
      <c r="A340" s="473"/>
      <c r="B340" s="412"/>
      <c r="C340" s="412"/>
      <c r="D340" s="412"/>
      <c r="E340" s="412"/>
      <c r="F340" s="412"/>
      <c r="G340" s="412"/>
      <c r="H340" s="412"/>
      <c r="I340" s="412"/>
      <c r="J340" s="412"/>
      <c r="K340" s="412"/>
      <c r="L340" s="412"/>
      <c r="M340" s="412"/>
      <c r="N340" s="412"/>
      <c r="O340" s="412"/>
      <c r="P340" s="412"/>
      <c r="Q340" s="412"/>
      <c r="R340" s="412"/>
      <c r="S340" s="412"/>
      <c r="T340" s="412"/>
      <c r="U340" s="412"/>
      <c r="V340" s="412"/>
      <c r="W340" s="412"/>
      <c r="X340" s="412"/>
      <c r="Y340" s="412"/>
      <c r="Z340" s="412"/>
    </row>
    <row r="341" ht="13.5" customHeight="1">
      <c r="A341" s="473"/>
      <c r="B341" s="412"/>
      <c r="C341" s="412"/>
      <c r="D341" s="412"/>
      <c r="E341" s="412"/>
      <c r="F341" s="412"/>
      <c r="G341" s="412"/>
      <c r="H341" s="412"/>
      <c r="I341" s="412"/>
      <c r="J341" s="412"/>
      <c r="K341" s="412"/>
      <c r="L341" s="412"/>
      <c r="M341" s="412"/>
      <c r="N341" s="412"/>
      <c r="O341" s="412"/>
      <c r="P341" s="412"/>
      <c r="Q341" s="412"/>
      <c r="R341" s="412"/>
      <c r="S341" s="412"/>
      <c r="T341" s="412"/>
      <c r="U341" s="412"/>
      <c r="V341" s="412"/>
      <c r="W341" s="412"/>
      <c r="X341" s="412"/>
      <c r="Y341" s="412"/>
      <c r="Z341" s="412"/>
    </row>
    <row r="342" ht="13.5" customHeight="1">
      <c r="A342" s="473"/>
      <c r="B342" s="412"/>
      <c r="C342" s="412"/>
      <c r="D342" s="412"/>
      <c r="E342" s="412"/>
      <c r="F342" s="412"/>
      <c r="G342" s="412"/>
      <c r="H342" s="412"/>
      <c r="I342" s="412"/>
      <c r="J342" s="412"/>
      <c r="K342" s="412"/>
      <c r="L342" s="412"/>
      <c r="M342" s="412"/>
      <c r="N342" s="412"/>
      <c r="O342" s="412"/>
      <c r="P342" s="412"/>
      <c r="Q342" s="412"/>
      <c r="R342" s="412"/>
      <c r="S342" s="412"/>
      <c r="T342" s="412"/>
      <c r="U342" s="412"/>
      <c r="V342" s="412"/>
      <c r="W342" s="412"/>
      <c r="X342" s="412"/>
      <c r="Y342" s="412"/>
      <c r="Z342" s="412"/>
    </row>
    <row r="343" ht="13.5" customHeight="1">
      <c r="A343" s="473"/>
      <c r="B343" s="412"/>
      <c r="C343" s="412"/>
      <c r="D343" s="412"/>
      <c r="E343" s="412"/>
      <c r="F343" s="412"/>
      <c r="G343" s="412"/>
      <c r="H343" s="412"/>
      <c r="I343" s="412"/>
      <c r="J343" s="412"/>
      <c r="K343" s="412"/>
      <c r="L343" s="412"/>
      <c r="M343" s="412"/>
      <c r="N343" s="412"/>
      <c r="O343" s="412"/>
      <c r="P343" s="412"/>
      <c r="Q343" s="412"/>
      <c r="R343" s="412"/>
      <c r="S343" s="412"/>
      <c r="T343" s="412"/>
      <c r="U343" s="412"/>
      <c r="V343" s="412"/>
      <c r="W343" s="412"/>
      <c r="X343" s="412"/>
      <c r="Y343" s="412"/>
      <c r="Z343" s="412"/>
    </row>
    <row r="344" ht="13.5" customHeight="1">
      <c r="A344" s="473"/>
      <c r="B344" s="412"/>
      <c r="C344" s="412"/>
      <c r="D344" s="412"/>
      <c r="E344" s="412"/>
      <c r="F344" s="412"/>
      <c r="G344" s="412"/>
      <c r="H344" s="412"/>
      <c r="I344" s="412"/>
      <c r="J344" s="412"/>
      <c r="K344" s="412"/>
      <c r="L344" s="412"/>
      <c r="M344" s="412"/>
      <c r="N344" s="412"/>
      <c r="O344" s="412"/>
      <c r="P344" s="412"/>
      <c r="Q344" s="412"/>
      <c r="R344" s="412"/>
      <c r="S344" s="412"/>
      <c r="T344" s="412"/>
      <c r="U344" s="412"/>
      <c r="V344" s="412"/>
      <c r="W344" s="412"/>
      <c r="X344" s="412"/>
      <c r="Y344" s="412"/>
      <c r="Z344" s="412"/>
    </row>
    <row r="345" ht="13.5" customHeight="1">
      <c r="A345" s="473"/>
      <c r="B345" s="412"/>
      <c r="C345" s="412"/>
      <c r="D345" s="412"/>
      <c r="E345" s="412"/>
      <c r="F345" s="412"/>
      <c r="G345" s="412"/>
      <c r="H345" s="412"/>
      <c r="I345" s="412"/>
      <c r="J345" s="412"/>
      <c r="K345" s="412"/>
      <c r="L345" s="412"/>
      <c r="M345" s="412"/>
      <c r="N345" s="412"/>
      <c r="O345" s="412"/>
      <c r="P345" s="412"/>
      <c r="Q345" s="412"/>
      <c r="R345" s="412"/>
      <c r="S345" s="412"/>
      <c r="T345" s="412"/>
      <c r="U345" s="412"/>
      <c r="V345" s="412"/>
      <c r="W345" s="412"/>
      <c r="X345" s="412"/>
      <c r="Y345" s="412"/>
      <c r="Z345" s="412"/>
    </row>
    <row r="346" ht="13.5" customHeight="1">
      <c r="A346" s="473"/>
      <c r="B346" s="412"/>
      <c r="C346" s="412"/>
      <c r="D346" s="412"/>
      <c r="E346" s="412"/>
      <c r="F346" s="412"/>
      <c r="G346" s="412"/>
      <c r="H346" s="412"/>
      <c r="I346" s="412"/>
      <c r="J346" s="412"/>
      <c r="K346" s="412"/>
      <c r="L346" s="412"/>
      <c r="M346" s="412"/>
      <c r="N346" s="412"/>
      <c r="O346" s="412"/>
      <c r="P346" s="412"/>
      <c r="Q346" s="412"/>
      <c r="R346" s="412"/>
      <c r="S346" s="412"/>
      <c r="T346" s="412"/>
      <c r="U346" s="412"/>
      <c r="V346" s="412"/>
      <c r="W346" s="412"/>
      <c r="X346" s="412"/>
      <c r="Y346" s="412"/>
      <c r="Z346" s="412"/>
    </row>
    <row r="347" ht="13.5" customHeight="1">
      <c r="A347" s="473"/>
      <c r="B347" s="412"/>
      <c r="C347" s="412"/>
      <c r="D347" s="412"/>
      <c r="E347" s="412"/>
      <c r="F347" s="412"/>
      <c r="G347" s="412"/>
      <c r="H347" s="412"/>
      <c r="I347" s="412"/>
      <c r="J347" s="412"/>
      <c r="K347" s="412"/>
      <c r="L347" s="412"/>
      <c r="M347" s="412"/>
      <c r="N347" s="412"/>
      <c r="O347" s="412"/>
      <c r="P347" s="412"/>
      <c r="Q347" s="412"/>
      <c r="R347" s="412"/>
      <c r="S347" s="412"/>
      <c r="T347" s="412"/>
      <c r="U347" s="412"/>
      <c r="V347" s="412"/>
      <c r="W347" s="412"/>
      <c r="X347" s="412"/>
      <c r="Y347" s="412"/>
      <c r="Z347" s="412"/>
    </row>
    <row r="348" ht="13.5" customHeight="1">
      <c r="A348" s="473"/>
      <c r="B348" s="412"/>
      <c r="C348" s="412"/>
      <c r="D348" s="412"/>
      <c r="E348" s="412"/>
      <c r="F348" s="412"/>
      <c r="G348" s="412"/>
      <c r="H348" s="412"/>
      <c r="I348" s="412"/>
      <c r="J348" s="412"/>
      <c r="K348" s="412"/>
      <c r="L348" s="412"/>
      <c r="M348" s="412"/>
      <c r="N348" s="412"/>
      <c r="O348" s="412"/>
      <c r="P348" s="412"/>
      <c r="Q348" s="412"/>
      <c r="R348" s="412"/>
      <c r="S348" s="412"/>
      <c r="T348" s="412"/>
      <c r="U348" s="412"/>
      <c r="V348" s="412"/>
      <c r="W348" s="412"/>
      <c r="X348" s="412"/>
      <c r="Y348" s="412"/>
      <c r="Z348" s="412"/>
    </row>
    <row r="349" ht="13.5" customHeight="1">
      <c r="A349" s="473"/>
      <c r="B349" s="412"/>
      <c r="C349" s="412"/>
      <c r="D349" s="412"/>
      <c r="E349" s="412"/>
      <c r="F349" s="412"/>
      <c r="G349" s="412"/>
      <c r="H349" s="412"/>
      <c r="I349" s="412"/>
      <c r="J349" s="412"/>
      <c r="K349" s="412"/>
      <c r="L349" s="412"/>
      <c r="M349" s="412"/>
      <c r="N349" s="412"/>
      <c r="O349" s="412"/>
      <c r="P349" s="412"/>
      <c r="Q349" s="412"/>
      <c r="R349" s="412"/>
      <c r="S349" s="412"/>
      <c r="T349" s="412"/>
      <c r="U349" s="412"/>
      <c r="V349" s="412"/>
      <c r="W349" s="412"/>
      <c r="X349" s="412"/>
      <c r="Y349" s="412"/>
      <c r="Z349" s="412"/>
    </row>
    <row r="350" ht="13.5" customHeight="1">
      <c r="A350" s="473"/>
      <c r="B350" s="412"/>
      <c r="C350" s="412"/>
      <c r="D350" s="412"/>
      <c r="E350" s="412"/>
      <c r="F350" s="412"/>
      <c r="G350" s="412"/>
      <c r="H350" s="412"/>
      <c r="I350" s="412"/>
      <c r="J350" s="412"/>
      <c r="K350" s="412"/>
      <c r="L350" s="412"/>
      <c r="M350" s="412"/>
      <c r="N350" s="412"/>
      <c r="O350" s="412"/>
      <c r="P350" s="412"/>
      <c r="Q350" s="412"/>
      <c r="R350" s="412"/>
      <c r="S350" s="412"/>
      <c r="T350" s="412"/>
      <c r="U350" s="412"/>
      <c r="V350" s="412"/>
      <c r="W350" s="412"/>
      <c r="X350" s="412"/>
      <c r="Y350" s="412"/>
      <c r="Z350" s="412"/>
    </row>
    <row r="351" ht="13.5" customHeight="1">
      <c r="A351" s="473"/>
      <c r="B351" s="412"/>
      <c r="C351" s="412"/>
      <c r="D351" s="412"/>
      <c r="E351" s="412"/>
      <c r="F351" s="412"/>
      <c r="G351" s="412"/>
      <c r="H351" s="412"/>
      <c r="I351" s="412"/>
      <c r="J351" s="412"/>
      <c r="K351" s="412"/>
      <c r="L351" s="412"/>
      <c r="M351" s="412"/>
      <c r="N351" s="412"/>
      <c r="O351" s="412"/>
      <c r="P351" s="412"/>
      <c r="Q351" s="412"/>
      <c r="R351" s="412"/>
      <c r="S351" s="412"/>
      <c r="T351" s="412"/>
      <c r="U351" s="412"/>
      <c r="V351" s="412"/>
      <c r="W351" s="412"/>
      <c r="X351" s="412"/>
      <c r="Y351" s="412"/>
      <c r="Z351" s="412"/>
    </row>
    <row r="352" ht="13.5" customHeight="1">
      <c r="A352" s="473"/>
      <c r="B352" s="412"/>
      <c r="C352" s="412"/>
      <c r="D352" s="412"/>
      <c r="E352" s="412"/>
      <c r="F352" s="412"/>
      <c r="G352" s="412"/>
      <c r="H352" s="412"/>
      <c r="I352" s="412"/>
      <c r="J352" s="412"/>
      <c r="K352" s="412"/>
      <c r="L352" s="412"/>
      <c r="M352" s="412"/>
      <c r="N352" s="412"/>
      <c r="O352" s="412"/>
      <c r="P352" s="412"/>
      <c r="Q352" s="412"/>
      <c r="R352" s="412"/>
      <c r="S352" s="412"/>
      <c r="T352" s="412"/>
      <c r="U352" s="412"/>
      <c r="V352" s="412"/>
      <c r="W352" s="412"/>
      <c r="X352" s="412"/>
      <c r="Y352" s="412"/>
      <c r="Z352" s="412"/>
    </row>
    <row r="353" ht="13.5" customHeight="1">
      <c r="A353" s="473"/>
      <c r="B353" s="412"/>
      <c r="C353" s="412"/>
      <c r="D353" s="412"/>
      <c r="E353" s="412"/>
      <c r="F353" s="412"/>
      <c r="G353" s="412"/>
      <c r="H353" s="412"/>
      <c r="I353" s="412"/>
      <c r="J353" s="412"/>
      <c r="K353" s="412"/>
      <c r="L353" s="412"/>
      <c r="M353" s="412"/>
      <c r="N353" s="412"/>
      <c r="O353" s="412"/>
      <c r="P353" s="412"/>
      <c r="Q353" s="412"/>
      <c r="R353" s="412"/>
      <c r="S353" s="412"/>
      <c r="T353" s="412"/>
      <c r="U353" s="412"/>
      <c r="V353" s="412"/>
      <c r="W353" s="412"/>
      <c r="X353" s="412"/>
      <c r="Y353" s="412"/>
      <c r="Z353" s="412"/>
    </row>
    <row r="354" ht="13.5" customHeight="1">
      <c r="A354" s="473"/>
      <c r="B354" s="412"/>
      <c r="C354" s="412"/>
      <c r="D354" s="412"/>
      <c r="E354" s="412"/>
      <c r="F354" s="412"/>
      <c r="G354" s="412"/>
      <c r="H354" s="412"/>
      <c r="I354" s="412"/>
      <c r="J354" s="412"/>
      <c r="K354" s="412"/>
      <c r="L354" s="412"/>
      <c r="M354" s="412"/>
      <c r="N354" s="412"/>
      <c r="O354" s="412"/>
      <c r="P354" s="412"/>
      <c r="Q354" s="412"/>
      <c r="R354" s="412"/>
      <c r="S354" s="412"/>
      <c r="T354" s="412"/>
      <c r="U354" s="412"/>
      <c r="V354" s="412"/>
      <c r="W354" s="412"/>
      <c r="X354" s="412"/>
      <c r="Y354" s="412"/>
      <c r="Z354" s="412"/>
    </row>
    <row r="355" ht="13.5" customHeight="1">
      <c r="A355" s="473"/>
      <c r="B355" s="412"/>
      <c r="C355" s="412"/>
      <c r="D355" s="412"/>
      <c r="E355" s="412"/>
      <c r="F355" s="412"/>
      <c r="G355" s="412"/>
      <c r="H355" s="412"/>
      <c r="I355" s="412"/>
      <c r="J355" s="412"/>
      <c r="K355" s="412"/>
      <c r="L355" s="412"/>
      <c r="M355" s="412"/>
      <c r="N355" s="412"/>
      <c r="O355" s="412"/>
      <c r="P355" s="412"/>
      <c r="Q355" s="412"/>
      <c r="R355" s="412"/>
      <c r="S355" s="412"/>
      <c r="T355" s="412"/>
      <c r="U355" s="412"/>
      <c r="V355" s="412"/>
      <c r="W355" s="412"/>
      <c r="X355" s="412"/>
      <c r="Y355" s="412"/>
      <c r="Z355" s="412"/>
    </row>
    <row r="356" ht="13.5" customHeight="1">
      <c r="A356" s="473"/>
      <c r="B356" s="412"/>
      <c r="C356" s="412"/>
      <c r="D356" s="412"/>
      <c r="E356" s="412"/>
      <c r="F356" s="412"/>
      <c r="G356" s="412"/>
      <c r="H356" s="412"/>
      <c r="I356" s="412"/>
      <c r="J356" s="412"/>
      <c r="K356" s="412"/>
      <c r="L356" s="412"/>
      <c r="M356" s="412"/>
      <c r="N356" s="412"/>
      <c r="O356" s="412"/>
      <c r="P356" s="412"/>
      <c r="Q356" s="412"/>
      <c r="R356" s="412"/>
      <c r="S356" s="412"/>
      <c r="T356" s="412"/>
      <c r="U356" s="412"/>
      <c r="V356" s="412"/>
      <c r="W356" s="412"/>
      <c r="X356" s="412"/>
      <c r="Y356" s="412"/>
      <c r="Z356" s="412"/>
    </row>
    <row r="357" ht="13.5" customHeight="1">
      <c r="A357" s="473"/>
      <c r="B357" s="412"/>
      <c r="C357" s="412"/>
      <c r="D357" s="412"/>
      <c r="E357" s="412"/>
      <c r="F357" s="412"/>
      <c r="G357" s="412"/>
      <c r="H357" s="412"/>
      <c r="I357" s="412"/>
      <c r="J357" s="412"/>
      <c r="K357" s="412"/>
      <c r="L357" s="412"/>
      <c r="M357" s="412"/>
      <c r="N357" s="412"/>
      <c r="O357" s="412"/>
      <c r="P357" s="412"/>
      <c r="Q357" s="412"/>
      <c r="R357" s="412"/>
      <c r="S357" s="412"/>
      <c r="T357" s="412"/>
      <c r="U357" s="412"/>
      <c r="V357" s="412"/>
      <c r="W357" s="412"/>
      <c r="X357" s="412"/>
      <c r="Y357" s="412"/>
      <c r="Z357" s="412"/>
    </row>
    <row r="358" ht="13.5" customHeight="1">
      <c r="A358" s="473"/>
      <c r="B358" s="412"/>
      <c r="C358" s="412"/>
      <c r="D358" s="412"/>
      <c r="E358" s="412"/>
      <c r="F358" s="412"/>
      <c r="G358" s="412"/>
      <c r="H358" s="412"/>
      <c r="I358" s="412"/>
      <c r="J358" s="412"/>
      <c r="K358" s="412"/>
      <c r="L358" s="412"/>
      <c r="M358" s="412"/>
      <c r="N358" s="412"/>
      <c r="O358" s="412"/>
      <c r="P358" s="412"/>
      <c r="Q358" s="412"/>
      <c r="R358" s="412"/>
      <c r="S358" s="412"/>
      <c r="T358" s="412"/>
      <c r="U358" s="412"/>
      <c r="V358" s="412"/>
      <c r="W358" s="412"/>
      <c r="X358" s="412"/>
      <c r="Y358" s="412"/>
      <c r="Z358" s="412"/>
    </row>
    <row r="359" ht="13.5" customHeight="1">
      <c r="A359" s="473"/>
      <c r="B359" s="412"/>
      <c r="C359" s="412"/>
      <c r="D359" s="412"/>
      <c r="E359" s="412"/>
      <c r="F359" s="412"/>
      <c r="G359" s="412"/>
      <c r="H359" s="412"/>
      <c r="I359" s="412"/>
      <c r="J359" s="412"/>
      <c r="K359" s="412"/>
      <c r="L359" s="412"/>
      <c r="M359" s="412"/>
      <c r="N359" s="412"/>
      <c r="O359" s="412"/>
      <c r="P359" s="412"/>
      <c r="Q359" s="412"/>
      <c r="R359" s="412"/>
      <c r="S359" s="412"/>
      <c r="T359" s="412"/>
      <c r="U359" s="412"/>
      <c r="V359" s="412"/>
      <c r="W359" s="412"/>
      <c r="X359" s="412"/>
      <c r="Y359" s="412"/>
      <c r="Z359" s="412"/>
    </row>
    <row r="360" ht="13.5" customHeight="1">
      <c r="A360" s="473"/>
      <c r="B360" s="412"/>
      <c r="C360" s="412"/>
      <c r="D360" s="412"/>
      <c r="E360" s="412"/>
      <c r="F360" s="412"/>
      <c r="G360" s="412"/>
      <c r="H360" s="412"/>
      <c r="I360" s="412"/>
      <c r="J360" s="412"/>
      <c r="K360" s="412"/>
      <c r="L360" s="412"/>
      <c r="M360" s="412"/>
      <c r="N360" s="412"/>
      <c r="O360" s="412"/>
      <c r="P360" s="412"/>
      <c r="Q360" s="412"/>
      <c r="R360" s="412"/>
      <c r="S360" s="412"/>
      <c r="T360" s="412"/>
      <c r="U360" s="412"/>
      <c r="V360" s="412"/>
      <c r="W360" s="412"/>
      <c r="X360" s="412"/>
      <c r="Y360" s="412"/>
      <c r="Z360" s="412"/>
    </row>
    <row r="361" ht="13.5" customHeight="1">
      <c r="A361" s="473"/>
      <c r="B361" s="412"/>
      <c r="C361" s="412"/>
      <c r="D361" s="412"/>
      <c r="E361" s="412"/>
      <c r="F361" s="412"/>
      <c r="G361" s="412"/>
      <c r="H361" s="412"/>
      <c r="I361" s="412"/>
      <c r="J361" s="412"/>
      <c r="K361" s="412"/>
      <c r="L361" s="412"/>
      <c r="M361" s="412"/>
      <c r="N361" s="412"/>
      <c r="O361" s="412"/>
      <c r="P361" s="412"/>
      <c r="Q361" s="412"/>
      <c r="R361" s="412"/>
      <c r="S361" s="412"/>
      <c r="T361" s="412"/>
      <c r="U361" s="412"/>
      <c r="V361" s="412"/>
      <c r="W361" s="412"/>
      <c r="X361" s="412"/>
      <c r="Y361" s="412"/>
      <c r="Z361" s="412"/>
    </row>
    <row r="362" ht="13.5" customHeight="1">
      <c r="A362" s="473"/>
      <c r="B362" s="412"/>
      <c r="C362" s="412"/>
      <c r="D362" s="412"/>
      <c r="E362" s="412"/>
      <c r="F362" s="412"/>
      <c r="G362" s="412"/>
      <c r="H362" s="412"/>
      <c r="I362" s="412"/>
      <c r="J362" s="412"/>
      <c r="K362" s="412"/>
      <c r="L362" s="412"/>
      <c r="M362" s="412"/>
      <c r="N362" s="412"/>
      <c r="O362" s="412"/>
      <c r="P362" s="412"/>
      <c r="Q362" s="412"/>
      <c r="R362" s="412"/>
      <c r="S362" s="412"/>
      <c r="T362" s="412"/>
      <c r="U362" s="412"/>
      <c r="V362" s="412"/>
      <c r="W362" s="412"/>
      <c r="X362" s="412"/>
      <c r="Y362" s="412"/>
      <c r="Z362" s="412"/>
    </row>
    <row r="363" ht="13.5" customHeight="1">
      <c r="A363" s="473"/>
      <c r="B363" s="412"/>
      <c r="C363" s="412"/>
      <c r="D363" s="412"/>
      <c r="E363" s="412"/>
      <c r="F363" s="412"/>
      <c r="G363" s="412"/>
      <c r="H363" s="412"/>
      <c r="I363" s="412"/>
      <c r="J363" s="412"/>
      <c r="K363" s="412"/>
      <c r="L363" s="412"/>
      <c r="M363" s="412"/>
      <c r="N363" s="412"/>
      <c r="O363" s="412"/>
      <c r="P363" s="412"/>
      <c r="Q363" s="412"/>
      <c r="R363" s="412"/>
      <c r="S363" s="412"/>
      <c r="T363" s="412"/>
      <c r="U363" s="412"/>
      <c r="V363" s="412"/>
      <c r="W363" s="412"/>
      <c r="X363" s="412"/>
      <c r="Y363" s="412"/>
      <c r="Z363" s="412"/>
    </row>
    <row r="364" ht="13.5" customHeight="1">
      <c r="A364" s="473"/>
      <c r="B364" s="412"/>
      <c r="C364" s="412"/>
      <c r="D364" s="412"/>
      <c r="E364" s="412"/>
      <c r="F364" s="412"/>
      <c r="G364" s="412"/>
      <c r="H364" s="412"/>
      <c r="I364" s="412"/>
      <c r="J364" s="412"/>
      <c r="K364" s="412"/>
      <c r="L364" s="412"/>
      <c r="M364" s="412"/>
      <c r="N364" s="412"/>
      <c r="O364" s="412"/>
      <c r="P364" s="412"/>
      <c r="Q364" s="412"/>
      <c r="R364" s="412"/>
      <c r="S364" s="412"/>
      <c r="T364" s="412"/>
      <c r="U364" s="412"/>
      <c r="V364" s="412"/>
      <c r="W364" s="412"/>
      <c r="X364" s="412"/>
      <c r="Y364" s="412"/>
      <c r="Z364" s="412"/>
    </row>
    <row r="365" ht="13.5" customHeight="1">
      <c r="A365" s="473"/>
      <c r="B365" s="412"/>
      <c r="C365" s="412"/>
      <c r="D365" s="412"/>
      <c r="E365" s="412"/>
      <c r="F365" s="412"/>
      <c r="G365" s="412"/>
      <c r="H365" s="412"/>
      <c r="I365" s="412"/>
      <c r="J365" s="412"/>
      <c r="K365" s="412"/>
      <c r="L365" s="412"/>
      <c r="M365" s="412"/>
      <c r="N365" s="412"/>
      <c r="O365" s="412"/>
      <c r="P365" s="412"/>
      <c r="Q365" s="412"/>
      <c r="R365" s="412"/>
      <c r="S365" s="412"/>
      <c r="T365" s="412"/>
      <c r="U365" s="412"/>
      <c r="V365" s="412"/>
      <c r="W365" s="412"/>
      <c r="X365" s="412"/>
      <c r="Y365" s="412"/>
      <c r="Z365" s="412"/>
    </row>
    <row r="366" ht="13.5" customHeight="1">
      <c r="A366" s="473"/>
      <c r="B366" s="412"/>
      <c r="C366" s="412"/>
      <c r="D366" s="412"/>
      <c r="E366" s="412"/>
      <c r="F366" s="412"/>
      <c r="G366" s="412"/>
      <c r="H366" s="412"/>
      <c r="I366" s="412"/>
      <c r="J366" s="412"/>
      <c r="K366" s="412"/>
      <c r="L366" s="412"/>
      <c r="M366" s="412"/>
      <c r="N366" s="412"/>
      <c r="O366" s="412"/>
      <c r="P366" s="412"/>
      <c r="Q366" s="412"/>
      <c r="R366" s="412"/>
      <c r="S366" s="412"/>
      <c r="T366" s="412"/>
      <c r="U366" s="412"/>
      <c r="V366" s="412"/>
      <c r="W366" s="412"/>
      <c r="X366" s="412"/>
      <c r="Y366" s="412"/>
      <c r="Z366" s="412"/>
    </row>
    <row r="367" ht="13.5" customHeight="1">
      <c r="A367" s="473"/>
      <c r="B367" s="412"/>
      <c r="C367" s="412"/>
      <c r="D367" s="412"/>
      <c r="E367" s="412"/>
      <c r="F367" s="412"/>
      <c r="G367" s="412"/>
      <c r="H367" s="412"/>
      <c r="I367" s="412"/>
      <c r="J367" s="412"/>
      <c r="K367" s="412"/>
      <c r="L367" s="412"/>
      <c r="M367" s="412"/>
      <c r="N367" s="412"/>
      <c r="O367" s="412"/>
      <c r="P367" s="412"/>
      <c r="Q367" s="412"/>
      <c r="R367" s="412"/>
      <c r="S367" s="412"/>
      <c r="T367" s="412"/>
      <c r="U367" s="412"/>
      <c r="V367" s="412"/>
      <c r="W367" s="412"/>
      <c r="X367" s="412"/>
      <c r="Y367" s="412"/>
      <c r="Z367" s="412"/>
    </row>
    <row r="368" ht="13.5" customHeight="1">
      <c r="A368" s="473"/>
      <c r="B368" s="412"/>
      <c r="C368" s="412"/>
      <c r="D368" s="412"/>
      <c r="E368" s="412"/>
      <c r="F368" s="412"/>
      <c r="G368" s="412"/>
      <c r="H368" s="412"/>
      <c r="I368" s="412"/>
      <c r="J368" s="412"/>
      <c r="K368" s="412"/>
      <c r="L368" s="412"/>
      <c r="M368" s="412"/>
      <c r="N368" s="412"/>
      <c r="O368" s="412"/>
      <c r="P368" s="412"/>
      <c r="Q368" s="412"/>
      <c r="R368" s="412"/>
      <c r="S368" s="412"/>
      <c r="T368" s="412"/>
      <c r="U368" s="412"/>
      <c r="V368" s="412"/>
      <c r="W368" s="412"/>
      <c r="X368" s="412"/>
      <c r="Y368" s="412"/>
      <c r="Z368" s="412"/>
    </row>
    <row r="369" ht="13.5" customHeight="1">
      <c r="A369" s="473"/>
      <c r="B369" s="412"/>
      <c r="C369" s="412"/>
      <c r="D369" s="412"/>
      <c r="E369" s="412"/>
      <c r="F369" s="412"/>
      <c r="G369" s="412"/>
      <c r="H369" s="412"/>
      <c r="I369" s="412"/>
      <c r="J369" s="412"/>
      <c r="K369" s="412"/>
      <c r="L369" s="412"/>
      <c r="M369" s="412"/>
      <c r="N369" s="412"/>
      <c r="O369" s="412"/>
      <c r="P369" s="412"/>
      <c r="Q369" s="412"/>
      <c r="R369" s="412"/>
      <c r="S369" s="412"/>
      <c r="T369" s="412"/>
      <c r="U369" s="412"/>
      <c r="V369" s="412"/>
      <c r="W369" s="412"/>
      <c r="X369" s="412"/>
      <c r="Y369" s="412"/>
      <c r="Z369" s="412"/>
    </row>
    <row r="370" ht="13.5" customHeight="1">
      <c r="A370" s="473"/>
      <c r="B370" s="412"/>
      <c r="C370" s="412"/>
      <c r="D370" s="412"/>
      <c r="E370" s="412"/>
      <c r="F370" s="412"/>
      <c r="G370" s="412"/>
      <c r="H370" s="412"/>
      <c r="I370" s="412"/>
      <c r="J370" s="412"/>
      <c r="K370" s="412"/>
      <c r="L370" s="412"/>
      <c r="M370" s="412"/>
      <c r="N370" s="412"/>
      <c r="O370" s="412"/>
      <c r="P370" s="412"/>
      <c r="Q370" s="412"/>
      <c r="R370" s="412"/>
      <c r="S370" s="412"/>
      <c r="T370" s="412"/>
      <c r="U370" s="412"/>
      <c r="V370" s="412"/>
      <c r="W370" s="412"/>
      <c r="X370" s="412"/>
      <c r="Y370" s="412"/>
      <c r="Z370" s="412"/>
    </row>
    <row r="371" ht="13.5" customHeight="1">
      <c r="A371" s="473"/>
      <c r="B371" s="412"/>
      <c r="C371" s="412"/>
      <c r="D371" s="412"/>
      <c r="E371" s="412"/>
      <c r="F371" s="412"/>
      <c r="G371" s="412"/>
      <c r="H371" s="412"/>
      <c r="I371" s="412"/>
      <c r="J371" s="412"/>
      <c r="K371" s="412"/>
      <c r="L371" s="412"/>
      <c r="M371" s="412"/>
      <c r="N371" s="412"/>
      <c r="O371" s="412"/>
      <c r="P371" s="412"/>
      <c r="Q371" s="412"/>
      <c r="R371" s="412"/>
      <c r="S371" s="412"/>
      <c r="T371" s="412"/>
      <c r="U371" s="412"/>
      <c r="V371" s="412"/>
      <c r="W371" s="412"/>
      <c r="X371" s="412"/>
      <c r="Y371" s="412"/>
      <c r="Z371" s="412"/>
    </row>
    <row r="372" ht="13.5" customHeight="1">
      <c r="A372" s="473"/>
      <c r="B372" s="412"/>
      <c r="C372" s="412"/>
      <c r="D372" s="412"/>
      <c r="E372" s="412"/>
      <c r="F372" s="412"/>
      <c r="G372" s="412"/>
      <c r="H372" s="412"/>
      <c r="I372" s="412"/>
      <c r="J372" s="412"/>
      <c r="K372" s="412"/>
      <c r="L372" s="412"/>
      <c r="M372" s="412"/>
      <c r="N372" s="412"/>
      <c r="O372" s="412"/>
      <c r="P372" s="412"/>
      <c r="Q372" s="412"/>
      <c r="R372" s="412"/>
      <c r="S372" s="412"/>
      <c r="T372" s="412"/>
      <c r="U372" s="412"/>
      <c r="V372" s="412"/>
      <c r="W372" s="412"/>
      <c r="X372" s="412"/>
      <c r="Y372" s="412"/>
      <c r="Z372" s="412"/>
    </row>
    <row r="373" ht="13.5" customHeight="1">
      <c r="A373" s="473"/>
      <c r="B373" s="412"/>
      <c r="C373" s="412"/>
      <c r="D373" s="412"/>
      <c r="E373" s="412"/>
      <c r="F373" s="412"/>
      <c r="G373" s="412"/>
      <c r="H373" s="412"/>
      <c r="I373" s="412"/>
      <c r="J373" s="412"/>
      <c r="K373" s="412"/>
      <c r="L373" s="412"/>
      <c r="M373" s="412"/>
      <c r="N373" s="412"/>
      <c r="O373" s="412"/>
      <c r="P373" s="412"/>
      <c r="Q373" s="412"/>
      <c r="R373" s="412"/>
      <c r="S373" s="412"/>
      <c r="T373" s="412"/>
      <c r="U373" s="412"/>
      <c r="V373" s="412"/>
      <c r="W373" s="412"/>
      <c r="X373" s="412"/>
      <c r="Y373" s="412"/>
      <c r="Z373" s="412"/>
    </row>
    <row r="374" ht="13.5" customHeight="1">
      <c r="A374" s="473"/>
      <c r="B374" s="412"/>
      <c r="C374" s="412"/>
      <c r="D374" s="412"/>
      <c r="E374" s="412"/>
      <c r="F374" s="412"/>
      <c r="G374" s="412"/>
      <c r="H374" s="412"/>
      <c r="I374" s="412"/>
      <c r="J374" s="412"/>
      <c r="K374" s="412"/>
      <c r="L374" s="412"/>
      <c r="M374" s="412"/>
      <c r="N374" s="412"/>
      <c r="O374" s="412"/>
      <c r="P374" s="412"/>
      <c r="Q374" s="412"/>
      <c r="R374" s="412"/>
      <c r="S374" s="412"/>
      <c r="T374" s="412"/>
      <c r="U374" s="412"/>
      <c r="V374" s="412"/>
      <c r="W374" s="412"/>
      <c r="X374" s="412"/>
      <c r="Y374" s="412"/>
      <c r="Z374" s="412"/>
    </row>
    <row r="375" ht="13.5" customHeight="1">
      <c r="A375" s="473"/>
      <c r="B375" s="412"/>
      <c r="C375" s="412"/>
      <c r="D375" s="412"/>
      <c r="E375" s="412"/>
      <c r="F375" s="412"/>
      <c r="G375" s="412"/>
      <c r="H375" s="412"/>
      <c r="I375" s="412"/>
      <c r="J375" s="412"/>
      <c r="K375" s="412"/>
      <c r="L375" s="412"/>
      <c r="M375" s="412"/>
      <c r="N375" s="412"/>
      <c r="O375" s="412"/>
      <c r="P375" s="412"/>
      <c r="Q375" s="412"/>
      <c r="R375" s="412"/>
      <c r="S375" s="412"/>
      <c r="T375" s="412"/>
      <c r="U375" s="412"/>
      <c r="V375" s="412"/>
      <c r="W375" s="412"/>
      <c r="X375" s="412"/>
      <c r="Y375" s="412"/>
      <c r="Z375" s="412"/>
    </row>
    <row r="376" ht="13.5" customHeight="1">
      <c r="A376" s="473"/>
      <c r="B376" s="412"/>
      <c r="C376" s="412"/>
      <c r="D376" s="412"/>
      <c r="E376" s="412"/>
      <c r="F376" s="412"/>
      <c r="G376" s="412"/>
      <c r="H376" s="412"/>
      <c r="I376" s="412"/>
      <c r="J376" s="412"/>
      <c r="K376" s="412"/>
      <c r="L376" s="412"/>
      <c r="M376" s="412"/>
      <c r="N376" s="412"/>
      <c r="O376" s="412"/>
      <c r="P376" s="412"/>
      <c r="Q376" s="412"/>
      <c r="R376" s="412"/>
      <c r="S376" s="412"/>
      <c r="T376" s="412"/>
      <c r="U376" s="412"/>
      <c r="V376" s="412"/>
      <c r="W376" s="412"/>
      <c r="X376" s="412"/>
      <c r="Y376" s="412"/>
      <c r="Z376" s="412"/>
    </row>
    <row r="377" ht="13.5" customHeight="1">
      <c r="A377" s="473"/>
      <c r="B377" s="412"/>
      <c r="C377" s="412"/>
      <c r="D377" s="412"/>
      <c r="E377" s="412"/>
      <c r="F377" s="412"/>
      <c r="G377" s="412"/>
      <c r="H377" s="412"/>
      <c r="I377" s="412"/>
      <c r="J377" s="412"/>
      <c r="K377" s="412"/>
      <c r="L377" s="412"/>
      <c r="M377" s="412"/>
      <c r="N377" s="412"/>
      <c r="O377" s="412"/>
      <c r="P377" s="412"/>
      <c r="Q377" s="412"/>
      <c r="R377" s="412"/>
      <c r="S377" s="412"/>
      <c r="T377" s="412"/>
      <c r="U377" s="412"/>
      <c r="V377" s="412"/>
      <c r="W377" s="412"/>
      <c r="X377" s="412"/>
      <c r="Y377" s="412"/>
      <c r="Z377" s="412"/>
    </row>
    <row r="378" ht="13.5" customHeight="1">
      <c r="A378" s="473"/>
      <c r="B378" s="412"/>
      <c r="C378" s="412"/>
      <c r="D378" s="412"/>
      <c r="E378" s="412"/>
      <c r="F378" s="412"/>
      <c r="G378" s="412"/>
      <c r="H378" s="412"/>
      <c r="I378" s="412"/>
      <c r="J378" s="412"/>
      <c r="K378" s="412"/>
      <c r="L378" s="412"/>
      <c r="M378" s="412"/>
      <c r="N378" s="412"/>
      <c r="O378" s="412"/>
      <c r="P378" s="412"/>
      <c r="Q378" s="412"/>
      <c r="R378" s="412"/>
      <c r="S378" s="412"/>
      <c r="T378" s="412"/>
      <c r="U378" s="412"/>
      <c r="V378" s="412"/>
      <c r="W378" s="412"/>
      <c r="X378" s="412"/>
      <c r="Y378" s="412"/>
      <c r="Z378" s="412"/>
    </row>
    <row r="379" ht="13.5" customHeight="1">
      <c r="A379" s="473"/>
      <c r="B379" s="412"/>
      <c r="C379" s="412"/>
      <c r="D379" s="412"/>
      <c r="E379" s="412"/>
      <c r="F379" s="412"/>
      <c r="G379" s="412"/>
      <c r="H379" s="412"/>
      <c r="I379" s="412"/>
      <c r="J379" s="412"/>
      <c r="K379" s="412"/>
      <c r="L379" s="412"/>
      <c r="M379" s="412"/>
      <c r="N379" s="412"/>
      <c r="O379" s="412"/>
      <c r="P379" s="412"/>
      <c r="Q379" s="412"/>
      <c r="R379" s="412"/>
      <c r="S379" s="412"/>
      <c r="T379" s="412"/>
      <c r="U379" s="412"/>
      <c r="V379" s="412"/>
      <c r="W379" s="412"/>
      <c r="X379" s="412"/>
      <c r="Y379" s="412"/>
      <c r="Z379" s="412"/>
    </row>
    <row r="380" ht="13.5" customHeight="1">
      <c r="A380" s="473"/>
      <c r="B380" s="412"/>
      <c r="C380" s="412"/>
      <c r="D380" s="412"/>
      <c r="E380" s="412"/>
      <c r="F380" s="412"/>
      <c r="G380" s="412"/>
      <c r="H380" s="412"/>
      <c r="I380" s="412"/>
      <c r="J380" s="412"/>
      <c r="K380" s="412"/>
      <c r="L380" s="412"/>
      <c r="M380" s="412"/>
      <c r="N380" s="412"/>
      <c r="O380" s="412"/>
      <c r="P380" s="412"/>
      <c r="Q380" s="412"/>
      <c r="R380" s="412"/>
      <c r="S380" s="412"/>
      <c r="T380" s="412"/>
      <c r="U380" s="412"/>
      <c r="V380" s="412"/>
      <c r="W380" s="412"/>
      <c r="X380" s="412"/>
      <c r="Y380" s="412"/>
      <c r="Z380" s="412"/>
    </row>
    <row r="381" ht="13.5" customHeight="1">
      <c r="A381" s="473"/>
      <c r="B381" s="412"/>
      <c r="C381" s="412"/>
      <c r="D381" s="412"/>
      <c r="E381" s="412"/>
      <c r="F381" s="412"/>
      <c r="G381" s="412"/>
      <c r="H381" s="412"/>
      <c r="I381" s="412"/>
      <c r="J381" s="412"/>
      <c r="K381" s="412"/>
      <c r="L381" s="412"/>
      <c r="M381" s="412"/>
      <c r="N381" s="412"/>
      <c r="O381" s="412"/>
      <c r="P381" s="412"/>
      <c r="Q381" s="412"/>
      <c r="R381" s="412"/>
      <c r="S381" s="412"/>
      <c r="T381" s="412"/>
      <c r="U381" s="412"/>
      <c r="V381" s="412"/>
      <c r="W381" s="412"/>
      <c r="X381" s="412"/>
      <c r="Y381" s="412"/>
      <c r="Z381" s="412"/>
    </row>
    <row r="382" ht="13.5" customHeight="1">
      <c r="A382" s="473"/>
      <c r="B382" s="412"/>
      <c r="C382" s="412"/>
      <c r="D382" s="412"/>
      <c r="E382" s="412"/>
      <c r="F382" s="412"/>
      <c r="G382" s="412"/>
      <c r="H382" s="412"/>
      <c r="I382" s="412"/>
      <c r="J382" s="412"/>
      <c r="K382" s="412"/>
      <c r="L382" s="412"/>
      <c r="M382" s="412"/>
      <c r="N382" s="412"/>
      <c r="O382" s="412"/>
      <c r="P382" s="412"/>
      <c r="Q382" s="412"/>
      <c r="R382" s="412"/>
      <c r="S382" s="412"/>
      <c r="T382" s="412"/>
      <c r="U382" s="412"/>
      <c r="V382" s="412"/>
      <c r="W382" s="412"/>
      <c r="X382" s="412"/>
      <c r="Y382" s="412"/>
      <c r="Z382" s="412"/>
    </row>
    <row r="383" ht="13.5" customHeight="1">
      <c r="A383" s="473"/>
      <c r="B383" s="412"/>
      <c r="C383" s="412"/>
      <c r="D383" s="412"/>
      <c r="E383" s="412"/>
      <c r="F383" s="412"/>
      <c r="G383" s="412"/>
      <c r="H383" s="412"/>
      <c r="I383" s="412"/>
      <c r="J383" s="412"/>
      <c r="K383" s="412"/>
      <c r="L383" s="412"/>
      <c r="M383" s="412"/>
      <c r="N383" s="412"/>
      <c r="O383" s="412"/>
      <c r="P383" s="412"/>
      <c r="Q383" s="412"/>
      <c r="R383" s="412"/>
      <c r="S383" s="412"/>
      <c r="T383" s="412"/>
      <c r="U383" s="412"/>
      <c r="V383" s="412"/>
      <c r="W383" s="412"/>
      <c r="X383" s="412"/>
      <c r="Y383" s="412"/>
      <c r="Z383" s="412"/>
    </row>
    <row r="384" ht="13.5" customHeight="1">
      <c r="A384" s="473"/>
      <c r="B384" s="412"/>
      <c r="C384" s="412"/>
      <c r="D384" s="412"/>
      <c r="E384" s="412"/>
      <c r="F384" s="412"/>
      <c r="G384" s="412"/>
      <c r="H384" s="412"/>
      <c r="I384" s="412"/>
      <c r="J384" s="412"/>
      <c r="K384" s="412"/>
      <c r="L384" s="412"/>
      <c r="M384" s="412"/>
      <c r="N384" s="412"/>
      <c r="O384" s="412"/>
      <c r="P384" s="412"/>
      <c r="Q384" s="412"/>
      <c r="R384" s="412"/>
      <c r="S384" s="412"/>
      <c r="T384" s="412"/>
      <c r="U384" s="412"/>
      <c r="V384" s="412"/>
      <c r="W384" s="412"/>
      <c r="X384" s="412"/>
      <c r="Y384" s="412"/>
      <c r="Z384" s="412"/>
    </row>
    <row r="385" ht="13.5" customHeight="1">
      <c r="A385" s="473"/>
      <c r="B385" s="412"/>
      <c r="C385" s="412"/>
      <c r="D385" s="412"/>
      <c r="E385" s="412"/>
      <c r="F385" s="412"/>
      <c r="G385" s="412"/>
      <c r="H385" s="412"/>
      <c r="I385" s="412"/>
      <c r="J385" s="412"/>
      <c r="K385" s="412"/>
      <c r="L385" s="412"/>
      <c r="M385" s="412"/>
      <c r="N385" s="412"/>
      <c r="O385" s="412"/>
      <c r="P385" s="412"/>
      <c r="Q385" s="412"/>
      <c r="R385" s="412"/>
      <c r="S385" s="412"/>
      <c r="T385" s="412"/>
      <c r="U385" s="412"/>
      <c r="V385" s="412"/>
      <c r="W385" s="412"/>
      <c r="X385" s="412"/>
      <c r="Y385" s="412"/>
      <c r="Z385" s="412"/>
    </row>
    <row r="386" ht="13.5" customHeight="1">
      <c r="A386" s="473"/>
      <c r="B386" s="412"/>
      <c r="C386" s="412"/>
      <c r="D386" s="412"/>
      <c r="E386" s="412"/>
      <c r="F386" s="412"/>
      <c r="G386" s="412"/>
      <c r="H386" s="412"/>
      <c r="I386" s="412"/>
      <c r="J386" s="412"/>
      <c r="K386" s="412"/>
      <c r="L386" s="412"/>
      <c r="M386" s="412"/>
      <c r="N386" s="412"/>
      <c r="O386" s="412"/>
      <c r="P386" s="412"/>
      <c r="Q386" s="412"/>
      <c r="R386" s="412"/>
      <c r="S386" s="412"/>
      <c r="T386" s="412"/>
      <c r="U386" s="412"/>
      <c r="V386" s="412"/>
      <c r="W386" s="412"/>
      <c r="X386" s="412"/>
      <c r="Y386" s="412"/>
      <c r="Z386" s="412"/>
    </row>
    <row r="387" ht="13.5" customHeight="1">
      <c r="A387" s="473"/>
      <c r="B387" s="412"/>
      <c r="C387" s="412"/>
      <c r="D387" s="412"/>
      <c r="E387" s="412"/>
      <c r="F387" s="412"/>
      <c r="G387" s="412"/>
      <c r="H387" s="412"/>
      <c r="I387" s="412"/>
      <c r="J387" s="412"/>
      <c r="K387" s="412"/>
      <c r="L387" s="412"/>
      <c r="M387" s="412"/>
      <c r="N387" s="412"/>
      <c r="O387" s="412"/>
      <c r="P387" s="412"/>
      <c r="Q387" s="412"/>
      <c r="R387" s="412"/>
      <c r="S387" s="412"/>
      <c r="T387" s="412"/>
      <c r="U387" s="412"/>
      <c r="V387" s="412"/>
      <c r="W387" s="412"/>
      <c r="X387" s="412"/>
      <c r="Y387" s="412"/>
      <c r="Z387" s="412"/>
    </row>
    <row r="388" ht="13.5" customHeight="1">
      <c r="A388" s="473"/>
      <c r="B388" s="412"/>
      <c r="C388" s="412"/>
      <c r="D388" s="412"/>
      <c r="E388" s="412"/>
      <c r="F388" s="412"/>
      <c r="G388" s="412"/>
      <c r="H388" s="412"/>
      <c r="I388" s="412"/>
      <c r="J388" s="412"/>
      <c r="K388" s="412"/>
      <c r="L388" s="412"/>
      <c r="M388" s="412"/>
      <c r="N388" s="412"/>
      <c r="O388" s="412"/>
      <c r="P388" s="412"/>
      <c r="Q388" s="412"/>
      <c r="R388" s="412"/>
      <c r="S388" s="412"/>
      <c r="T388" s="412"/>
      <c r="U388" s="412"/>
      <c r="V388" s="412"/>
      <c r="W388" s="412"/>
      <c r="X388" s="412"/>
      <c r="Y388" s="412"/>
      <c r="Z388" s="412"/>
    </row>
    <row r="389" ht="13.5" customHeight="1">
      <c r="A389" s="473"/>
      <c r="B389" s="412"/>
      <c r="C389" s="412"/>
      <c r="D389" s="412"/>
      <c r="E389" s="412"/>
      <c r="F389" s="412"/>
      <c r="G389" s="412"/>
      <c r="H389" s="412"/>
      <c r="I389" s="412"/>
      <c r="J389" s="412"/>
      <c r="K389" s="412"/>
      <c r="L389" s="412"/>
      <c r="M389" s="412"/>
      <c r="N389" s="412"/>
      <c r="O389" s="412"/>
      <c r="P389" s="412"/>
      <c r="Q389" s="412"/>
      <c r="R389" s="412"/>
      <c r="S389" s="412"/>
      <c r="T389" s="412"/>
      <c r="U389" s="412"/>
      <c r="V389" s="412"/>
      <c r="W389" s="412"/>
      <c r="X389" s="412"/>
      <c r="Y389" s="412"/>
      <c r="Z389" s="412"/>
    </row>
    <row r="390" ht="13.5" customHeight="1">
      <c r="A390" s="473"/>
      <c r="B390" s="412"/>
      <c r="C390" s="412"/>
      <c r="D390" s="412"/>
      <c r="E390" s="412"/>
      <c r="F390" s="412"/>
      <c r="G390" s="412"/>
      <c r="H390" s="412"/>
      <c r="I390" s="412"/>
      <c r="J390" s="412"/>
      <c r="K390" s="412"/>
      <c r="L390" s="412"/>
      <c r="M390" s="412"/>
      <c r="N390" s="412"/>
      <c r="O390" s="412"/>
      <c r="P390" s="412"/>
      <c r="Q390" s="412"/>
      <c r="R390" s="412"/>
      <c r="S390" s="412"/>
      <c r="T390" s="412"/>
      <c r="U390" s="412"/>
      <c r="V390" s="412"/>
      <c r="W390" s="412"/>
      <c r="X390" s="412"/>
      <c r="Y390" s="412"/>
      <c r="Z390" s="412"/>
    </row>
    <row r="391" ht="13.5" customHeight="1">
      <c r="A391" s="473"/>
      <c r="B391" s="412"/>
      <c r="C391" s="412"/>
      <c r="D391" s="412"/>
      <c r="E391" s="412"/>
      <c r="F391" s="412"/>
      <c r="G391" s="412"/>
      <c r="H391" s="412"/>
      <c r="I391" s="412"/>
      <c r="J391" s="412"/>
      <c r="K391" s="412"/>
      <c r="L391" s="412"/>
      <c r="M391" s="412"/>
      <c r="N391" s="412"/>
      <c r="O391" s="412"/>
      <c r="P391" s="412"/>
      <c r="Q391" s="412"/>
      <c r="R391" s="412"/>
      <c r="S391" s="412"/>
      <c r="T391" s="412"/>
      <c r="U391" s="412"/>
      <c r="V391" s="412"/>
      <c r="W391" s="412"/>
      <c r="X391" s="412"/>
      <c r="Y391" s="412"/>
      <c r="Z391" s="412"/>
    </row>
    <row r="392" ht="13.5" customHeight="1">
      <c r="A392" s="473"/>
      <c r="B392" s="412"/>
      <c r="C392" s="412"/>
      <c r="D392" s="412"/>
      <c r="E392" s="412"/>
      <c r="F392" s="412"/>
      <c r="G392" s="412"/>
      <c r="H392" s="412"/>
      <c r="I392" s="412"/>
      <c r="J392" s="412"/>
      <c r="K392" s="412"/>
      <c r="L392" s="412"/>
      <c r="M392" s="412"/>
      <c r="N392" s="412"/>
      <c r="O392" s="412"/>
      <c r="P392" s="412"/>
      <c r="Q392" s="412"/>
      <c r="R392" s="412"/>
      <c r="S392" s="412"/>
      <c r="T392" s="412"/>
      <c r="U392" s="412"/>
      <c r="V392" s="412"/>
      <c r="W392" s="412"/>
      <c r="X392" s="412"/>
      <c r="Y392" s="412"/>
      <c r="Z392" s="412"/>
    </row>
    <row r="393" ht="13.5" customHeight="1">
      <c r="A393" s="473"/>
      <c r="B393" s="412"/>
      <c r="C393" s="412"/>
      <c r="D393" s="412"/>
      <c r="E393" s="412"/>
      <c r="F393" s="412"/>
      <c r="G393" s="412"/>
      <c r="H393" s="412"/>
      <c r="I393" s="412"/>
      <c r="J393" s="412"/>
      <c r="K393" s="412"/>
      <c r="L393" s="412"/>
      <c r="M393" s="412"/>
      <c r="N393" s="412"/>
      <c r="O393" s="412"/>
      <c r="P393" s="412"/>
      <c r="Q393" s="412"/>
      <c r="R393" s="412"/>
      <c r="S393" s="412"/>
      <c r="T393" s="412"/>
      <c r="U393" s="412"/>
      <c r="V393" s="412"/>
      <c r="W393" s="412"/>
      <c r="X393" s="412"/>
      <c r="Y393" s="412"/>
      <c r="Z393" s="412"/>
    </row>
    <row r="394" ht="13.5" customHeight="1">
      <c r="A394" s="473"/>
      <c r="B394" s="412"/>
      <c r="C394" s="412"/>
      <c r="D394" s="412"/>
      <c r="E394" s="412"/>
      <c r="F394" s="412"/>
      <c r="G394" s="412"/>
      <c r="H394" s="412"/>
      <c r="I394" s="412"/>
      <c r="J394" s="412"/>
      <c r="K394" s="412"/>
      <c r="L394" s="412"/>
      <c r="M394" s="412"/>
      <c r="N394" s="412"/>
      <c r="O394" s="412"/>
      <c r="P394" s="412"/>
      <c r="Q394" s="412"/>
      <c r="R394" s="412"/>
      <c r="S394" s="412"/>
      <c r="T394" s="412"/>
      <c r="U394" s="412"/>
      <c r="V394" s="412"/>
      <c r="W394" s="412"/>
      <c r="X394" s="412"/>
      <c r="Y394" s="412"/>
      <c r="Z394" s="412"/>
    </row>
    <row r="395" ht="13.5" customHeight="1">
      <c r="A395" s="473"/>
      <c r="B395" s="412"/>
      <c r="C395" s="412"/>
      <c r="D395" s="412"/>
      <c r="E395" s="412"/>
      <c r="F395" s="412"/>
      <c r="G395" s="412"/>
      <c r="H395" s="412"/>
      <c r="I395" s="412"/>
      <c r="J395" s="412"/>
      <c r="K395" s="412"/>
      <c r="L395" s="412"/>
      <c r="M395" s="412"/>
      <c r="N395" s="412"/>
      <c r="O395" s="412"/>
      <c r="P395" s="412"/>
      <c r="Q395" s="412"/>
      <c r="R395" s="412"/>
      <c r="S395" s="412"/>
      <c r="T395" s="412"/>
      <c r="U395" s="412"/>
      <c r="V395" s="412"/>
      <c r="W395" s="412"/>
      <c r="X395" s="412"/>
      <c r="Y395" s="412"/>
      <c r="Z395" s="412"/>
    </row>
    <row r="396" ht="13.5" customHeight="1">
      <c r="A396" s="473"/>
      <c r="B396" s="412"/>
      <c r="C396" s="412"/>
      <c r="D396" s="412"/>
      <c r="E396" s="412"/>
      <c r="F396" s="412"/>
      <c r="G396" s="412"/>
      <c r="H396" s="412"/>
      <c r="I396" s="412"/>
      <c r="J396" s="412"/>
      <c r="K396" s="412"/>
      <c r="L396" s="412"/>
      <c r="M396" s="412"/>
      <c r="N396" s="412"/>
      <c r="O396" s="412"/>
      <c r="P396" s="412"/>
      <c r="Q396" s="412"/>
      <c r="R396" s="412"/>
      <c r="S396" s="412"/>
      <c r="T396" s="412"/>
      <c r="U396" s="412"/>
      <c r="V396" s="412"/>
      <c r="W396" s="412"/>
      <c r="X396" s="412"/>
      <c r="Y396" s="412"/>
      <c r="Z396" s="412"/>
    </row>
    <row r="397" ht="13.5" customHeight="1">
      <c r="A397" s="473"/>
      <c r="B397" s="412"/>
      <c r="C397" s="412"/>
      <c r="D397" s="412"/>
      <c r="E397" s="412"/>
      <c r="F397" s="412"/>
      <c r="G397" s="412"/>
      <c r="H397" s="412"/>
      <c r="I397" s="412"/>
      <c r="J397" s="412"/>
      <c r="K397" s="412"/>
      <c r="L397" s="412"/>
      <c r="M397" s="412"/>
      <c r="N397" s="412"/>
      <c r="O397" s="412"/>
      <c r="P397" s="412"/>
      <c r="Q397" s="412"/>
      <c r="R397" s="412"/>
      <c r="S397" s="412"/>
      <c r="T397" s="412"/>
      <c r="U397" s="412"/>
      <c r="V397" s="412"/>
      <c r="W397" s="412"/>
      <c r="X397" s="412"/>
      <c r="Y397" s="412"/>
      <c r="Z397" s="412"/>
    </row>
    <row r="398" ht="13.5" customHeight="1">
      <c r="A398" s="473"/>
      <c r="B398" s="412"/>
      <c r="C398" s="412"/>
      <c r="D398" s="412"/>
      <c r="E398" s="412"/>
      <c r="F398" s="412"/>
      <c r="G398" s="412"/>
      <c r="H398" s="412"/>
      <c r="I398" s="412"/>
      <c r="J398" s="412"/>
      <c r="K398" s="412"/>
      <c r="L398" s="412"/>
      <c r="M398" s="412"/>
      <c r="N398" s="412"/>
      <c r="O398" s="412"/>
      <c r="P398" s="412"/>
      <c r="Q398" s="412"/>
      <c r="R398" s="412"/>
      <c r="S398" s="412"/>
      <c r="T398" s="412"/>
      <c r="U398" s="412"/>
      <c r="V398" s="412"/>
      <c r="W398" s="412"/>
      <c r="X398" s="412"/>
      <c r="Y398" s="412"/>
      <c r="Z398" s="412"/>
    </row>
    <row r="399" ht="13.5" customHeight="1">
      <c r="A399" s="473"/>
      <c r="B399" s="412"/>
      <c r="C399" s="412"/>
      <c r="D399" s="412"/>
      <c r="E399" s="412"/>
      <c r="F399" s="412"/>
      <c r="G399" s="412"/>
      <c r="H399" s="412"/>
      <c r="I399" s="412"/>
      <c r="J399" s="412"/>
      <c r="K399" s="412"/>
      <c r="L399" s="412"/>
      <c r="M399" s="412"/>
      <c r="N399" s="412"/>
      <c r="O399" s="412"/>
      <c r="P399" s="412"/>
      <c r="Q399" s="412"/>
      <c r="R399" s="412"/>
      <c r="S399" s="412"/>
      <c r="T399" s="412"/>
      <c r="U399" s="412"/>
      <c r="V399" s="412"/>
      <c r="W399" s="412"/>
      <c r="X399" s="412"/>
      <c r="Y399" s="412"/>
      <c r="Z399" s="412"/>
    </row>
    <row r="400" ht="13.5" customHeight="1">
      <c r="A400" s="473"/>
      <c r="B400" s="412"/>
      <c r="C400" s="412"/>
      <c r="D400" s="412"/>
      <c r="E400" s="412"/>
      <c r="F400" s="412"/>
      <c r="G400" s="412"/>
      <c r="H400" s="412"/>
      <c r="I400" s="412"/>
      <c r="J400" s="412"/>
      <c r="K400" s="412"/>
      <c r="L400" s="412"/>
      <c r="M400" s="412"/>
      <c r="N400" s="412"/>
      <c r="O400" s="412"/>
      <c r="P400" s="412"/>
      <c r="Q400" s="412"/>
      <c r="R400" s="412"/>
      <c r="S400" s="412"/>
      <c r="T400" s="412"/>
      <c r="U400" s="412"/>
      <c r="V400" s="412"/>
      <c r="W400" s="412"/>
      <c r="X400" s="412"/>
      <c r="Y400" s="412"/>
      <c r="Z400" s="412"/>
    </row>
    <row r="401" ht="13.5" customHeight="1">
      <c r="A401" s="473"/>
      <c r="B401" s="412"/>
      <c r="C401" s="412"/>
      <c r="D401" s="412"/>
      <c r="E401" s="412"/>
      <c r="F401" s="412"/>
      <c r="G401" s="412"/>
      <c r="H401" s="412"/>
      <c r="I401" s="412"/>
      <c r="J401" s="412"/>
      <c r="K401" s="412"/>
      <c r="L401" s="412"/>
      <c r="M401" s="412"/>
      <c r="N401" s="412"/>
      <c r="O401" s="412"/>
      <c r="P401" s="412"/>
      <c r="Q401" s="412"/>
      <c r="R401" s="412"/>
      <c r="S401" s="412"/>
      <c r="T401" s="412"/>
      <c r="U401" s="412"/>
      <c r="V401" s="412"/>
      <c r="W401" s="412"/>
      <c r="X401" s="412"/>
      <c r="Y401" s="412"/>
      <c r="Z401" s="412"/>
    </row>
    <row r="402" ht="13.5" customHeight="1">
      <c r="A402" s="473"/>
      <c r="B402" s="412"/>
      <c r="C402" s="412"/>
      <c r="D402" s="412"/>
      <c r="E402" s="412"/>
      <c r="F402" s="412"/>
      <c r="G402" s="412"/>
      <c r="H402" s="412"/>
      <c r="I402" s="412"/>
      <c r="J402" s="412"/>
      <c r="K402" s="412"/>
      <c r="L402" s="412"/>
      <c r="M402" s="412"/>
      <c r="N402" s="412"/>
      <c r="O402" s="412"/>
      <c r="P402" s="412"/>
      <c r="Q402" s="412"/>
      <c r="R402" s="412"/>
      <c r="S402" s="412"/>
      <c r="T402" s="412"/>
      <c r="U402" s="412"/>
      <c r="V402" s="412"/>
      <c r="W402" s="412"/>
      <c r="X402" s="412"/>
      <c r="Y402" s="412"/>
      <c r="Z402" s="412"/>
    </row>
    <row r="403" ht="13.5" customHeight="1">
      <c r="A403" s="473"/>
      <c r="B403" s="412"/>
      <c r="C403" s="412"/>
      <c r="D403" s="412"/>
      <c r="E403" s="412"/>
      <c r="F403" s="412"/>
      <c r="G403" s="412"/>
      <c r="H403" s="412"/>
      <c r="I403" s="412"/>
      <c r="J403" s="412"/>
      <c r="K403" s="412"/>
      <c r="L403" s="412"/>
      <c r="M403" s="412"/>
      <c r="N403" s="412"/>
      <c r="O403" s="412"/>
      <c r="P403" s="412"/>
      <c r="Q403" s="412"/>
      <c r="R403" s="412"/>
      <c r="S403" s="412"/>
      <c r="T403" s="412"/>
      <c r="U403" s="412"/>
      <c r="V403" s="412"/>
      <c r="W403" s="412"/>
      <c r="X403" s="412"/>
      <c r="Y403" s="412"/>
      <c r="Z403" s="412"/>
    </row>
    <row r="404" ht="13.5" customHeight="1">
      <c r="A404" s="473"/>
      <c r="B404" s="412"/>
      <c r="C404" s="412"/>
      <c r="D404" s="412"/>
      <c r="E404" s="412"/>
      <c r="F404" s="412"/>
      <c r="G404" s="412"/>
      <c r="H404" s="412"/>
      <c r="I404" s="412"/>
      <c r="J404" s="412"/>
      <c r="K404" s="412"/>
      <c r="L404" s="412"/>
      <c r="M404" s="412"/>
      <c r="N404" s="412"/>
      <c r="O404" s="412"/>
      <c r="P404" s="412"/>
      <c r="Q404" s="412"/>
      <c r="R404" s="412"/>
      <c r="S404" s="412"/>
      <c r="T404" s="412"/>
      <c r="U404" s="412"/>
      <c r="V404" s="412"/>
      <c r="W404" s="412"/>
      <c r="X404" s="412"/>
      <c r="Y404" s="412"/>
      <c r="Z404" s="412"/>
    </row>
    <row r="405" ht="13.5" customHeight="1">
      <c r="A405" s="473"/>
      <c r="B405" s="412"/>
      <c r="C405" s="412"/>
      <c r="D405" s="412"/>
      <c r="E405" s="412"/>
      <c r="F405" s="412"/>
      <c r="G405" s="412"/>
      <c r="H405" s="412"/>
      <c r="I405" s="412"/>
      <c r="J405" s="412"/>
      <c r="K405" s="412"/>
      <c r="L405" s="412"/>
      <c r="M405" s="412"/>
      <c r="N405" s="412"/>
      <c r="O405" s="412"/>
      <c r="P405" s="412"/>
      <c r="Q405" s="412"/>
      <c r="R405" s="412"/>
      <c r="S405" s="412"/>
      <c r="T405" s="412"/>
      <c r="U405" s="412"/>
      <c r="V405" s="412"/>
      <c r="W405" s="412"/>
      <c r="X405" s="412"/>
      <c r="Y405" s="412"/>
      <c r="Z405" s="412"/>
    </row>
    <row r="406" ht="13.5" customHeight="1">
      <c r="A406" s="473"/>
      <c r="B406" s="412"/>
      <c r="C406" s="412"/>
      <c r="D406" s="412"/>
      <c r="E406" s="412"/>
      <c r="F406" s="412"/>
      <c r="G406" s="412"/>
      <c r="H406" s="412"/>
      <c r="I406" s="412"/>
      <c r="J406" s="412"/>
      <c r="K406" s="412"/>
      <c r="L406" s="412"/>
      <c r="M406" s="412"/>
      <c r="N406" s="412"/>
      <c r="O406" s="412"/>
      <c r="P406" s="412"/>
      <c r="Q406" s="412"/>
      <c r="R406" s="412"/>
      <c r="S406" s="412"/>
      <c r="T406" s="412"/>
      <c r="U406" s="412"/>
      <c r="V406" s="412"/>
      <c r="W406" s="412"/>
      <c r="X406" s="412"/>
      <c r="Y406" s="412"/>
      <c r="Z406" s="412"/>
    </row>
    <row r="407" ht="13.5" customHeight="1">
      <c r="A407" s="473"/>
      <c r="B407" s="412"/>
      <c r="C407" s="412"/>
      <c r="D407" s="412"/>
      <c r="E407" s="412"/>
      <c r="F407" s="412"/>
      <c r="G407" s="412"/>
      <c r="H407" s="412"/>
      <c r="I407" s="412"/>
      <c r="J407" s="412"/>
      <c r="K407" s="412"/>
      <c r="L407" s="412"/>
      <c r="M407" s="412"/>
      <c r="N407" s="412"/>
      <c r="O407" s="412"/>
      <c r="P407" s="412"/>
      <c r="Q407" s="412"/>
      <c r="R407" s="412"/>
      <c r="S407" s="412"/>
      <c r="T407" s="412"/>
      <c r="U407" s="412"/>
      <c r="V407" s="412"/>
      <c r="W407" s="412"/>
      <c r="X407" s="412"/>
      <c r="Y407" s="412"/>
      <c r="Z407" s="412"/>
    </row>
    <row r="408" ht="13.5" customHeight="1">
      <c r="A408" s="473"/>
      <c r="B408" s="412"/>
      <c r="C408" s="412"/>
      <c r="D408" s="412"/>
      <c r="E408" s="412"/>
      <c r="F408" s="412"/>
      <c r="G408" s="412"/>
      <c r="H408" s="412"/>
      <c r="I408" s="412"/>
      <c r="J408" s="412"/>
      <c r="K408" s="412"/>
      <c r="L408" s="412"/>
      <c r="M408" s="412"/>
      <c r="N408" s="412"/>
      <c r="O408" s="412"/>
      <c r="P408" s="412"/>
      <c r="Q408" s="412"/>
      <c r="R408" s="412"/>
      <c r="S408" s="412"/>
      <c r="T408" s="412"/>
      <c r="U408" s="412"/>
      <c r="V408" s="412"/>
      <c r="W408" s="412"/>
      <c r="X408" s="412"/>
      <c r="Y408" s="412"/>
      <c r="Z408" s="412"/>
    </row>
    <row r="409" ht="13.5" customHeight="1">
      <c r="A409" s="473"/>
      <c r="B409" s="412"/>
      <c r="C409" s="412"/>
      <c r="D409" s="412"/>
      <c r="E409" s="412"/>
      <c r="F409" s="412"/>
      <c r="G409" s="412"/>
      <c r="H409" s="412"/>
      <c r="I409" s="412"/>
      <c r="J409" s="412"/>
      <c r="K409" s="412"/>
      <c r="L409" s="412"/>
      <c r="M409" s="412"/>
      <c r="N409" s="412"/>
      <c r="O409" s="412"/>
      <c r="P409" s="412"/>
      <c r="Q409" s="412"/>
      <c r="R409" s="412"/>
      <c r="S409" s="412"/>
      <c r="T409" s="412"/>
      <c r="U409" s="412"/>
      <c r="V409" s="412"/>
      <c r="W409" s="412"/>
      <c r="X409" s="412"/>
      <c r="Y409" s="412"/>
      <c r="Z409" s="412"/>
    </row>
    <row r="410" ht="13.5" customHeight="1">
      <c r="A410" s="473"/>
      <c r="B410" s="412"/>
      <c r="C410" s="412"/>
      <c r="D410" s="412"/>
      <c r="E410" s="412"/>
      <c r="F410" s="412"/>
      <c r="G410" s="412"/>
      <c r="H410" s="412"/>
      <c r="I410" s="412"/>
      <c r="J410" s="412"/>
      <c r="K410" s="412"/>
      <c r="L410" s="412"/>
      <c r="M410" s="412"/>
      <c r="N410" s="412"/>
      <c r="O410" s="412"/>
      <c r="P410" s="412"/>
      <c r="Q410" s="412"/>
      <c r="R410" s="412"/>
      <c r="S410" s="412"/>
      <c r="T410" s="412"/>
      <c r="U410" s="412"/>
      <c r="V410" s="412"/>
      <c r="W410" s="412"/>
      <c r="X410" s="412"/>
      <c r="Y410" s="412"/>
      <c r="Z410" s="412"/>
    </row>
    <row r="411" ht="13.5" customHeight="1">
      <c r="A411" s="473"/>
      <c r="B411" s="412"/>
      <c r="C411" s="412"/>
      <c r="D411" s="412"/>
      <c r="E411" s="412"/>
      <c r="F411" s="412"/>
      <c r="G411" s="412"/>
      <c r="H411" s="412"/>
      <c r="I411" s="412"/>
      <c r="J411" s="412"/>
      <c r="K411" s="412"/>
      <c r="L411" s="412"/>
      <c r="M411" s="412"/>
      <c r="N411" s="412"/>
      <c r="O411" s="412"/>
      <c r="P411" s="412"/>
      <c r="Q411" s="412"/>
      <c r="R411" s="412"/>
      <c r="S411" s="412"/>
      <c r="T411" s="412"/>
      <c r="U411" s="412"/>
      <c r="V411" s="412"/>
      <c r="W411" s="412"/>
      <c r="X411" s="412"/>
      <c r="Y411" s="412"/>
      <c r="Z411" s="412"/>
    </row>
    <row r="412" ht="13.5" customHeight="1">
      <c r="A412" s="473"/>
      <c r="B412" s="412"/>
      <c r="C412" s="412"/>
      <c r="D412" s="412"/>
      <c r="E412" s="412"/>
      <c r="F412" s="412"/>
      <c r="G412" s="412"/>
      <c r="H412" s="412"/>
      <c r="I412" s="412"/>
      <c r="J412" s="412"/>
      <c r="K412" s="412"/>
      <c r="L412" s="412"/>
      <c r="M412" s="412"/>
      <c r="N412" s="412"/>
      <c r="O412" s="412"/>
      <c r="P412" s="412"/>
      <c r="Q412" s="412"/>
      <c r="R412" s="412"/>
      <c r="S412" s="412"/>
      <c r="T412" s="412"/>
      <c r="U412" s="412"/>
      <c r="V412" s="412"/>
      <c r="W412" s="412"/>
      <c r="X412" s="412"/>
      <c r="Y412" s="412"/>
      <c r="Z412" s="412"/>
    </row>
    <row r="413" ht="13.5" customHeight="1">
      <c r="A413" s="473"/>
      <c r="B413" s="412"/>
      <c r="C413" s="412"/>
      <c r="D413" s="412"/>
      <c r="E413" s="412"/>
      <c r="F413" s="412"/>
      <c r="G413" s="412"/>
      <c r="H413" s="412"/>
      <c r="I413" s="412"/>
      <c r="J413" s="412"/>
      <c r="K413" s="412"/>
      <c r="L413" s="412"/>
      <c r="M413" s="412"/>
      <c r="N413" s="412"/>
      <c r="O413" s="412"/>
      <c r="P413" s="412"/>
      <c r="Q413" s="412"/>
      <c r="R413" s="412"/>
      <c r="S413" s="412"/>
      <c r="T413" s="412"/>
      <c r="U413" s="412"/>
      <c r="V413" s="412"/>
      <c r="W413" s="412"/>
      <c r="X413" s="412"/>
      <c r="Y413" s="412"/>
      <c r="Z413" s="412"/>
    </row>
    <row r="414" ht="13.5" customHeight="1">
      <c r="A414" s="473"/>
      <c r="B414" s="412"/>
      <c r="C414" s="412"/>
      <c r="D414" s="412"/>
      <c r="E414" s="412"/>
      <c r="F414" s="412"/>
      <c r="G414" s="412"/>
      <c r="H414" s="412"/>
      <c r="I414" s="412"/>
      <c r="J414" s="412"/>
      <c r="K414" s="412"/>
      <c r="L414" s="412"/>
      <c r="M414" s="412"/>
      <c r="N414" s="412"/>
      <c r="O414" s="412"/>
      <c r="P414" s="412"/>
      <c r="Q414" s="412"/>
      <c r="R414" s="412"/>
      <c r="S414" s="412"/>
      <c r="T414" s="412"/>
      <c r="U414" s="412"/>
      <c r="V414" s="412"/>
      <c r="W414" s="412"/>
      <c r="X414" s="412"/>
      <c r="Y414" s="412"/>
      <c r="Z414" s="412"/>
    </row>
    <row r="415" ht="13.5" customHeight="1">
      <c r="A415" s="473"/>
      <c r="B415" s="412"/>
      <c r="C415" s="412"/>
      <c r="D415" s="412"/>
      <c r="E415" s="412"/>
      <c r="F415" s="412"/>
      <c r="G415" s="412"/>
      <c r="H415" s="412"/>
      <c r="I415" s="412"/>
      <c r="J415" s="412"/>
      <c r="K415" s="412"/>
      <c r="L415" s="412"/>
      <c r="M415" s="412"/>
      <c r="N415" s="412"/>
      <c r="O415" s="412"/>
      <c r="P415" s="412"/>
      <c r="Q415" s="412"/>
      <c r="R415" s="412"/>
      <c r="S415" s="412"/>
      <c r="T415" s="412"/>
      <c r="U415" s="412"/>
      <c r="V415" s="412"/>
      <c r="W415" s="412"/>
      <c r="X415" s="412"/>
      <c r="Y415" s="412"/>
      <c r="Z415" s="412"/>
    </row>
    <row r="416" ht="13.5" customHeight="1">
      <c r="A416" s="473"/>
      <c r="B416" s="412"/>
      <c r="C416" s="412"/>
      <c r="D416" s="412"/>
      <c r="E416" s="412"/>
      <c r="F416" s="412"/>
      <c r="G416" s="412"/>
      <c r="H416" s="412"/>
      <c r="I416" s="412"/>
      <c r="J416" s="412"/>
      <c r="K416" s="412"/>
      <c r="L416" s="412"/>
      <c r="M416" s="412"/>
      <c r="N416" s="412"/>
      <c r="O416" s="412"/>
      <c r="P416" s="412"/>
      <c r="Q416" s="412"/>
      <c r="R416" s="412"/>
      <c r="S416" s="412"/>
      <c r="T416" s="412"/>
      <c r="U416" s="412"/>
      <c r="V416" s="412"/>
      <c r="W416" s="412"/>
      <c r="X416" s="412"/>
      <c r="Y416" s="412"/>
      <c r="Z416" s="412"/>
    </row>
    <row r="417" ht="13.5" customHeight="1">
      <c r="A417" s="473"/>
      <c r="B417" s="412"/>
      <c r="C417" s="412"/>
      <c r="D417" s="412"/>
      <c r="E417" s="412"/>
      <c r="F417" s="412"/>
      <c r="G417" s="412"/>
      <c r="H417" s="412"/>
      <c r="I417" s="412"/>
      <c r="J417" s="412"/>
      <c r="K417" s="412"/>
      <c r="L417" s="412"/>
      <c r="M417" s="412"/>
      <c r="N417" s="412"/>
      <c r="O417" s="412"/>
      <c r="P417" s="412"/>
      <c r="Q417" s="412"/>
      <c r="R417" s="412"/>
      <c r="S417" s="412"/>
      <c r="T417" s="412"/>
      <c r="U417" s="412"/>
      <c r="V417" s="412"/>
      <c r="W417" s="412"/>
      <c r="X417" s="412"/>
      <c r="Y417" s="412"/>
      <c r="Z417" s="412"/>
    </row>
    <row r="418" ht="13.5" customHeight="1">
      <c r="A418" s="473"/>
      <c r="B418" s="412"/>
      <c r="C418" s="412"/>
      <c r="D418" s="412"/>
      <c r="E418" s="412"/>
      <c r="F418" s="412"/>
      <c r="G418" s="412"/>
      <c r="H418" s="412"/>
      <c r="I418" s="412"/>
      <c r="J418" s="412"/>
      <c r="K418" s="412"/>
      <c r="L418" s="412"/>
      <c r="M418" s="412"/>
      <c r="N418" s="412"/>
      <c r="O418" s="412"/>
      <c r="P418" s="412"/>
      <c r="Q418" s="412"/>
      <c r="R418" s="412"/>
      <c r="S418" s="412"/>
      <c r="T418" s="412"/>
      <c r="U418" s="412"/>
      <c r="V418" s="412"/>
      <c r="W418" s="412"/>
      <c r="X418" s="412"/>
      <c r="Y418" s="412"/>
      <c r="Z418" s="412"/>
    </row>
    <row r="419" ht="13.5" customHeight="1">
      <c r="A419" s="473"/>
      <c r="B419" s="412"/>
      <c r="C419" s="412"/>
      <c r="D419" s="412"/>
      <c r="E419" s="412"/>
      <c r="F419" s="412"/>
      <c r="G419" s="412"/>
      <c r="H419" s="412"/>
      <c r="I419" s="412"/>
      <c r="J419" s="412"/>
      <c r="K419" s="412"/>
      <c r="L419" s="412"/>
      <c r="M419" s="412"/>
      <c r="N419" s="412"/>
      <c r="O419" s="412"/>
      <c r="P419" s="412"/>
      <c r="Q419" s="412"/>
      <c r="R419" s="412"/>
      <c r="S419" s="412"/>
      <c r="T419" s="412"/>
      <c r="U419" s="412"/>
      <c r="V419" s="412"/>
      <c r="W419" s="412"/>
      <c r="X419" s="412"/>
      <c r="Y419" s="412"/>
      <c r="Z419" s="412"/>
    </row>
    <row r="420" ht="13.5" customHeight="1">
      <c r="A420" s="473"/>
      <c r="B420" s="412"/>
      <c r="C420" s="412"/>
      <c r="D420" s="412"/>
      <c r="E420" s="412"/>
      <c r="F420" s="412"/>
      <c r="G420" s="412"/>
      <c r="H420" s="412"/>
      <c r="I420" s="412"/>
      <c r="J420" s="412"/>
      <c r="K420" s="412"/>
      <c r="L420" s="412"/>
      <c r="M420" s="412"/>
      <c r="N420" s="412"/>
      <c r="O420" s="412"/>
      <c r="P420" s="412"/>
      <c r="Q420" s="412"/>
      <c r="R420" s="412"/>
      <c r="S420" s="412"/>
      <c r="T420" s="412"/>
      <c r="U420" s="412"/>
      <c r="V420" s="412"/>
      <c r="W420" s="412"/>
      <c r="X420" s="412"/>
      <c r="Y420" s="412"/>
      <c r="Z420" s="412"/>
    </row>
    <row r="421" ht="13.5" customHeight="1">
      <c r="A421" s="473"/>
      <c r="B421" s="412"/>
      <c r="C421" s="412"/>
      <c r="D421" s="412"/>
      <c r="E421" s="412"/>
      <c r="F421" s="412"/>
      <c r="G421" s="412"/>
      <c r="H421" s="412"/>
      <c r="I421" s="412"/>
      <c r="J421" s="412"/>
      <c r="K421" s="412"/>
      <c r="L421" s="412"/>
      <c r="M421" s="412"/>
      <c r="N421" s="412"/>
      <c r="O421" s="412"/>
      <c r="P421" s="412"/>
      <c r="Q421" s="412"/>
      <c r="R421" s="412"/>
      <c r="S421" s="412"/>
      <c r="T421" s="412"/>
      <c r="U421" s="412"/>
      <c r="V421" s="412"/>
      <c r="W421" s="412"/>
      <c r="X421" s="412"/>
      <c r="Y421" s="412"/>
      <c r="Z421" s="412"/>
    </row>
    <row r="422" ht="13.5" customHeight="1">
      <c r="A422" s="473"/>
      <c r="B422" s="412"/>
      <c r="C422" s="412"/>
      <c r="D422" s="412"/>
      <c r="E422" s="412"/>
      <c r="F422" s="412"/>
      <c r="G422" s="412"/>
      <c r="H422" s="412"/>
      <c r="I422" s="412"/>
      <c r="J422" s="412"/>
      <c r="K422" s="412"/>
      <c r="L422" s="412"/>
      <c r="M422" s="412"/>
      <c r="N422" s="412"/>
      <c r="O422" s="412"/>
      <c r="P422" s="412"/>
      <c r="Q422" s="412"/>
      <c r="R422" s="412"/>
      <c r="S422" s="412"/>
      <c r="T422" s="412"/>
      <c r="U422" s="412"/>
      <c r="V422" s="412"/>
      <c r="W422" s="412"/>
      <c r="X422" s="412"/>
      <c r="Y422" s="412"/>
      <c r="Z422" s="412"/>
    </row>
    <row r="423" ht="13.5" customHeight="1">
      <c r="A423" s="473"/>
      <c r="B423" s="412"/>
      <c r="C423" s="412"/>
      <c r="D423" s="412"/>
      <c r="E423" s="412"/>
      <c r="F423" s="412"/>
      <c r="G423" s="412"/>
      <c r="H423" s="412"/>
      <c r="I423" s="412"/>
      <c r="J423" s="412"/>
      <c r="K423" s="412"/>
      <c r="L423" s="412"/>
      <c r="M423" s="412"/>
      <c r="N423" s="412"/>
      <c r="O423" s="412"/>
      <c r="P423" s="412"/>
      <c r="Q423" s="412"/>
      <c r="R423" s="412"/>
      <c r="S423" s="412"/>
      <c r="T423" s="412"/>
      <c r="U423" s="412"/>
      <c r="V423" s="412"/>
      <c r="W423" s="412"/>
      <c r="X423" s="412"/>
      <c r="Y423" s="412"/>
      <c r="Z423" s="412"/>
    </row>
    <row r="424" ht="13.5" customHeight="1">
      <c r="A424" s="473"/>
      <c r="B424" s="412"/>
      <c r="C424" s="412"/>
      <c r="D424" s="412"/>
      <c r="E424" s="412"/>
      <c r="F424" s="412"/>
      <c r="G424" s="412"/>
      <c r="H424" s="412"/>
      <c r="I424" s="412"/>
      <c r="J424" s="412"/>
      <c r="K424" s="412"/>
      <c r="L424" s="412"/>
      <c r="M424" s="412"/>
      <c r="N424" s="412"/>
      <c r="O424" s="412"/>
      <c r="P424" s="412"/>
      <c r="Q424" s="412"/>
      <c r="R424" s="412"/>
      <c r="S424" s="412"/>
      <c r="T424" s="412"/>
      <c r="U424" s="412"/>
      <c r="V424" s="412"/>
      <c r="W424" s="412"/>
      <c r="X424" s="412"/>
      <c r="Y424" s="412"/>
      <c r="Z424" s="412"/>
    </row>
    <row r="425" ht="13.5" customHeight="1">
      <c r="A425" s="473"/>
      <c r="B425" s="412"/>
      <c r="C425" s="412"/>
      <c r="D425" s="412"/>
      <c r="E425" s="412"/>
      <c r="F425" s="412"/>
      <c r="G425" s="412"/>
      <c r="H425" s="412"/>
      <c r="I425" s="412"/>
      <c r="J425" s="412"/>
      <c r="K425" s="412"/>
      <c r="L425" s="412"/>
      <c r="M425" s="412"/>
      <c r="N425" s="412"/>
      <c r="O425" s="412"/>
      <c r="P425" s="412"/>
      <c r="Q425" s="412"/>
      <c r="R425" s="412"/>
      <c r="S425" s="412"/>
      <c r="T425" s="412"/>
      <c r="U425" s="412"/>
      <c r="V425" s="412"/>
      <c r="W425" s="412"/>
      <c r="X425" s="412"/>
      <c r="Y425" s="412"/>
      <c r="Z425" s="412"/>
    </row>
    <row r="426" ht="13.5" customHeight="1">
      <c r="A426" s="473"/>
      <c r="B426" s="412"/>
      <c r="C426" s="412"/>
      <c r="D426" s="412"/>
      <c r="E426" s="412"/>
      <c r="F426" s="412"/>
      <c r="G426" s="412"/>
      <c r="H426" s="412"/>
      <c r="I426" s="412"/>
      <c r="J426" s="412"/>
      <c r="K426" s="412"/>
      <c r="L426" s="412"/>
      <c r="M426" s="412"/>
      <c r="N426" s="412"/>
      <c r="O426" s="412"/>
      <c r="P426" s="412"/>
      <c r="Q426" s="412"/>
      <c r="R426" s="412"/>
      <c r="S426" s="412"/>
      <c r="T426" s="412"/>
      <c r="U426" s="412"/>
      <c r="V426" s="412"/>
      <c r="W426" s="412"/>
      <c r="X426" s="412"/>
      <c r="Y426" s="412"/>
      <c r="Z426" s="412"/>
    </row>
    <row r="427" ht="13.5" customHeight="1">
      <c r="A427" s="473"/>
      <c r="B427" s="412"/>
      <c r="C427" s="412"/>
      <c r="D427" s="412"/>
      <c r="E427" s="412"/>
      <c r="F427" s="412"/>
      <c r="G427" s="412"/>
      <c r="H427" s="412"/>
      <c r="I427" s="412"/>
      <c r="J427" s="412"/>
      <c r="K427" s="412"/>
      <c r="L427" s="412"/>
      <c r="M427" s="412"/>
      <c r="N427" s="412"/>
      <c r="O427" s="412"/>
      <c r="P427" s="412"/>
      <c r="Q427" s="412"/>
      <c r="R427" s="412"/>
      <c r="S427" s="412"/>
      <c r="T427" s="412"/>
      <c r="U427" s="412"/>
      <c r="V427" s="412"/>
      <c r="W427" s="412"/>
      <c r="X427" s="412"/>
      <c r="Y427" s="412"/>
      <c r="Z427" s="412"/>
    </row>
    <row r="428" ht="13.5" customHeight="1">
      <c r="A428" s="473"/>
      <c r="B428" s="412"/>
      <c r="C428" s="412"/>
      <c r="D428" s="412"/>
      <c r="E428" s="412"/>
      <c r="F428" s="412"/>
      <c r="G428" s="412"/>
      <c r="H428" s="412"/>
      <c r="I428" s="412"/>
      <c r="J428" s="412"/>
      <c r="K428" s="412"/>
      <c r="L428" s="412"/>
      <c r="M428" s="412"/>
      <c r="N428" s="412"/>
      <c r="O428" s="412"/>
      <c r="P428" s="412"/>
      <c r="Q428" s="412"/>
      <c r="R428" s="412"/>
      <c r="S428" s="412"/>
      <c r="T428" s="412"/>
      <c r="U428" s="412"/>
      <c r="V428" s="412"/>
      <c r="W428" s="412"/>
      <c r="X428" s="412"/>
      <c r="Y428" s="412"/>
      <c r="Z428" s="412"/>
    </row>
    <row r="429" ht="13.5" customHeight="1">
      <c r="A429" s="473"/>
      <c r="B429" s="412"/>
      <c r="C429" s="412"/>
      <c r="D429" s="412"/>
      <c r="E429" s="412"/>
      <c r="F429" s="412"/>
      <c r="G429" s="412"/>
      <c r="H429" s="412"/>
      <c r="I429" s="412"/>
      <c r="J429" s="412"/>
      <c r="K429" s="412"/>
      <c r="L429" s="412"/>
      <c r="M429" s="412"/>
      <c r="N429" s="412"/>
      <c r="O429" s="412"/>
      <c r="P429" s="412"/>
      <c r="Q429" s="412"/>
      <c r="R429" s="412"/>
      <c r="S429" s="412"/>
      <c r="T429" s="412"/>
      <c r="U429" s="412"/>
      <c r="V429" s="412"/>
      <c r="W429" s="412"/>
      <c r="X429" s="412"/>
      <c r="Y429" s="412"/>
      <c r="Z429" s="412"/>
    </row>
    <row r="430" ht="13.5" customHeight="1">
      <c r="A430" s="473"/>
      <c r="B430" s="412"/>
      <c r="C430" s="412"/>
      <c r="D430" s="412"/>
      <c r="E430" s="412"/>
      <c r="F430" s="412"/>
      <c r="G430" s="412"/>
      <c r="H430" s="412"/>
      <c r="I430" s="412"/>
      <c r="J430" s="412"/>
      <c r="K430" s="412"/>
      <c r="L430" s="412"/>
      <c r="M430" s="412"/>
      <c r="N430" s="412"/>
      <c r="O430" s="412"/>
      <c r="P430" s="412"/>
      <c r="Q430" s="412"/>
      <c r="R430" s="412"/>
      <c r="S430" s="412"/>
      <c r="T430" s="412"/>
      <c r="U430" s="412"/>
      <c r="V430" s="412"/>
      <c r="W430" s="412"/>
      <c r="X430" s="412"/>
      <c r="Y430" s="412"/>
      <c r="Z430" s="412"/>
    </row>
    <row r="431" ht="13.5" customHeight="1">
      <c r="A431" s="473"/>
      <c r="B431" s="412"/>
      <c r="C431" s="412"/>
      <c r="D431" s="412"/>
      <c r="E431" s="412"/>
      <c r="F431" s="412"/>
      <c r="G431" s="412"/>
      <c r="H431" s="412"/>
      <c r="I431" s="412"/>
      <c r="J431" s="412"/>
      <c r="K431" s="412"/>
      <c r="L431" s="412"/>
      <c r="M431" s="412"/>
      <c r="N431" s="412"/>
      <c r="O431" s="412"/>
      <c r="P431" s="412"/>
      <c r="Q431" s="412"/>
      <c r="R431" s="412"/>
      <c r="S431" s="412"/>
      <c r="T431" s="412"/>
      <c r="U431" s="412"/>
      <c r="V431" s="412"/>
      <c r="W431" s="412"/>
      <c r="X431" s="412"/>
      <c r="Y431" s="412"/>
      <c r="Z431" s="412"/>
    </row>
    <row r="432" ht="13.5" customHeight="1">
      <c r="A432" s="473"/>
      <c r="B432" s="412"/>
      <c r="C432" s="412"/>
      <c r="D432" s="412"/>
      <c r="E432" s="412"/>
      <c r="F432" s="412"/>
      <c r="G432" s="412"/>
      <c r="H432" s="412"/>
      <c r="I432" s="412"/>
      <c r="J432" s="412"/>
      <c r="K432" s="412"/>
      <c r="L432" s="412"/>
      <c r="M432" s="412"/>
      <c r="N432" s="412"/>
      <c r="O432" s="412"/>
      <c r="P432" s="412"/>
      <c r="Q432" s="412"/>
      <c r="R432" s="412"/>
      <c r="S432" s="412"/>
      <c r="T432" s="412"/>
      <c r="U432" s="412"/>
      <c r="V432" s="412"/>
      <c r="W432" s="412"/>
      <c r="X432" s="412"/>
      <c r="Y432" s="412"/>
      <c r="Z432" s="412"/>
    </row>
    <row r="433" ht="13.5" customHeight="1">
      <c r="A433" s="473"/>
      <c r="B433" s="412"/>
      <c r="C433" s="412"/>
      <c r="D433" s="412"/>
      <c r="E433" s="412"/>
      <c r="F433" s="412"/>
      <c r="G433" s="412"/>
      <c r="H433" s="412"/>
      <c r="I433" s="412"/>
      <c r="J433" s="412"/>
      <c r="K433" s="412"/>
      <c r="L433" s="412"/>
      <c r="M433" s="412"/>
      <c r="N433" s="412"/>
      <c r="O433" s="412"/>
      <c r="P433" s="412"/>
      <c r="Q433" s="412"/>
      <c r="R433" s="412"/>
      <c r="S433" s="412"/>
      <c r="T433" s="412"/>
      <c r="U433" s="412"/>
      <c r="V433" s="412"/>
      <c r="W433" s="412"/>
      <c r="X433" s="412"/>
      <c r="Y433" s="412"/>
      <c r="Z433" s="412"/>
    </row>
    <row r="434" ht="13.5" customHeight="1">
      <c r="A434" s="473"/>
      <c r="B434" s="412"/>
      <c r="C434" s="412"/>
      <c r="D434" s="412"/>
      <c r="E434" s="412"/>
      <c r="F434" s="412"/>
      <c r="G434" s="412"/>
      <c r="H434" s="412"/>
      <c r="I434" s="412"/>
      <c r="J434" s="412"/>
      <c r="K434" s="412"/>
      <c r="L434" s="412"/>
      <c r="M434" s="412"/>
      <c r="N434" s="412"/>
      <c r="O434" s="412"/>
      <c r="P434" s="412"/>
      <c r="Q434" s="412"/>
      <c r="R434" s="412"/>
      <c r="S434" s="412"/>
      <c r="T434" s="412"/>
      <c r="U434" s="412"/>
      <c r="V434" s="412"/>
      <c r="W434" s="412"/>
      <c r="X434" s="412"/>
      <c r="Y434" s="412"/>
      <c r="Z434" s="412"/>
    </row>
    <row r="435" ht="13.5" customHeight="1">
      <c r="A435" s="473"/>
      <c r="B435" s="412"/>
      <c r="C435" s="412"/>
      <c r="D435" s="412"/>
      <c r="E435" s="412"/>
      <c r="F435" s="412"/>
      <c r="G435" s="412"/>
      <c r="H435" s="412"/>
      <c r="I435" s="412"/>
      <c r="J435" s="412"/>
      <c r="K435" s="412"/>
      <c r="L435" s="412"/>
      <c r="M435" s="412"/>
      <c r="N435" s="412"/>
      <c r="O435" s="412"/>
      <c r="P435" s="412"/>
      <c r="Q435" s="412"/>
      <c r="R435" s="412"/>
      <c r="S435" s="412"/>
      <c r="T435" s="412"/>
      <c r="U435" s="412"/>
      <c r="V435" s="412"/>
      <c r="W435" s="412"/>
      <c r="X435" s="412"/>
      <c r="Y435" s="412"/>
      <c r="Z435" s="412"/>
    </row>
    <row r="436" ht="13.5" customHeight="1">
      <c r="A436" s="473"/>
      <c r="B436" s="412"/>
      <c r="C436" s="412"/>
      <c r="D436" s="412"/>
      <c r="E436" s="412"/>
      <c r="F436" s="412"/>
      <c r="G436" s="412"/>
      <c r="H436" s="412"/>
      <c r="I436" s="412"/>
      <c r="J436" s="412"/>
      <c r="K436" s="412"/>
      <c r="L436" s="412"/>
      <c r="M436" s="412"/>
      <c r="N436" s="412"/>
      <c r="O436" s="412"/>
      <c r="P436" s="412"/>
      <c r="Q436" s="412"/>
      <c r="R436" s="412"/>
      <c r="S436" s="412"/>
      <c r="T436" s="412"/>
      <c r="U436" s="412"/>
      <c r="V436" s="412"/>
      <c r="W436" s="412"/>
      <c r="X436" s="412"/>
      <c r="Y436" s="412"/>
      <c r="Z436" s="412"/>
    </row>
    <row r="437" ht="13.5" customHeight="1">
      <c r="A437" s="473"/>
      <c r="B437" s="412"/>
      <c r="C437" s="412"/>
      <c r="D437" s="412"/>
      <c r="E437" s="412"/>
      <c r="F437" s="412"/>
      <c r="G437" s="412"/>
      <c r="H437" s="412"/>
      <c r="I437" s="412"/>
      <c r="J437" s="412"/>
      <c r="K437" s="412"/>
      <c r="L437" s="412"/>
      <c r="M437" s="412"/>
      <c r="N437" s="412"/>
      <c r="O437" s="412"/>
      <c r="P437" s="412"/>
      <c r="Q437" s="412"/>
      <c r="R437" s="412"/>
      <c r="S437" s="412"/>
      <c r="T437" s="412"/>
      <c r="U437" s="412"/>
      <c r="V437" s="412"/>
      <c r="W437" s="412"/>
      <c r="X437" s="412"/>
      <c r="Y437" s="412"/>
      <c r="Z437" s="412"/>
    </row>
    <row r="438" ht="13.5" customHeight="1">
      <c r="A438" s="473"/>
      <c r="B438" s="412"/>
      <c r="C438" s="412"/>
      <c r="D438" s="412"/>
      <c r="E438" s="412"/>
      <c r="F438" s="412"/>
      <c r="G438" s="412"/>
      <c r="H438" s="412"/>
      <c r="I438" s="412"/>
      <c r="J438" s="412"/>
      <c r="K438" s="412"/>
      <c r="L438" s="412"/>
      <c r="M438" s="412"/>
      <c r="N438" s="412"/>
      <c r="O438" s="412"/>
      <c r="P438" s="412"/>
      <c r="Q438" s="412"/>
      <c r="R438" s="412"/>
      <c r="S438" s="412"/>
      <c r="T438" s="412"/>
      <c r="U438" s="412"/>
      <c r="V438" s="412"/>
      <c r="W438" s="412"/>
      <c r="X438" s="412"/>
      <c r="Y438" s="412"/>
      <c r="Z438" s="412"/>
    </row>
    <row r="439" ht="13.5" customHeight="1">
      <c r="A439" s="473"/>
      <c r="B439" s="412"/>
      <c r="C439" s="412"/>
      <c r="D439" s="412"/>
      <c r="E439" s="412"/>
      <c r="F439" s="412"/>
      <c r="G439" s="412"/>
      <c r="H439" s="412"/>
      <c r="I439" s="412"/>
      <c r="J439" s="412"/>
      <c r="K439" s="412"/>
      <c r="L439" s="412"/>
      <c r="M439" s="412"/>
      <c r="N439" s="412"/>
      <c r="O439" s="412"/>
      <c r="P439" s="412"/>
      <c r="Q439" s="412"/>
      <c r="R439" s="412"/>
      <c r="S439" s="412"/>
      <c r="T439" s="412"/>
      <c r="U439" s="412"/>
      <c r="V439" s="412"/>
      <c r="W439" s="412"/>
      <c r="X439" s="412"/>
      <c r="Y439" s="412"/>
      <c r="Z439" s="412"/>
    </row>
    <row r="440" ht="13.5" customHeight="1">
      <c r="A440" s="473"/>
      <c r="B440" s="412"/>
      <c r="C440" s="412"/>
      <c r="D440" s="412"/>
      <c r="E440" s="412"/>
      <c r="F440" s="412"/>
      <c r="G440" s="412"/>
      <c r="H440" s="412"/>
      <c r="I440" s="412"/>
      <c r="J440" s="412"/>
      <c r="K440" s="412"/>
      <c r="L440" s="412"/>
      <c r="M440" s="412"/>
      <c r="N440" s="412"/>
      <c r="O440" s="412"/>
      <c r="P440" s="412"/>
      <c r="Q440" s="412"/>
      <c r="R440" s="412"/>
      <c r="S440" s="412"/>
      <c r="T440" s="412"/>
      <c r="U440" s="412"/>
      <c r="V440" s="412"/>
      <c r="W440" s="412"/>
      <c r="X440" s="412"/>
      <c r="Y440" s="412"/>
      <c r="Z440" s="412"/>
    </row>
    <row r="441" ht="13.5" customHeight="1">
      <c r="A441" s="473"/>
      <c r="B441" s="412"/>
      <c r="C441" s="412"/>
      <c r="D441" s="412"/>
      <c r="E441" s="412"/>
      <c r="F441" s="412"/>
      <c r="G441" s="412"/>
      <c r="H441" s="412"/>
      <c r="I441" s="412"/>
      <c r="J441" s="412"/>
      <c r="K441" s="412"/>
      <c r="L441" s="412"/>
      <c r="M441" s="412"/>
      <c r="N441" s="412"/>
      <c r="O441" s="412"/>
      <c r="P441" s="412"/>
      <c r="Q441" s="412"/>
      <c r="R441" s="412"/>
      <c r="S441" s="412"/>
      <c r="T441" s="412"/>
      <c r="U441" s="412"/>
      <c r="V441" s="412"/>
      <c r="W441" s="412"/>
      <c r="X441" s="412"/>
      <c r="Y441" s="412"/>
      <c r="Z441" s="412"/>
    </row>
    <row r="442" ht="13.5" customHeight="1">
      <c r="A442" s="473"/>
      <c r="B442" s="412"/>
      <c r="C442" s="412"/>
      <c r="D442" s="412"/>
      <c r="E442" s="412"/>
      <c r="F442" s="412"/>
      <c r="G442" s="412"/>
      <c r="H442" s="412"/>
      <c r="I442" s="412"/>
      <c r="J442" s="412"/>
      <c r="K442" s="412"/>
      <c r="L442" s="412"/>
      <c r="M442" s="412"/>
      <c r="N442" s="412"/>
      <c r="O442" s="412"/>
      <c r="P442" s="412"/>
      <c r="Q442" s="412"/>
      <c r="R442" s="412"/>
      <c r="S442" s="412"/>
      <c r="T442" s="412"/>
      <c r="U442" s="412"/>
      <c r="V442" s="412"/>
      <c r="W442" s="412"/>
      <c r="X442" s="412"/>
      <c r="Y442" s="412"/>
      <c r="Z442" s="412"/>
    </row>
    <row r="443" ht="13.5" customHeight="1">
      <c r="A443" s="473"/>
      <c r="B443" s="412"/>
      <c r="C443" s="412"/>
      <c r="D443" s="412"/>
      <c r="E443" s="412"/>
      <c r="F443" s="412"/>
      <c r="G443" s="412"/>
      <c r="H443" s="412"/>
      <c r="I443" s="412"/>
      <c r="J443" s="412"/>
      <c r="K443" s="412"/>
      <c r="L443" s="412"/>
      <c r="M443" s="412"/>
      <c r="N443" s="412"/>
      <c r="O443" s="412"/>
      <c r="P443" s="412"/>
      <c r="Q443" s="412"/>
      <c r="R443" s="412"/>
      <c r="S443" s="412"/>
      <c r="T443" s="412"/>
      <c r="U443" s="412"/>
      <c r="V443" s="412"/>
      <c r="W443" s="412"/>
      <c r="X443" s="412"/>
      <c r="Y443" s="412"/>
      <c r="Z443" s="412"/>
    </row>
    <row r="444" ht="13.5" customHeight="1">
      <c r="A444" s="473"/>
      <c r="B444" s="412"/>
      <c r="C444" s="412"/>
      <c r="D444" s="412"/>
      <c r="E444" s="412"/>
      <c r="F444" s="412"/>
      <c r="G444" s="412"/>
      <c r="H444" s="412"/>
      <c r="I444" s="412"/>
      <c r="J444" s="412"/>
      <c r="K444" s="412"/>
      <c r="L444" s="412"/>
      <c r="M444" s="412"/>
      <c r="N444" s="412"/>
      <c r="O444" s="412"/>
      <c r="P444" s="412"/>
      <c r="Q444" s="412"/>
      <c r="R444" s="412"/>
      <c r="S444" s="412"/>
      <c r="T444" s="412"/>
      <c r="U444" s="412"/>
      <c r="V444" s="412"/>
      <c r="W444" s="412"/>
      <c r="X444" s="412"/>
      <c r="Y444" s="412"/>
      <c r="Z444" s="412"/>
    </row>
    <row r="445" ht="13.5" customHeight="1">
      <c r="A445" s="473"/>
      <c r="B445" s="412"/>
      <c r="C445" s="412"/>
      <c r="D445" s="412"/>
      <c r="E445" s="412"/>
      <c r="F445" s="412"/>
      <c r="G445" s="412"/>
      <c r="H445" s="412"/>
      <c r="I445" s="412"/>
      <c r="J445" s="412"/>
      <c r="K445" s="412"/>
      <c r="L445" s="412"/>
      <c r="M445" s="412"/>
      <c r="N445" s="412"/>
      <c r="O445" s="412"/>
      <c r="P445" s="412"/>
      <c r="Q445" s="412"/>
      <c r="R445" s="412"/>
      <c r="S445" s="412"/>
      <c r="T445" s="412"/>
      <c r="U445" s="412"/>
      <c r="V445" s="412"/>
      <c r="W445" s="412"/>
      <c r="X445" s="412"/>
      <c r="Y445" s="412"/>
      <c r="Z445" s="412"/>
    </row>
    <row r="446" ht="13.5" customHeight="1">
      <c r="A446" s="473"/>
      <c r="B446" s="412"/>
      <c r="C446" s="412"/>
      <c r="D446" s="412"/>
      <c r="E446" s="412"/>
      <c r="F446" s="412"/>
      <c r="G446" s="412"/>
      <c r="H446" s="412"/>
      <c r="I446" s="412"/>
      <c r="J446" s="412"/>
      <c r="K446" s="412"/>
      <c r="L446" s="412"/>
      <c r="M446" s="412"/>
      <c r="N446" s="412"/>
      <c r="O446" s="412"/>
      <c r="P446" s="412"/>
      <c r="Q446" s="412"/>
      <c r="R446" s="412"/>
      <c r="S446" s="412"/>
      <c r="T446" s="412"/>
      <c r="U446" s="412"/>
      <c r="V446" s="412"/>
      <c r="W446" s="412"/>
      <c r="X446" s="412"/>
      <c r="Y446" s="412"/>
      <c r="Z446" s="412"/>
    </row>
    <row r="447" ht="13.5" customHeight="1">
      <c r="A447" s="473"/>
      <c r="B447" s="412"/>
      <c r="C447" s="412"/>
      <c r="D447" s="412"/>
      <c r="E447" s="412"/>
      <c r="F447" s="412"/>
      <c r="G447" s="412"/>
      <c r="H447" s="412"/>
      <c r="I447" s="412"/>
      <c r="J447" s="412"/>
      <c r="K447" s="412"/>
      <c r="L447" s="412"/>
      <c r="M447" s="412"/>
      <c r="N447" s="412"/>
      <c r="O447" s="412"/>
      <c r="P447" s="412"/>
      <c r="Q447" s="412"/>
      <c r="R447" s="412"/>
      <c r="S447" s="412"/>
      <c r="T447" s="412"/>
      <c r="U447" s="412"/>
      <c r="V447" s="412"/>
      <c r="W447" s="412"/>
      <c r="X447" s="412"/>
      <c r="Y447" s="412"/>
      <c r="Z447" s="412"/>
    </row>
    <row r="448" ht="13.5" customHeight="1">
      <c r="A448" s="473"/>
      <c r="B448" s="412"/>
      <c r="C448" s="412"/>
      <c r="D448" s="412"/>
      <c r="E448" s="412"/>
      <c r="F448" s="412"/>
      <c r="G448" s="412"/>
      <c r="H448" s="412"/>
      <c r="I448" s="412"/>
      <c r="J448" s="412"/>
      <c r="K448" s="412"/>
      <c r="L448" s="412"/>
      <c r="M448" s="412"/>
      <c r="N448" s="412"/>
      <c r="O448" s="412"/>
      <c r="P448" s="412"/>
      <c r="Q448" s="412"/>
      <c r="R448" s="412"/>
      <c r="S448" s="412"/>
      <c r="T448" s="412"/>
      <c r="U448" s="412"/>
      <c r="V448" s="412"/>
      <c r="W448" s="412"/>
      <c r="X448" s="412"/>
      <c r="Y448" s="412"/>
      <c r="Z448" s="412"/>
    </row>
    <row r="449" ht="13.5" customHeight="1">
      <c r="A449" s="473"/>
      <c r="B449" s="412"/>
      <c r="C449" s="412"/>
      <c r="D449" s="412"/>
      <c r="E449" s="412"/>
      <c r="F449" s="412"/>
      <c r="G449" s="412"/>
      <c r="H449" s="412"/>
      <c r="I449" s="412"/>
      <c r="J449" s="412"/>
      <c r="K449" s="412"/>
      <c r="L449" s="412"/>
      <c r="M449" s="412"/>
      <c r="N449" s="412"/>
      <c r="O449" s="412"/>
      <c r="P449" s="412"/>
      <c r="Q449" s="412"/>
      <c r="R449" s="412"/>
      <c r="S449" s="412"/>
      <c r="T449" s="412"/>
      <c r="U449" s="412"/>
      <c r="V449" s="412"/>
      <c r="W449" s="412"/>
      <c r="X449" s="412"/>
      <c r="Y449" s="412"/>
      <c r="Z449" s="412"/>
    </row>
    <row r="450" ht="13.5" customHeight="1">
      <c r="A450" s="473"/>
      <c r="B450" s="412"/>
      <c r="C450" s="412"/>
      <c r="D450" s="412"/>
      <c r="E450" s="412"/>
      <c r="F450" s="412"/>
      <c r="G450" s="412"/>
      <c r="H450" s="412"/>
      <c r="I450" s="412"/>
      <c r="J450" s="412"/>
      <c r="K450" s="412"/>
      <c r="L450" s="412"/>
      <c r="M450" s="412"/>
      <c r="N450" s="412"/>
      <c r="O450" s="412"/>
      <c r="P450" s="412"/>
      <c r="Q450" s="412"/>
      <c r="R450" s="412"/>
      <c r="S450" s="412"/>
      <c r="T450" s="412"/>
      <c r="U450" s="412"/>
      <c r="V450" s="412"/>
      <c r="W450" s="412"/>
      <c r="X450" s="412"/>
      <c r="Y450" s="412"/>
      <c r="Z450" s="412"/>
    </row>
    <row r="451" ht="13.5" customHeight="1">
      <c r="A451" s="473"/>
      <c r="B451" s="412"/>
      <c r="C451" s="412"/>
      <c r="D451" s="412"/>
      <c r="E451" s="412"/>
      <c r="F451" s="412"/>
      <c r="G451" s="412"/>
      <c r="H451" s="412"/>
      <c r="I451" s="412"/>
      <c r="J451" s="412"/>
      <c r="K451" s="412"/>
      <c r="L451" s="412"/>
      <c r="M451" s="412"/>
      <c r="N451" s="412"/>
      <c r="O451" s="412"/>
      <c r="P451" s="412"/>
      <c r="Q451" s="412"/>
      <c r="R451" s="412"/>
      <c r="S451" s="412"/>
      <c r="T451" s="412"/>
      <c r="U451" s="412"/>
      <c r="V451" s="412"/>
      <c r="W451" s="412"/>
      <c r="X451" s="412"/>
      <c r="Y451" s="412"/>
      <c r="Z451" s="412"/>
    </row>
    <row r="452" ht="13.5" customHeight="1">
      <c r="A452" s="473"/>
      <c r="B452" s="412"/>
      <c r="C452" s="412"/>
      <c r="D452" s="412"/>
      <c r="E452" s="412"/>
      <c r="F452" s="412"/>
      <c r="G452" s="412"/>
      <c r="H452" s="412"/>
      <c r="I452" s="412"/>
      <c r="J452" s="412"/>
      <c r="K452" s="412"/>
      <c r="L452" s="412"/>
      <c r="M452" s="412"/>
      <c r="N452" s="412"/>
      <c r="O452" s="412"/>
      <c r="P452" s="412"/>
      <c r="Q452" s="412"/>
      <c r="R452" s="412"/>
      <c r="S452" s="412"/>
      <c r="T452" s="412"/>
      <c r="U452" s="412"/>
      <c r="V452" s="412"/>
      <c r="W452" s="412"/>
      <c r="X452" s="412"/>
      <c r="Y452" s="412"/>
      <c r="Z452" s="412"/>
    </row>
    <row r="453" ht="13.5" customHeight="1">
      <c r="A453" s="473"/>
      <c r="B453" s="412"/>
      <c r="C453" s="412"/>
      <c r="D453" s="412"/>
      <c r="E453" s="412"/>
      <c r="F453" s="412"/>
      <c r="G453" s="412"/>
      <c r="H453" s="412"/>
      <c r="I453" s="412"/>
      <c r="J453" s="412"/>
      <c r="K453" s="412"/>
      <c r="L453" s="412"/>
      <c r="M453" s="412"/>
      <c r="N453" s="412"/>
      <c r="O453" s="412"/>
      <c r="P453" s="412"/>
      <c r="Q453" s="412"/>
      <c r="R453" s="412"/>
      <c r="S453" s="412"/>
      <c r="T453" s="412"/>
      <c r="U453" s="412"/>
      <c r="V453" s="412"/>
      <c r="W453" s="412"/>
      <c r="X453" s="412"/>
      <c r="Y453" s="412"/>
      <c r="Z453" s="412"/>
    </row>
    <row r="454" ht="13.5" customHeight="1">
      <c r="A454" s="473"/>
      <c r="B454" s="412"/>
      <c r="C454" s="412"/>
      <c r="D454" s="412"/>
      <c r="E454" s="412"/>
      <c r="F454" s="412"/>
      <c r="G454" s="412"/>
      <c r="H454" s="412"/>
      <c r="I454" s="412"/>
      <c r="J454" s="412"/>
      <c r="K454" s="412"/>
      <c r="L454" s="412"/>
      <c r="M454" s="412"/>
      <c r="N454" s="412"/>
      <c r="O454" s="412"/>
      <c r="P454" s="412"/>
      <c r="Q454" s="412"/>
      <c r="R454" s="412"/>
      <c r="S454" s="412"/>
      <c r="T454" s="412"/>
      <c r="U454" s="412"/>
      <c r="V454" s="412"/>
      <c r="W454" s="412"/>
      <c r="X454" s="412"/>
      <c r="Y454" s="412"/>
      <c r="Z454" s="412"/>
    </row>
    <row r="455" ht="13.5" customHeight="1">
      <c r="A455" s="473"/>
      <c r="B455" s="412"/>
      <c r="C455" s="412"/>
      <c r="D455" s="412"/>
      <c r="E455" s="412"/>
      <c r="F455" s="412"/>
      <c r="G455" s="412"/>
      <c r="H455" s="412"/>
      <c r="I455" s="412"/>
      <c r="J455" s="412"/>
      <c r="K455" s="412"/>
      <c r="L455" s="412"/>
      <c r="M455" s="412"/>
      <c r="N455" s="412"/>
      <c r="O455" s="412"/>
      <c r="P455" s="412"/>
      <c r="Q455" s="412"/>
      <c r="R455" s="412"/>
      <c r="S455" s="412"/>
      <c r="T455" s="412"/>
      <c r="U455" s="412"/>
      <c r="V455" s="412"/>
      <c r="W455" s="412"/>
      <c r="X455" s="412"/>
      <c r="Y455" s="412"/>
      <c r="Z455" s="412"/>
    </row>
    <row r="456" ht="13.5" customHeight="1">
      <c r="A456" s="473"/>
      <c r="B456" s="412"/>
      <c r="C456" s="412"/>
      <c r="D456" s="412"/>
      <c r="E456" s="412"/>
      <c r="F456" s="412"/>
      <c r="G456" s="412"/>
      <c r="H456" s="412"/>
      <c r="I456" s="412"/>
      <c r="J456" s="412"/>
      <c r="K456" s="412"/>
      <c r="L456" s="412"/>
      <c r="M456" s="412"/>
      <c r="N456" s="412"/>
      <c r="O456" s="412"/>
      <c r="P456" s="412"/>
      <c r="Q456" s="412"/>
      <c r="R456" s="412"/>
      <c r="S456" s="412"/>
      <c r="T456" s="412"/>
      <c r="U456" s="412"/>
      <c r="V456" s="412"/>
      <c r="W456" s="412"/>
      <c r="X456" s="412"/>
      <c r="Y456" s="412"/>
      <c r="Z456" s="412"/>
    </row>
    <row r="457" ht="13.5" customHeight="1">
      <c r="A457" s="473"/>
      <c r="B457" s="412"/>
      <c r="C457" s="412"/>
      <c r="D457" s="412"/>
      <c r="E457" s="412"/>
      <c r="F457" s="412"/>
      <c r="G457" s="412"/>
      <c r="H457" s="412"/>
      <c r="I457" s="412"/>
      <c r="J457" s="412"/>
      <c r="K457" s="412"/>
      <c r="L457" s="412"/>
      <c r="M457" s="412"/>
      <c r="N457" s="412"/>
      <c r="O457" s="412"/>
      <c r="P457" s="412"/>
      <c r="Q457" s="412"/>
      <c r="R457" s="412"/>
      <c r="S457" s="412"/>
      <c r="T457" s="412"/>
      <c r="U457" s="412"/>
      <c r="V457" s="412"/>
      <c r="W457" s="412"/>
      <c r="X457" s="412"/>
      <c r="Y457" s="412"/>
      <c r="Z457" s="412"/>
    </row>
    <row r="458" ht="13.5" customHeight="1">
      <c r="A458" s="473"/>
      <c r="B458" s="412"/>
      <c r="C458" s="412"/>
      <c r="D458" s="412"/>
      <c r="E458" s="412"/>
      <c r="F458" s="412"/>
      <c r="G458" s="412"/>
      <c r="H458" s="412"/>
      <c r="I458" s="412"/>
      <c r="J458" s="412"/>
      <c r="K458" s="412"/>
      <c r="L458" s="412"/>
      <c r="M458" s="412"/>
      <c r="N458" s="412"/>
      <c r="O458" s="412"/>
      <c r="P458" s="412"/>
      <c r="Q458" s="412"/>
      <c r="R458" s="412"/>
      <c r="S458" s="412"/>
      <c r="T458" s="412"/>
      <c r="U458" s="412"/>
      <c r="V458" s="412"/>
      <c r="W458" s="412"/>
      <c r="X458" s="412"/>
      <c r="Y458" s="412"/>
      <c r="Z458" s="412"/>
    </row>
    <row r="459" ht="13.5" customHeight="1">
      <c r="A459" s="473"/>
      <c r="B459" s="412"/>
      <c r="C459" s="412"/>
      <c r="D459" s="412"/>
      <c r="E459" s="412"/>
      <c r="F459" s="412"/>
      <c r="G459" s="412"/>
      <c r="H459" s="412"/>
      <c r="I459" s="412"/>
      <c r="J459" s="412"/>
      <c r="K459" s="412"/>
      <c r="L459" s="412"/>
      <c r="M459" s="412"/>
      <c r="N459" s="412"/>
      <c r="O459" s="412"/>
      <c r="P459" s="412"/>
      <c r="Q459" s="412"/>
      <c r="R459" s="412"/>
      <c r="S459" s="412"/>
      <c r="T459" s="412"/>
      <c r="U459" s="412"/>
      <c r="V459" s="412"/>
      <c r="W459" s="412"/>
      <c r="X459" s="412"/>
      <c r="Y459" s="412"/>
      <c r="Z459" s="412"/>
    </row>
    <row r="460" ht="13.5" customHeight="1">
      <c r="A460" s="473"/>
      <c r="B460" s="412"/>
      <c r="C460" s="412"/>
      <c r="D460" s="412"/>
      <c r="E460" s="412"/>
      <c r="F460" s="412"/>
      <c r="G460" s="412"/>
      <c r="H460" s="412"/>
      <c r="I460" s="412"/>
      <c r="J460" s="412"/>
      <c r="K460" s="412"/>
      <c r="L460" s="412"/>
      <c r="M460" s="412"/>
      <c r="N460" s="412"/>
      <c r="O460" s="412"/>
      <c r="P460" s="412"/>
      <c r="Q460" s="412"/>
      <c r="R460" s="412"/>
      <c r="S460" s="412"/>
      <c r="T460" s="412"/>
      <c r="U460" s="412"/>
      <c r="V460" s="412"/>
      <c r="W460" s="412"/>
      <c r="X460" s="412"/>
      <c r="Y460" s="412"/>
      <c r="Z460" s="412"/>
    </row>
    <row r="461" ht="13.5" customHeight="1">
      <c r="A461" s="473"/>
      <c r="B461" s="412"/>
      <c r="C461" s="412"/>
      <c r="D461" s="412"/>
      <c r="E461" s="412"/>
      <c r="F461" s="412"/>
      <c r="G461" s="412"/>
      <c r="H461" s="412"/>
      <c r="I461" s="412"/>
      <c r="J461" s="412"/>
      <c r="K461" s="412"/>
      <c r="L461" s="412"/>
      <c r="M461" s="412"/>
      <c r="N461" s="412"/>
      <c r="O461" s="412"/>
      <c r="P461" s="412"/>
      <c r="Q461" s="412"/>
      <c r="R461" s="412"/>
      <c r="S461" s="412"/>
      <c r="T461" s="412"/>
      <c r="U461" s="412"/>
      <c r="V461" s="412"/>
      <c r="W461" s="412"/>
      <c r="X461" s="412"/>
      <c r="Y461" s="412"/>
      <c r="Z461" s="412"/>
    </row>
    <row r="462" ht="13.5" customHeight="1">
      <c r="A462" s="473"/>
      <c r="B462" s="412"/>
      <c r="C462" s="412"/>
      <c r="D462" s="412"/>
      <c r="E462" s="412"/>
      <c r="F462" s="412"/>
      <c r="G462" s="412"/>
      <c r="H462" s="412"/>
      <c r="I462" s="412"/>
      <c r="J462" s="412"/>
      <c r="K462" s="412"/>
      <c r="L462" s="412"/>
      <c r="M462" s="412"/>
      <c r="N462" s="412"/>
      <c r="O462" s="412"/>
      <c r="P462" s="412"/>
      <c r="Q462" s="412"/>
      <c r="R462" s="412"/>
      <c r="S462" s="412"/>
      <c r="T462" s="412"/>
      <c r="U462" s="412"/>
      <c r="V462" s="412"/>
      <c r="W462" s="412"/>
      <c r="X462" s="412"/>
      <c r="Y462" s="412"/>
      <c r="Z462" s="412"/>
    </row>
    <row r="463" ht="13.5" customHeight="1">
      <c r="A463" s="473"/>
      <c r="B463" s="412"/>
      <c r="C463" s="412"/>
      <c r="D463" s="412"/>
      <c r="E463" s="412"/>
      <c r="F463" s="412"/>
      <c r="G463" s="412"/>
      <c r="H463" s="412"/>
      <c r="I463" s="412"/>
      <c r="J463" s="412"/>
      <c r="K463" s="412"/>
      <c r="L463" s="412"/>
      <c r="M463" s="412"/>
      <c r="N463" s="412"/>
      <c r="O463" s="412"/>
      <c r="P463" s="412"/>
      <c r="Q463" s="412"/>
      <c r="R463" s="412"/>
      <c r="S463" s="412"/>
      <c r="T463" s="412"/>
      <c r="U463" s="412"/>
      <c r="V463" s="412"/>
      <c r="W463" s="412"/>
      <c r="X463" s="412"/>
      <c r="Y463" s="412"/>
      <c r="Z463" s="412"/>
    </row>
    <row r="464" ht="13.5" customHeight="1">
      <c r="A464" s="473"/>
      <c r="B464" s="412"/>
      <c r="C464" s="412"/>
      <c r="D464" s="412"/>
      <c r="E464" s="412"/>
      <c r="F464" s="412"/>
      <c r="G464" s="412"/>
      <c r="H464" s="412"/>
      <c r="I464" s="412"/>
      <c r="J464" s="412"/>
      <c r="K464" s="412"/>
      <c r="L464" s="412"/>
      <c r="M464" s="412"/>
      <c r="N464" s="412"/>
      <c r="O464" s="412"/>
      <c r="P464" s="412"/>
      <c r="Q464" s="412"/>
      <c r="R464" s="412"/>
      <c r="S464" s="412"/>
      <c r="T464" s="412"/>
      <c r="U464" s="412"/>
      <c r="V464" s="412"/>
      <c r="W464" s="412"/>
      <c r="X464" s="412"/>
      <c r="Y464" s="412"/>
      <c r="Z464" s="412"/>
    </row>
    <row r="465" ht="13.5" customHeight="1">
      <c r="A465" s="473"/>
      <c r="B465" s="412"/>
      <c r="C465" s="412"/>
      <c r="D465" s="412"/>
      <c r="E465" s="412"/>
      <c r="F465" s="412"/>
      <c r="G465" s="412"/>
      <c r="H465" s="412"/>
      <c r="I465" s="412"/>
      <c r="J465" s="412"/>
      <c r="K465" s="412"/>
      <c r="L465" s="412"/>
      <c r="M465" s="412"/>
      <c r="N465" s="412"/>
      <c r="O465" s="412"/>
      <c r="P465" s="412"/>
      <c r="Q465" s="412"/>
      <c r="R465" s="412"/>
      <c r="S465" s="412"/>
      <c r="T465" s="412"/>
      <c r="U465" s="412"/>
      <c r="V465" s="412"/>
      <c r="W465" s="412"/>
      <c r="X465" s="412"/>
      <c r="Y465" s="412"/>
      <c r="Z465" s="412"/>
    </row>
    <row r="466" ht="13.5" customHeight="1">
      <c r="A466" s="473"/>
      <c r="B466" s="412"/>
      <c r="C466" s="412"/>
      <c r="D466" s="412"/>
      <c r="E466" s="412"/>
      <c r="F466" s="412"/>
      <c r="G466" s="412"/>
      <c r="H466" s="412"/>
      <c r="I466" s="412"/>
      <c r="J466" s="412"/>
      <c r="K466" s="412"/>
      <c r="L466" s="412"/>
      <c r="M466" s="412"/>
      <c r="N466" s="412"/>
      <c r="O466" s="412"/>
      <c r="P466" s="412"/>
      <c r="Q466" s="412"/>
      <c r="R466" s="412"/>
      <c r="S466" s="412"/>
      <c r="T466" s="412"/>
      <c r="U466" s="412"/>
      <c r="V466" s="412"/>
      <c r="W466" s="412"/>
      <c r="X466" s="412"/>
      <c r="Y466" s="412"/>
      <c r="Z466" s="412"/>
    </row>
    <row r="467" ht="13.5" customHeight="1">
      <c r="A467" s="473"/>
      <c r="B467" s="412"/>
      <c r="C467" s="412"/>
      <c r="D467" s="412"/>
      <c r="E467" s="412"/>
      <c r="F467" s="412"/>
      <c r="G467" s="412"/>
      <c r="H467" s="412"/>
      <c r="I467" s="412"/>
      <c r="J467" s="412"/>
      <c r="K467" s="412"/>
      <c r="L467" s="412"/>
      <c r="M467" s="412"/>
      <c r="N467" s="412"/>
      <c r="O467" s="412"/>
      <c r="P467" s="412"/>
      <c r="Q467" s="412"/>
      <c r="R467" s="412"/>
      <c r="S467" s="412"/>
      <c r="T467" s="412"/>
      <c r="U467" s="412"/>
      <c r="V467" s="412"/>
      <c r="W467" s="412"/>
      <c r="X467" s="412"/>
      <c r="Y467" s="412"/>
      <c r="Z467" s="412"/>
    </row>
    <row r="468" ht="13.5" customHeight="1">
      <c r="A468" s="473"/>
      <c r="B468" s="412"/>
      <c r="C468" s="412"/>
      <c r="D468" s="412"/>
      <c r="E468" s="412"/>
      <c r="F468" s="412"/>
      <c r="G468" s="412"/>
      <c r="H468" s="412"/>
      <c r="I468" s="412"/>
      <c r="J468" s="412"/>
      <c r="K468" s="412"/>
      <c r="L468" s="412"/>
      <c r="M468" s="412"/>
      <c r="N468" s="412"/>
      <c r="O468" s="412"/>
      <c r="P468" s="412"/>
      <c r="Q468" s="412"/>
      <c r="R468" s="412"/>
      <c r="S468" s="412"/>
      <c r="T468" s="412"/>
      <c r="U468" s="412"/>
      <c r="V468" s="412"/>
      <c r="W468" s="412"/>
      <c r="X468" s="412"/>
      <c r="Y468" s="412"/>
      <c r="Z468" s="412"/>
    </row>
    <row r="469" ht="13.5" customHeight="1">
      <c r="A469" s="473"/>
      <c r="B469" s="412"/>
      <c r="C469" s="412"/>
      <c r="D469" s="412"/>
      <c r="E469" s="412"/>
      <c r="F469" s="412"/>
      <c r="G469" s="412"/>
      <c r="H469" s="412"/>
      <c r="I469" s="412"/>
      <c r="J469" s="412"/>
      <c r="K469" s="412"/>
      <c r="L469" s="412"/>
      <c r="M469" s="412"/>
      <c r="N469" s="412"/>
      <c r="O469" s="412"/>
      <c r="P469" s="412"/>
      <c r="Q469" s="412"/>
      <c r="R469" s="412"/>
      <c r="S469" s="412"/>
      <c r="T469" s="412"/>
      <c r="U469" s="412"/>
      <c r="V469" s="412"/>
      <c r="W469" s="412"/>
      <c r="X469" s="412"/>
      <c r="Y469" s="412"/>
      <c r="Z469" s="412"/>
    </row>
    <row r="470" ht="13.5" customHeight="1">
      <c r="A470" s="473"/>
      <c r="B470" s="412"/>
      <c r="C470" s="412"/>
      <c r="D470" s="412"/>
      <c r="E470" s="412"/>
      <c r="F470" s="412"/>
      <c r="G470" s="412"/>
      <c r="H470" s="412"/>
      <c r="I470" s="412"/>
      <c r="J470" s="412"/>
      <c r="K470" s="412"/>
      <c r="L470" s="412"/>
      <c r="M470" s="412"/>
      <c r="N470" s="412"/>
      <c r="O470" s="412"/>
      <c r="P470" s="412"/>
      <c r="Q470" s="412"/>
      <c r="R470" s="412"/>
      <c r="S470" s="412"/>
      <c r="T470" s="412"/>
      <c r="U470" s="412"/>
      <c r="V470" s="412"/>
      <c r="W470" s="412"/>
      <c r="X470" s="412"/>
      <c r="Y470" s="412"/>
      <c r="Z470" s="412"/>
    </row>
    <row r="471" ht="13.5" customHeight="1">
      <c r="A471" s="473"/>
      <c r="B471" s="412"/>
      <c r="C471" s="412"/>
      <c r="D471" s="412"/>
      <c r="E471" s="412"/>
      <c r="F471" s="412"/>
      <c r="G471" s="412"/>
      <c r="H471" s="412"/>
      <c r="I471" s="412"/>
      <c r="J471" s="412"/>
      <c r="K471" s="412"/>
      <c r="L471" s="412"/>
      <c r="M471" s="412"/>
      <c r="N471" s="412"/>
      <c r="O471" s="412"/>
      <c r="P471" s="412"/>
      <c r="Q471" s="412"/>
      <c r="R471" s="412"/>
      <c r="S471" s="412"/>
      <c r="T471" s="412"/>
      <c r="U471" s="412"/>
      <c r="V471" s="412"/>
      <c r="W471" s="412"/>
      <c r="X471" s="412"/>
      <c r="Y471" s="412"/>
      <c r="Z471" s="412"/>
    </row>
    <row r="472" ht="13.5" customHeight="1">
      <c r="A472" s="473"/>
      <c r="B472" s="412"/>
      <c r="C472" s="412"/>
      <c r="D472" s="412"/>
      <c r="E472" s="412"/>
      <c r="F472" s="412"/>
      <c r="G472" s="412"/>
      <c r="H472" s="412"/>
      <c r="I472" s="412"/>
      <c r="J472" s="412"/>
      <c r="K472" s="412"/>
      <c r="L472" s="412"/>
      <c r="M472" s="412"/>
      <c r="N472" s="412"/>
      <c r="O472" s="412"/>
      <c r="P472" s="412"/>
      <c r="Q472" s="412"/>
      <c r="R472" s="412"/>
      <c r="S472" s="412"/>
      <c r="T472" s="412"/>
      <c r="U472" s="412"/>
      <c r="V472" s="412"/>
      <c r="W472" s="412"/>
      <c r="X472" s="412"/>
      <c r="Y472" s="412"/>
      <c r="Z472" s="412"/>
    </row>
    <row r="473" ht="13.5" customHeight="1">
      <c r="A473" s="473"/>
      <c r="B473" s="412"/>
      <c r="C473" s="412"/>
      <c r="D473" s="412"/>
      <c r="E473" s="412"/>
      <c r="F473" s="412"/>
      <c r="G473" s="412"/>
      <c r="H473" s="412"/>
      <c r="I473" s="412"/>
      <c r="J473" s="412"/>
      <c r="K473" s="412"/>
      <c r="L473" s="412"/>
      <c r="M473" s="412"/>
      <c r="N473" s="412"/>
      <c r="O473" s="412"/>
      <c r="P473" s="412"/>
      <c r="Q473" s="412"/>
      <c r="R473" s="412"/>
      <c r="S473" s="412"/>
      <c r="T473" s="412"/>
      <c r="U473" s="412"/>
      <c r="V473" s="412"/>
      <c r="W473" s="412"/>
      <c r="X473" s="412"/>
      <c r="Y473" s="412"/>
      <c r="Z473" s="412"/>
    </row>
    <row r="474" ht="13.5" customHeight="1">
      <c r="A474" s="473"/>
      <c r="B474" s="412"/>
      <c r="C474" s="412"/>
      <c r="D474" s="412"/>
      <c r="E474" s="412"/>
      <c r="F474" s="412"/>
      <c r="G474" s="412"/>
      <c r="H474" s="412"/>
      <c r="I474" s="412"/>
      <c r="J474" s="412"/>
      <c r="K474" s="412"/>
      <c r="L474" s="412"/>
      <c r="M474" s="412"/>
      <c r="N474" s="412"/>
      <c r="O474" s="412"/>
      <c r="P474" s="412"/>
      <c r="Q474" s="412"/>
      <c r="R474" s="412"/>
      <c r="S474" s="412"/>
      <c r="T474" s="412"/>
      <c r="U474" s="412"/>
      <c r="V474" s="412"/>
      <c r="W474" s="412"/>
      <c r="X474" s="412"/>
      <c r="Y474" s="412"/>
      <c r="Z474" s="412"/>
    </row>
    <row r="475" ht="13.5" customHeight="1">
      <c r="A475" s="473"/>
      <c r="B475" s="412"/>
      <c r="C475" s="412"/>
      <c r="D475" s="412"/>
      <c r="E475" s="412"/>
      <c r="F475" s="412"/>
      <c r="G475" s="412"/>
      <c r="H475" s="412"/>
      <c r="I475" s="412"/>
      <c r="J475" s="412"/>
      <c r="K475" s="412"/>
      <c r="L475" s="412"/>
      <c r="M475" s="412"/>
      <c r="N475" s="412"/>
      <c r="O475" s="412"/>
      <c r="P475" s="412"/>
      <c r="Q475" s="412"/>
      <c r="R475" s="412"/>
      <c r="S475" s="412"/>
      <c r="T475" s="412"/>
      <c r="U475" s="412"/>
      <c r="V475" s="412"/>
      <c r="W475" s="412"/>
      <c r="X475" s="412"/>
      <c r="Y475" s="412"/>
      <c r="Z475" s="412"/>
    </row>
    <row r="476" ht="13.5" customHeight="1">
      <c r="A476" s="473"/>
      <c r="B476" s="412"/>
      <c r="C476" s="412"/>
      <c r="D476" s="412"/>
      <c r="E476" s="412"/>
      <c r="F476" s="412"/>
      <c r="G476" s="412"/>
      <c r="H476" s="412"/>
      <c r="I476" s="412"/>
      <c r="J476" s="412"/>
      <c r="K476" s="412"/>
      <c r="L476" s="412"/>
      <c r="M476" s="412"/>
      <c r="N476" s="412"/>
      <c r="O476" s="412"/>
      <c r="P476" s="412"/>
      <c r="Q476" s="412"/>
      <c r="R476" s="412"/>
      <c r="S476" s="412"/>
      <c r="T476" s="412"/>
      <c r="U476" s="412"/>
      <c r="V476" s="412"/>
      <c r="W476" s="412"/>
      <c r="X476" s="412"/>
      <c r="Y476" s="412"/>
      <c r="Z476" s="412"/>
    </row>
    <row r="477" ht="13.5" customHeight="1">
      <c r="A477" s="473"/>
      <c r="B477" s="412"/>
      <c r="C477" s="412"/>
      <c r="D477" s="412"/>
      <c r="E477" s="412"/>
      <c r="F477" s="412"/>
      <c r="G477" s="412"/>
      <c r="H477" s="412"/>
      <c r="I477" s="412"/>
      <c r="J477" s="412"/>
      <c r="K477" s="412"/>
      <c r="L477" s="412"/>
      <c r="M477" s="412"/>
      <c r="N477" s="412"/>
      <c r="O477" s="412"/>
      <c r="P477" s="412"/>
      <c r="Q477" s="412"/>
      <c r="R477" s="412"/>
      <c r="S477" s="412"/>
      <c r="T477" s="412"/>
      <c r="U477" s="412"/>
      <c r="V477" s="412"/>
      <c r="W477" s="412"/>
      <c r="X477" s="412"/>
      <c r="Y477" s="412"/>
      <c r="Z477" s="412"/>
    </row>
    <row r="478" ht="13.5" customHeight="1">
      <c r="A478" s="473"/>
      <c r="B478" s="412"/>
      <c r="C478" s="412"/>
      <c r="D478" s="412"/>
      <c r="E478" s="412"/>
      <c r="F478" s="412"/>
      <c r="G478" s="412"/>
      <c r="H478" s="412"/>
      <c r="I478" s="412"/>
      <c r="J478" s="412"/>
      <c r="K478" s="412"/>
      <c r="L478" s="412"/>
      <c r="M478" s="412"/>
      <c r="N478" s="412"/>
      <c r="O478" s="412"/>
      <c r="P478" s="412"/>
      <c r="Q478" s="412"/>
      <c r="R478" s="412"/>
      <c r="S478" s="412"/>
      <c r="T478" s="412"/>
      <c r="U478" s="412"/>
      <c r="V478" s="412"/>
      <c r="W478" s="412"/>
      <c r="X478" s="412"/>
      <c r="Y478" s="412"/>
      <c r="Z478" s="412"/>
    </row>
    <row r="479" ht="13.5" customHeight="1">
      <c r="A479" s="473"/>
      <c r="B479" s="412"/>
      <c r="C479" s="412"/>
      <c r="D479" s="412"/>
      <c r="E479" s="412"/>
      <c r="F479" s="412"/>
      <c r="G479" s="412"/>
      <c r="H479" s="412"/>
      <c r="I479" s="412"/>
      <c r="J479" s="412"/>
      <c r="K479" s="412"/>
      <c r="L479" s="412"/>
      <c r="M479" s="412"/>
      <c r="N479" s="412"/>
      <c r="O479" s="412"/>
      <c r="P479" s="412"/>
      <c r="Q479" s="412"/>
      <c r="R479" s="412"/>
      <c r="S479" s="412"/>
      <c r="T479" s="412"/>
      <c r="U479" s="412"/>
      <c r="V479" s="412"/>
      <c r="W479" s="412"/>
      <c r="X479" s="412"/>
      <c r="Y479" s="412"/>
      <c r="Z479" s="412"/>
    </row>
    <row r="480" ht="13.5" customHeight="1">
      <c r="A480" s="473"/>
      <c r="B480" s="412"/>
      <c r="C480" s="412"/>
      <c r="D480" s="412"/>
      <c r="E480" s="412"/>
      <c r="F480" s="412"/>
      <c r="G480" s="412"/>
      <c r="H480" s="412"/>
      <c r="I480" s="412"/>
      <c r="J480" s="412"/>
      <c r="K480" s="412"/>
      <c r="L480" s="412"/>
      <c r="M480" s="412"/>
      <c r="N480" s="412"/>
      <c r="O480" s="412"/>
      <c r="P480" s="412"/>
      <c r="Q480" s="412"/>
      <c r="R480" s="412"/>
      <c r="S480" s="412"/>
      <c r="T480" s="412"/>
      <c r="U480" s="412"/>
      <c r="V480" s="412"/>
      <c r="W480" s="412"/>
      <c r="X480" s="412"/>
      <c r="Y480" s="412"/>
      <c r="Z480" s="412"/>
    </row>
    <row r="481" ht="13.5" customHeight="1">
      <c r="A481" s="473"/>
      <c r="B481" s="412"/>
      <c r="C481" s="412"/>
      <c r="D481" s="412"/>
      <c r="E481" s="412"/>
      <c r="F481" s="412"/>
      <c r="G481" s="412"/>
      <c r="H481" s="412"/>
      <c r="I481" s="412"/>
      <c r="J481" s="412"/>
      <c r="K481" s="412"/>
      <c r="L481" s="412"/>
      <c r="M481" s="412"/>
      <c r="N481" s="412"/>
      <c r="O481" s="412"/>
      <c r="P481" s="412"/>
      <c r="Q481" s="412"/>
      <c r="R481" s="412"/>
      <c r="S481" s="412"/>
      <c r="T481" s="412"/>
      <c r="U481" s="412"/>
      <c r="V481" s="412"/>
      <c r="W481" s="412"/>
      <c r="X481" s="412"/>
      <c r="Y481" s="412"/>
      <c r="Z481" s="412"/>
    </row>
    <row r="482" ht="13.5" customHeight="1">
      <c r="A482" s="473"/>
      <c r="B482" s="412"/>
      <c r="C482" s="412"/>
      <c r="D482" s="412"/>
      <c r="E482" s="412"/>
      <c r="F482" s="412"/>
      <c r="G482" s="412"/>
      <c r="H482" s="412"/>
      <c r="I482" s="412"/>
      <c r="J482" s="412"/>
      <c r="K482" s="412"/>
      <c r="L482" s="412"/>
      <c r="M482" s="412"/>
      <c r="N482" s="412"/>
      <c r="O482" s="412"/>
      <c r="P482" s="412"/>
      <c r="Q482" s="412"/>
      <c r="R482" s="412"/>
      <c r="S482" s="412"/>
      <c r="T482" s="412"/>
      <c r="U482" s="412"/>
      <c r="V482" s="412"/>
      <c r="W482" s="412"/>
      <c r="X482" s="412"/>
      <c r="Y482" s="412"/>
      <c r="Z482" s="412"/>
    </row>
    <row r="483" ht="13.5" customHeight="1">
      <c r="A483" s="473"/>
      <c r="B483" s="412"/>
      <c r="C483" s="412"/>
      <c r="D483" s="412"/>
      <c r="E483" s="412"/>
      <c r="F483" s="412"/>
      <c r="G483" s="412"/>
      <c r="H483" s="412"/>
      <c r="I483" s="412"/>
      <c r="J483" s="412"/>
      <c r="K483" s="412"/>
      <c r="L483" s="412"/>
      <c r="M483" s="412"/>
      <c r="N483" s="412"/>
      <c r="O483" s="412"/>
      <c r="P483" s="412"/>
      <c r="Q483" s="412"/>
      <c r="R483" s="412"/>
      <c r="S483" s="412"/>
      <c r="T483" s="412"/>
      <c r="U483" s="412"/>
      <c r="V483" s="412"/>
      <c r="W483" s="412"/>
      <c r="X483" s="412"/>
      <c r="Y483" s="412"/>
      <c r="Z483" s="412"/>
    </row>
    <row r="484" ht="13.5" customHeight="1">
      <c r="A484" s="473"/>
      <c r="B484" s="412"/>
      <c r="C484" s="412"/>
      <c r="D484" s="412"/>
      <c r="E484" s="412"/>
      <c r="F484" s="412"/>
      <c r="G484" s="412"/>
      <c r="H484" s="412"/>
      <c r="I484" s="412"/>
      <c r="J484" s="412"/>
      <c r="K484" s="412"/>
      <c r="L484" s="412"/>
      <c r="M484" s="412"/>
      <c r="N484" s="412"/>
      <c r="O484" s="412"/>
      <c r="P484" s="412"/>
      <c r="Q484" s="412"/>
      <c r="R484" s="412"/>
      <c r="S484" s="412"/>
      <c r="T484" s="412"/>
      <c r="U484" s="412"/>
      <c r="V484" s="412"/>
      <c r="W484" s="412"/>
      <c r="X484" s="412"/>
      <c r="Y484" s="412"/>
      <c r="Z484" s="412"/>
    </row>
    <row r="485" ht="13.5" customHeight="1">
      <c r="A485" s="473"/>
      <c r="B485" s="412"/>
      <c r="C485" s="412"/>
      <c r="D485" s="412"/>
      <c r="E485" s="412"/>
      <c r="F485" s="412"/>
      <c r="G485" s="412"/>
      <c r="H485" s="412"/>
      <c r="I485" s="412"/>
      <c r="J485" s="412"/>
      <c r="K485" s="412"/>
      <c r="L485" s="412"/>
      <c r="M485" s="412"/>
      <c r="N485" s="412"/>
      <c r="O485" s="412"/>
      <c r="P485" s="412"/>
      <c r="Q485" s="412"/>
      <c r="R485" s="412"/>
      <c r="S485" s="412"/>
      <c r="T485" s="412"/>
      <c r="U485" s="412"/>
      <c r="V485" s="412"/>
      <c r="W485" s="412"/>
      <c r="X485" s="412"/>
      <c r="Y485" s="412"/>
      <c r="Z485" s="412"/>
    </row>
    <row r="486" ht="13.5" customHeight="1">
      <c r="A486" s="473"/>
      <c r="B486" s="412"/>
      <c r="C486" s="412"/>
      <c r="D486" s="412"/>
      <c r="E486" s="412"/>
      <c r="F486" s="412"/>
      <c r="G486" s="412"/>
      <c r="H486" s="412"/>
      <c r="I486" s="412"/>
      <c r="J486" s="412"/>
      <c r="K486" s="412"/>
      <c r="L486" s="412"/>
      <c r="M486" s="412"/>
      <c r="N486" s="412"/>
      <c r="O486" s="412"/>
      <c r="P486" s="412"/>
      <c r="Q486" s="412"/>
      <c r="R486" s="412"/>
      <c r="S486" s="412"/>
      <c r="T486" s="412"/>
      <c r="U486" s="412"/>
      <c r="V486" s="412"/>
      <c r="W486" s="412"/>
      <c r="X486" s="412"/>
      <c r="Y486" s="412"/>
      <c r="Z486" s="412"/>
    </row>
    <row r="487" ht="13.5" customHeight="1">
      <c r="A487" s="473"/>
      <c r="B487" s="412"/>
      <c r="C487" s="412"/>
      <c r="D487" s="412"/>
      <c r="E487" s="412"/>
      <c r="F487" s="412"/>
      <c r="G487" s="412"/>
      <c r="H487" s="412"/>
      <c r="I487" s="412"/>
      <c r="J487" s="412"/>
      <c r="K487" s="412"/>
      <c r="L487" s="412"/>
      <c r="M487" s="412"/>
      <c r="N487" s="412"/>
      <c r="O487" s="412"/>
      <c r="P487" s="412"/>
      <c r="Q487" s="412"/>
      <c r="R487" s="412"/>
      <c r="S487" s="412"/>
      <c r="T487" s="412"/>
      <c r="U487" s="412"/>
      <c r="V487" s="412"/>
      <c r="W487" s="412"/>
      <c r="X487" s="412"/>
      <c r="Y487" s="412"/>
      <c r="Z487" s="412"/>
    </row>
    <row r="488" ht="13.5" customHeight="1">
      <c r="A488" s="473"/>
      <c r="B488" s="412"/>
      <c r="C488" s="412"/>
      <c r="D488" s="412"/>
      <c r="E488" s="412"/>
      <c r="F488" s="412"/>
      <c r="G488" s="412"/>
      <c r="H488" s="412"/>
      <c r="I488" s="412"/>
      <c r="J488" s="412"/>
      <c r="K488" s="412"/>
      <c r="L488" s="412"/>
      <c r="M488" s="412"/>
      <c r="N488" s="412"/>
      <c r="O488" s="412"/>
      <c r="P488" s="412"/>
      <c r="Q488" s="412"/>
      <c r="R488" s="412"/>
      <c r="S488" s="412"/>
      <c r="T488" s="412"/>
      <c r="U488" s="412"/>
      <c r="V488" s="412"/>
      <c r="W488" s="412"/>
      <c r="X488" s="412"/>
      <c r="Y488" s="412"/>
      <c r="Z488" s="412"/>
    </row>
    <row r="489" ht="13.5" customHeight="1">
      <c r="A489" s="473"/>
      <c r="B489" s="412"/>
      <c r="C489" s="412"/>
      <c r="D489" s="412"/>
      <c r="E489" s="412"/>
      <c r="F489" s="412"/>
      <c r="G489" s="412"/>
      <c r="H489" s="412"/>
      <c r="I489" s="412"/>
      <c r="J489" s="412"/>
      <c r="K489" s="412"/>
      <c r="L489" s="412"/>
      <c r="M489" s="412"/>
      <c r="N489" s="412"/>
      <c r="O489" s="412"/>
      <c r="P489" s="412"/>
      <c r="Q489" s="412"/>
      <c r="R489" s="412"/>
      <c r="S489" s="412"/>
      <c r="T489" s="412"/>
      <c r="U489" s="412"/>
      <c r="V489" s="412"/>
      <c r="W489" s="412"/>
      <c r="X489" s="412"/>
      <c r="Y489" s="412"/>
      <c r="Z489" s="412"/>
    </row>
    <row r="490" ht="13.5" customHeight="1">
      <c r="A490" s="473"/>
      <c r="B490" s="412"/>
      <c r="C490" s="412"/>
      <c r="D490" s="412"/>
      <c r="E490" s="412"/>
      <c r="F490" s="412"/>
      <c r="G490" s="412"/>
      <c r="H490" s="412"/>
      <c r="I490" s="412"/>
      <c r="J490" s="412"/>
      <c r="K490" s="412"/>
      <c r="L490" s="412"/>
      <c r="M490" s="412"/>
      <c r="N490" s="412"/>
      <c r="O490" s="412"/>
      <c r="P490" s="412"/>
      <c r="Q490" s="412"/>
      <c r="R490" s="412"/>
      <c r="S490" s="412"/>
      <c r="T490" s="412"/>
      <c r="U490" s="412"/>
      <c r="V490" s="412"/>
      <c r="W490" s="412"/>
      <c r="X490" s="412"/>
      <c r="Y490" s="412"/>
      <c r="Z490" s="412"/>
    </row>
    <row r="491" ht="13.5" customHeight="1">
      <c r="A491" s="473"/>
      <c r="B491" s="412"/>
      <c r="C491" s="412"/>
      <c r="D491" s="412"/>
      <c r="E491" s="412"/>
      <c r="F491" s="412"/>
      <c r="G491" s="412"/>
      <c r="H491" s="412"/>
      <c r="I491" s="412"/>
      <c r="J491" s="412"/>
      <c r="K491" s="412"/>
      <c r="L491" s="412"/>
      <c r="M491" s="412"/>
      <c r="N491" s="412"/>
      <c r="O491" s="412"/>
      <c r="P491" s="412"/>
      <c r="Q491" s="412"/>
      <c r="R491" s="412"/>
      <c r="S491" s="412"/>
      <c r="T491" s="412"/>
      <c r="U491" s="412"/>
      <c r="V491" s="412"/>
      <c r="W491" s="412"/>
      <c r="X491" s="412"/>
      <c r="Y491" s="412"/>
      <c r="Z491" s="412"/>
    </row>
    <row r="492" ht="13.5" customHeight="1">
      <c r="A492" s="473"/>
      <c r="B492" s="412"/>
      <c r="C492" s="412"/>
      <c r="D492" s="412"/>
      <c r="E492" s="412"/>
      <c r="F492" s="412"/>
      <c r="G492" s="412"/>
      <c r="H492" s="412"/>
      <c r="I492" s="412"/>
      <c r="J492" s="412"/>
      <c r="K492" s="412"/>
      <c r="L492" s="412"/>
      <c r="M492" s="412"/>
      <c r="N492" s="412"/>
      <c r="O492" s="412"/>
      <c r="P492" s="412"/>
      <c r="Q492" s="412"/>
      <c r="R492" s="412"/>
      <c r="S492" s="412"/>
      <c r="T492" s="412"/>
      <c r="U492" s="412"/>
      <c r="V492" s="412"/>
      <c r="W492" s="412"/>
      <c r="X492" s="412"/>
      <c r="Y492" s="412"/>
      <c r="Z492" s="412"/>
    </row>
    <row r="493" ht="13.5" customHeight="1">
      <c r="A493" s="473"/>
      <c r="B493" s="412"/>
      <c r="C493" s="412"/>
      <c r="D493" s="412"/>
      <c r="E493" s="412"/>
      <c r="F493" s="412"/>
      <c r="G493" s="412"/>
      <c r="H493" s="412"/>
      <c r="I493" s="412"/>
      <c r="J493" s="412"/>
      <c r="K493" s="412"/>
      <c r="L493" s="412"/>
      <c r="M493" s="412"/>
      <c r="N493" s="412"/>
      <c r="O493" s="412"/>
      <c r="P493" s="412"/>
      <c r="Q493" s="412"/>
      <c r="R493" s="412"/>
      <c r="S493" s="412"/>
      <c r="T493" s="412"/>
      <c r="U493" s="412"/>
      <c r="V493" s="412"/>
      <c r="W493" s="412"/>
      <c r="X493" s="412"/>
      <c r="Y493" s="412"/>
      <c r="Z493" s="412"/>
    </row>
    <row r="494" ht="13.5" customHeight="1">
      <c r="A494" s="473"/>
      <c r="B494" s="412"/>
      <c r="C494" s="412"/>
      <c r="D494" s="412"/>
      <c r="E494" s="412"/>
      <c r="F494" s="412"/>
      <c r="G494" s="412"/>
      <c r="H494" s="412"/>
      <c r="I494" s="412"/>
      <c r="J494" s="412"/>
      <c r="K494" s="412"/>
      <c r="L494" s="412"/>
      <c r="M494" s="412"/>
      <c r="N494" s="412"/>
      <c r="O494" s="412"/>
      <c r="P494" s="412"/>
      <c r="Q494" s="412"/>
      <c r="R494" s="412"/>
      <c r="S494" s="412"/>
      <c r="T494" s="412"/>
      <c r="U494" s="412"/>
      <c r="V494" s="412"/>
      <c r="W494" s="412"/>
      <c r="X494" s="412"/>
      <c r="Y494" s="412"/>
      <c r="Z494" s="412"/>
    </row>
    <row r="495" ht="13.5" customHeight="1">
      <c r="A495" s="473"/>
      <c r="B495" s="412"/>
      <c r="C495" s="412"/>
      <c r="D495" s="412"/>
      <c r="E495" s="412"/>
      <c r="F495" s="412"/>
      <c r="G495" s="412"/>
      <c r="H495" s="412"/>
      <c r="I495" s="412"/>
      <c r="J495" s="412"/>
      <c r="K495" s="412"/>
      <c r="L495" s="412"/>
      <c r="M495" s="412"/>
      <c r="N495" s="412"/>
      <c r="O495" s="412"/>
      <c r="P495" s="412"/>
      <c r="Q495" s="412"/>
      <c r="R495" s="412"/>
      <c r="S495" s="412"/>
      <c r="T495" s="412"/>
      <c r="U495" s="412"/>
      <c r="V495" s="412"/>
      <c r="W495" s="412"/>
      <c r="X495" s="412"/>
      <c r="Y495" s="412"/>
      <c r="Z495" s="412"/>
    </row>
    <row r="496" ht="13.5" customHeight="1">
      <c r="A496" s="473"/>
      <c r="B496" s="412"/>
      <c r="C496" s="412"/>
      <c r="D496" s="412"/>
      <c r="E496" s="412"/>
      <c r="F496" s="412"/>
      <c r="G496" s="412"/>
      <c r="H496" s="412"/>
      <c r="I496" s="412"/>
      <c r="J496" s="412"/>
      <c r="K496" s="412"/>
      <c r="L496" s="412"/>
      <c r="M496" s="412"/>
      <c r="N496" s="412"/>
      <c r="O496" s="412"/>
      <c r="P496" s="412"/>
      <c r="Q496" s="412"/>
      <c r="R496" s="412"/>
      <c r="S496" s="412"/>
      <c r="T496" s="412"/>
      <c r="U496" s="412"/>
      <c r="V496" s="412"/>
      <c r="W496" s="412"/>
      <c r="X496" s="412"/>
      <c r="Y496" s="412"/>
      <c r="Z496" s="412"/>
    </row>
    <row r="497" ht="13.5" customHeight="1">
      <c r="A497" s="473"/>
      <c r="B497" s="412"/>
      <c r="C497" s="412"/>
      <c r="D497" s="412"/>
      <c r="E497" s="412"/>
      <c r="F497" s="412"/>
      <c r="G497" s="412"/>
      <c r="H497" s="412"/>
      <c r="I497" s="412"/>
      <c r="J497" s="412"/>
      <c r="K497" s="412"/>
      <c r="L497" s="412"/>
      <c r="M497" s="412"/>
      <c r="N497" s="412"/>
      <c r="O497" s="412"/>
      <c r="P497" s="412"/>
      <c r="Q497" s="412"/>
      <c r="R497" s="412"/>
      <c r="S497" s="412"/>
      <c r="T497" s="412"/>
      <c r="U497" s="412"/>
      <c r="V497" s="412"/>
      <c r="W497" s="412"/>
      <c r="X497" s="412"/>
      <c r="Y497" s="412"/>
      <c r="Z497" s="412"/>
    </row>
    <row r="498" ht="13.5" customHeight="1">
      <c r="A498" s="473"/>
      <c r="B498" s="412"/>
      <c r="C498" s="412"/>
      <c r="D498" s="412"/>
      <c r="E498" s="412"/>
      <c r="F498" s="412"/>
      <c r="G498" s="412"/>
      <c r="H498" s="412"/>
      <c r="I498" s="412"/>
      <c r="J498" s="412"/>
      <c r="K498" s="412"/>
      <c r="L498" s="412"/>
      <c r="M498" s="412"/>
      <c r="N498" s="412"/>
      <c r="O498" s="412"/>
      <c r="P498" s="412"/>
      <c r="Q498" s="412"/>
      <c r="R498" s="412"/>
      <c r="S498" s="412"/>
      <c r="T498" s="412"/>
      <c r="U498" s="412"/>
      <c r="V498" s="412"/>
      <c r="W498" s="412"/>
      <c r="X498" s="412"/>
      <c r="Y498" s="412"/>
      <c r="Z498" s="412"/>
    </row>
    <row r="499" ht="13.5" customHeight="1">
      <c r="A499" s="473"/>
      <c r="B499" s="412"/>
      <c r="C499" s="412"/>
      <c r="D499" s="412"/>
      <c r="E499" s="412"/>
      <c r="F499" s="412"/>
      <c r="G499" s="412"/>
      <c r="H499" s="412"/>
      <c r="I499" s="412"/>
      <c r="J499" s="412"/>
      <c r="K499" s="412"/>
      <c r="L499" s="412"/>
      <c r="M499" s="412"/>
      <c r="N499" s="412"/>
      <c r="O499" s="412"/>
      <c r="P499" s="412"/>
      <c r="Q499" s="412"/>
      <c r="R499" s="412"/>
      <c r="S499" s="412"/>
      <c r="T499" s="412"/>
      <c r="U499" s="412"/>
      <c r="V499" s="412"/>
      <c r="W499" s="412"/>
      <c r="X499" s="412"/>
      <c r="Y499" s="412"/>
      <c r="Z499" s="412"/>
    </row>
    <row r="500" ht="13.5" customHeight="1">
      <c r="A500" s="473"/>
      <c r="B500" s="412"/>
      <c r="C500" s="412"/>
      <c r="D500" s="412"/>
      <c r="E500" s="412"/>
      <c r="F500" s="412"/>
      <c r="G500" s="412"/>
      <c r="H500" s="412"/>
      <c r="I500" s="412"/>
      <c r="J500" s="412"/>
      <c r="K500" s="412"/>
      <c r="L500" s="412"/>
      <c r="M500" s="412"/>
      <c r="N500" s="412"/>
      <c r="O500" s="412"/>
      <c r="P500" s="412"/>
      <c r="Q500" s="412"/>
      <c r="R500" s="412"/>
      <c r="S500" s="412"/>
      <c r="T500" s="412"/>
      <c r="U500" s="412"/>
      <c r="V500" s="412"/>
      <c r="W500" s="412"/>
      <c r="X500" s="412"/>
      <c r="Y500" s="412"/>
      <c r="Z500" s="412"/>
    </row>
    <row r="501" ht="13.5" customHeight="1">
      <c r="A501" s="473"/>
      <c r="B501" s="412"/>
      <c r="C501" s="412"/>
      <c r="D501" s="412"/>
      <c r="E501" s="412"/>
      <c r="F501" s="412"/>
      <c r="G501" s="412"/>
      <c r="H501" s="412"/>
      <c r="I501" s="412"/>
      <c r="J501" s="412"/>
      <c r="K501" s="412"/>
      <c r="L501" s="412"/>
      <c r="M501" s="412"/>
      <c r="N501" s="412"/>
      <c r="O501" s="412"/>
      <c r="P501" s="412"/>
      <c r="Q501" s="412"/>
      <c r="R501" s="412"/>
      <c r="S501" s="412"/>
      <c r="T501" s="412"/>
      <c r="U501" s="412"/>
      <c r="V501" s="412"/>
      <c r="W501" s="412"/>
      <c r="X501" s="412"/>
      <c r="Y501" s="412"/>
      <c r="Z501" s="412"/>
    </row>
    <row r="502" ht="13.5" customHeight="1">
      <c r="A502" s="473"/>
      <c r="B502" s="412"/>
      <c r="C502" s="412"/>
      <c r="D502" s="412"/>
      <c r="E502" s="412"/>
      <c r="F502" s="412"/>
      <c r="G502" s="412"/>
      <c r="H502" s="412"/>
      <c r="I502" s="412"/>
      <c r="J502" s="412"/>
      <c r="K502" s="412"/>
      <c r="L502" s="412"/>
      <c r="M502" s="412"/>
      <c r="N502" s="412"/>
      <c r="O502" s="412"/>
      <c r="P502" s="412"/>
      <c r="Q502" s="412"/>
      <c r="R502" s="412"/>
      <c r="S502" s="412"/>
      <c r="T502" s="412"/>
      <c r="U502" s="412"/>
      <c r="V502" s="412"/>
      <c r="W502" s="412"/>
      <c r="X502" s="412"/>
      <c r="Y502" s="412"/>
      <c r="Z502" s="412"/>
    </row>
    <row r="503" ht="13.5" customHeight="1">
      <c r="A503" s="473"/>
      <c r="B503" s="412"/>
      <c r="C503" s="412"/>
      <c r="D503" s="412"/>
      <c r="E503" s="412"/>
      <c r="F503" s="412"/>
      <c r="G503" s="412"/>
      <c r="H503" s="412"/>
      <c r="I503" s="412"/>
      <c r="J503" s="412"/>
      <c r="K503" s="412"/>
      <c r="L503" s="412"/>
      <c r="M503" s="412"/>
      <c r="N503" s="412"/>
      <c r="O503" s="412"/>
      <c r="P503" s="412"/>
      <c r="Q503" s="412"/>
      <c r="R503" s="412"/>
      <c r="S503" s="412"/>
      <c r="T503" s="412"/>
      <c r="U503" s="412"/>
      <c r="V503" s="412"/>
      <c r="W503" s="412"/>
      <c r="X503" s="412"/>
      <c r="Y503" s="412"/>
      <c r="Z503" s="412"/>
    </row>
    <row r="504" ht="13.5" customHeight="1">
      <c r="A504" s="473"/>
      <c r="B504" s="412"/>
      <c r="C504" s="412"/>
      <c r="D504" s="412"/>
      <c r="E504" s="412"/>
      <c r="F504" s="412"/>
      <c r="G504" s="412"/>
      <c r="H504" s="412"/>
      <c r="I504" s="412"/>
      <c r="J504" s="412"/>
      <c r="K504" s="412"/>
      <c r="L504" s="412"/>
      <c r="M504" s="412"/>
      <c r="N504" s="412"/>
      <c r="O504" s="412"/>
      <c r="P504" s="412"/>
      <c r="Q504" s="412"/>
      <c r="R504" s="412"/>
      <c r="S504" s="412"/>
      <c r="T504" s="412"/>
      <c r="U504" s="412"/>
      <c r="V504" s="412"/>
      <c r="W504" s="412"/>
      <c r="X504" s="412"/>
      <c r="Y504" s="412"/>
      <c r="Z504" s="412"/>
    </row>
    <row r="505" ht="13.5" customHeight="1">
      <c r="A505" s="473"/>
      <c r="B505" s="412"/>
      <c r="C505" s="412"/>
      <c r="D505" s="412"/>
      <c r="E505" s="412"/>
      <c r="F505" s="412"/>
      <c r="G505" s="412"/>
      <c r="H505" s="412"/>
      <c r="I505" s="412"/>
      <c r="J505" s="412"/>
      <c r="K505" s="412"/>
      <c r="L505" s="412"/>
      <c r="M505" s="412"/>
      <c r="N505" s="412"/>
      <c r="O505" s="412"/>
      <c r="P505" s="412"/>
      <c r="Q505" s="412"/>
      <c r="R505" s="412"/>
      <c r="S505" s="412"/>
      <c r="T505" s="412"/>
      <c r="U505" s="412"/>
      <c r="V505" s="412"/>
      <c r="W505" s="412"/>
      <c r="X505" s="412"/>
      <c r="Y505" s="412"/>
      <c r="Z505" s="412"/>
    </row>
    <row r="506" ht="13.5" customHeight="1">
      <c r="A506" s="473"/>
      <c r="B506" s="412"/>
      <c r="C506" s="412"/>
      <c r="D506" s="412"/>
      <c r="E506" s="412"/>
      <c r="F506" s="412"/>
      <c r="G506" s="412"/>
      <c r="H506" s="412"/>
      <c r="I506" s="412"/>
      <c r="J506" s="412"/>
      <c r="K506" s="412"/>
      <c r="L506" s="412"/>
      <c r="M506" s="412"/>
      <c r="N506" s="412"/>
      <c r="O506" s="412"/>
      <c r="P506" s="412"/>
      <c r="Q506" s="412"/>
      <c r="R506" s="412"/>
      <c r="S506" s="412"/>
      <c r="T506" s="412"/>
      <c r="U506" s="412"/>
      <c r="V506" s="412"/>
      <c r="W506" s="412"/>
      <c r="X506" s="412"/>
      <c r="Y506" s="412"/>
      <c r="Z506" s="412"/>
    </row>
    <row r="507" ht="13.5" customHeight="1">
      <c r="A507" s="473"/>
      <c r="B507" s="412"/>
      <c r="C507" s="412"/>
      <c r="D507" s="412"/>
      <c r="E507" s="412"/>
      <c r="F507" s="412"/>
      <c r="G507" s="412"/>
      <c r="H507" s="412"/>
      <c r="I507" s="412"/>
      <c r="J507" s="412"/>
      <c r="K507" s="412"/>
      <c r="L507" s="412"/>
      <c r="M507" s="412"/>
      <c r="N507" s="412"/>
      <c r="O507" s="412"/>
      <c r="P507" s="412"/>
      <c r="Q507" s="412"/>
      <c r="R507" s="412"/>
      <c r="S507" s="412"/>
      <c r="T507" s="412"/>
      <c r="U507" s="412"/>
      <c r="V507" s="412"/>
      <c r="W507" s="412"/>
      <c r="X507" s="412"/>
      <c r="Y507" s="412"/>
      <c r="Z507" s="412"/>
    </row>
    <row r="508" ht="13.5" customHeight="1">
      <c r="A508" s="473"/>
      <c r="B508" s="412"/>
      <c r="C508" s="412"/>
      <c r="D508" s="412"/>
      <c r="E508" s="412"/>
      <c r="F508" s="412"/>
      <c r="G508" s="412"/>
      <c r="H508" s="412"/>
      <c r="I508" s="412"/>
      <c r="J508" s="412"/>
      <c r="K508" s="412"/>
      <c r="L508" s="412"/>
      <c r="M508" s="412"/>
      <c r="N508" s="412"/>
      <c r="O508" s="412"/>
      <c r="P508" s="412"/>
      <c r="Q508" s="412"/>
      <c r="R508" s="412"/>
      <c r="S508" s="412"/>
      <c r="T508" s="412"/>
      <c r="U508" s="412"/>
      <c r="V508" s="412"/>
      <c r="W508" s="412"/>
      <c r="X508" s="412"/>
      <c r="Y508" s="412"/>
      <c r="Z508" s="412"/>
    </row>
    <row r="509" ht="13.5" customHeight="1">
      <c r="A509" s="473"/>
      <c r="B509" s="412"/>
      <c r="C509" s="412"/>
      <c r="D509" s="412"/>
      <c r="E509" s="412"/>
      <c r="F509" s="412"/>
      <c r="G509" s="412"/>
      <c r="H509" s="412"/>
      <c r="I509" s="412"/>
      <c r="J509" s="412"/>
      <c r="K509" s="412"/>
      <c r="L509" s="412"/>
      <c r="M509" s="412"/>
      <c r="N509" s="412"/>
      <c r="O509" s="412"/>
      <c r="P509" s="412"/>
      <c r="Q509" s="412"/>
      <c r="R509" s="412"/>
      <c r="S509" s="412"/>
      <c r="T509" s="412"/>
      <c r="U509" s="412"/>
      <c r="V509" s="412"/>
      <c r="W509" s="412"/>
      <c r="X509" s="412"/>
      <c r="Y509" s="412"/>
      <c r="Z509" s="412"/>
    </row>
    <row r="510" ht="13.5" customHeight="1">
      <c r="A510" s="473"/>
      <c r="B510" s="412"/>
      <c r="C510" s="412"/>
      <c r="D510" s="412"/>
      <c r="E510" s="412"/>
      <c r="F510" s="412"/>
      <c r="G510" s="412"/>
      <c r="H510" s="412"/>
      <c r="I510" s="412"/>
      <c r="J510" s="412"/>
      <c r="K510" s="412"/>
      <c r="L510" s="412"/>
      <c r="M510" s="412"/>
      <c r="N510" s="412"/>
      <c r="O510" s="412"/>
      <c r="P510" s="412"/>
      <c r="Q510" s="412"/>
      <c r="R510" s="412"/>
      <c r="S510" s="412"/>
      <c r="T510" s="412"/>
      <c r="U510" s="412"/>
      <c r="V510" s="412"/>
      <c r="W510" s="412"/>
      <c r="X510" s="412"/>
      <c r="Y510" s="412"/>
      <c r="Z510" s="412"/>
    </row>
    <row r="511" ht="13.5" customHeight="1">
      <c r="A511" s="473"/>
      <c r="B511" s="412"/>
      <c r="C511" s="412"/>
      <c r="D511" s="412"/>
      <c r="E511" s="412"/>
      <c r="F511" s="412"/>
      <c r="G511" s="412"/>
      <c r="H511" s="412"/>
      <c r="I511" s="412"/>
      <c r="J511" s="412"/>
      <c r="K511" s="412"/>
      <c r="L511" s="412"/>
      <c r="M511" s="412"/>
      <c r="N511" s="412"/>
      <c r="O511" s="412"/>
      <c r="P511" s="412"/>
      <c r="Q511" s="412"/>
      <c r="R511" s="412"/>
      <c r="S511" s="412"/>
      <c r="T511" s="412"/>
      <c r="U511" s="412"/>
      <c r="V511" s="412"/>
      <c r="W511" s="412"/>
      <c r="X511" s="412"/>
      <c r="Y511" s="412"/>
      <c r="Z511" s="412"/>
    </row>
    <row r="512" ht="13.5" customHeight="1">
      <c r="A512" s="473"/>
      <c r="B512" s="412"/>
      <c r="C512" s="412"/>
      <c r="D512" s="412"/>
      <c r="E512" s="412"/>
      <c r="F512" s="412"/>
      <c r="G512" s="412"/>
      <c r="H512" s="412"/>
      <c r="I512" s="412"/>
      <c r="J512" s="412"/>
      <c r="K512" s="412"/>
      <c r="L512" s="412"/>
      <c r="M512" s="412"/>
      <c r="N512" s="412"/>
      <c r="O512" s="412"/>
      <c r="P512" s="412"/>
      <c r="Q512" s="412"/>
      <c r="R512" s="412"/>
      <c r="S512" s="412"/>
      <c r="T512" s="412"/>
      <c r="U512" s="412"/>
      <c r="V512" s="412"/>
      <c r="W512" s="412"/>
      <c r="X512" s="412"/>
      <c r="Y512" s="412"/>
      <c r="Z512" s="412"/>
    </row>
    <row r="513" ht="13.5" customHeight="1">
      <c r="A513" s="473"/>
      <c r="B513" s="412"/>
      <c r="C513" s="412"/>
      <c r="D513" s="412"/>
      <c r="E513" s="412"/>
      <c r="F513" s="412"/>
      <c r="G513" s="412"/>
      <c r="H513" s="412"/>
      <c r="I513" s="412"/>
      <c r="J513" s="412"/>
      <c r="K513" s="412"/>
      <c r="L513" s="412"/>
      <c r="M513" s="412"/>
      <c r="N513" s="412"/>
      <c r="O513" s="412"/>
      <c r="P513" s="412"/>
      <c r="Q513" s="412"/>
      <c r="R513" s="412"/>
      <c r="S513" s="412"/>
      <c r="T513" s="412"/>
      <c r="U513" s="412"/>
      <c r="V513" s="412"/>
      <c r="W513" s="412"/>
      <c r="X513" s="412"/>
      <c r="Y513" s="412"/>
      <c r="Z513" s="412"/>
    </row>
    <row r="514" ht="13.5" customHeight="1">
      <c r="A514" s="473"/>
      <c r="B514" s="412"/>
      <c r="C514" s="412"/>
      <c r="D514" s="412"/>
      <c r="E514" s="412"/>
      <c r="F514" s="412"/>
      <c r="G514" s="412"/>
      <c r="H514" s="412"/>
      <c r="I514" s="412"/>
      <c r="J514" s="412"/>
      <c r="K514" s="412"/>
      <c r="L514" s="412"/>
      <c r="M514" s="412"/>
      <c r="N514" s="412"/>
      <c r="O514" s="412"/>
      <c r="P514" s="412"/>
      <c r="Q514" s="412"/>
      <c r="R514" s="412"/>
      <c r="S514" s="412"/>
      <c r="T514" s="412"/>
      <c r="U514" s="412"/>
      <c r="V514" s="412"/>
      <c r="W514" s="412"/>
      <c r="X514" s="412"/>
      <c r="Y514" s="412"/>
      <c r="Z514" s="412"/>
    </row>
    <row r="515" ht="13.5" customHeight="1">
      <c r="A515" s="473"/>
      <c r="B515" s="412"/>
      <c r="C515" s="412"/>
      <c r="D515" s="412"/>
      <c r="E515" s="412"/>
      <c r="F515" s="412"/>
      <c r="G515" s="412"/>
      <c r="H515" s="412"/>
      <c r="I515" s="412"/>
      <c r="J515" s="412"/>
      <c r="K515" s="412"/>
      <c r="L515" s="412"/>
      <c r="M515" s="412"/>
      <c r="N515" s="412"/>
      <c r="O515" s="412"/>
      <c r="P515" s="412"/>
      <c r="Q515" s="412"/>
      <c r="R515" s="412"/>
      <c r="S515" s="412"/>
      <c r="T515" s="412"/>
      <c r="U515" s="412"/>
      <c r="V515" s="412"/>
      <c r="W515" s="412"/>
      <c r="X515" s="412"/>
      <c r="Y515" s="412"/>
      <c r="Z515" s="412"/>
    </row>
    <row r="516" ht="13.5" customHeight="1">
      <c r="A516" s="473"/>
      <c r="B516" s="412"/>
      <c r="C516" s="412"/>
      <c r="D516" s="412"/>
      <c r="E516" s="412"/>
      <c r="F516" s="412"/>
      <c r="G516" s="412"/>
      <c r="H516" s="412"/>
      <c r="I516" s="412"/>
      <c r="J516" s="412"/>
      <c r="K516" s="412"/>
      <c r="L516" s="412"/>
      <c r="M516" s="412"/>
      <c r="N516" s="412"/>
      <c r="O516" s="412"/>
      <c r="P516" s="412"/>
      <c r="Q516" s="412"/>
      <c r="R516" s="412"/>
      <c r="S516" s="412"/>
      <c r="T516" s="412"/>
      <c r="U516" s="412"/>
      <c r="V516" s="412"/>
      <c r="W516" s="412"/>
      <c r="X516" s="412"/>
      <c r="Y516" s="412"/>
      <c r="Z516" s="412"/>
    </row>
    <row r="517" ht="13.5" customHeight="1">
      <c r="A517" s="473"/>
      <c r="B517" s="412"/>
      <c r="C517" s="412"/>
      <c r="D517" s="412"/>
      <c r="E517" s="412"/>
      <c r="F517" s="412"/>
      <c r="G517" s="412"/>
      <c r="H517" s="412"/>
      <c r="I517" s="412"/>
      <c r="J517" s="412"/>
      <c r="K517" s="412"/>
      <c r="L517" s="412"/>
      <c r="M517" s="412"/>
      <c r="N517" s="412"/>
      <c r="O517" s="412"/>
      <c r="P517" s="412"/>
      <c r="Q517" s="412"/>
      <c r="R517" s="412"/>
      <c r="S517" s="412"/>
      <c r="T517" s="412"/>
      <c r="U517" s="412"/>
      <c r="V517" s="412"/>
      <c r="W517" s="412"/>
      <c r="X517" s="412"/>
      <c r="Y517" s="412"/>
      <c r="Z517" s="412"/>
    </row>
    <row r="518" ht="13.5" customHeight="1">
      <c r="A518" s="473"/>
      <c r="B518" s="412"/>
      <c r="C518" s="412"/>
      <c r="D518" s="412"/>
      <c r="E518" s="412"/>
      <c r="F518" s="412"/>
      <c r="G518" s="412"/>
      <c r="H518" s="412"/>
      <c r="I518" s="412"/>
      <c r="J518" s="412"/>
      <c r="K518" s="412"/>
      <c r="L518" s="412"/>
      <c r="M518" s="412"/>
      <c r="N518" s="412"/>
      <c r="O518" s="412"/>
      <c r="P518" s="412"/>
      <c r="Q518" s="412"/>
      <c r="R518" s="412"/>
      <c r="S518" s="412"/>
      <c r="T518" s="412"/>
      <c r="U518" s="412"/>
      <c r="V518" s="412"/>
      <c r="W518" s="412"/>
      <c r="X518" s="412"/>
      <c r="Y518" s="412"/>
      <c r="Z518" s="412"/>
    </row>
    <row r="519" ht="13.5" customHeight="1">
      <c r="A519" s="473"/>
      <c r="B519" s="412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12"/>
      <c r="N519" s="412"/>
      <c r="O519" s="412"/>
      <c r="P519" s="412"/>
      <c r="Q519" s="412"/>
      <c r="R519" s="412"/>
      <c r="S519" s="412"/>
      <c r="T519" s="412"/>
      <c r="U519" s="412"/>
      <c r="V519" s="412"/>
      <c r="W519" s="412"/>
      <c r="X519" s="412"/>
      <c r="Y519" s="412"/>
      <c r="Z519" s="412"/>
    </row>
    <row r="520" ht="13.5" customHeight="1">
      <c r="A520" s="473"/>
      <c r="B520" s="412"/>
      <c r="C520" s="412"/>
      <c r="D520" s="412"/>
      <c r="E520" s="412"/>
      <c r="F520" s="412"/>
      <c r="G520" s="412"/>
      <c r="H520" s="412"/>
      <c r="I520" s="412"/>
      <c r="J520" s="412"/>
      <c r="K520" s="412"/>
      <c r="L520" s="412"/>
      <c r="M520" s="41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2"/>
      <c r="Y520" s="412"/>
      <c r="Z520" s="412"/>
    </row>
    <row r="521" ht="13.5" customHeight="1">
      <c r="A521" s="473"/>
      <c r="B521" s="412"/>
      <c r="C521" s="412"/>
      <c r="D521" s="412"/>
      <c r="E521" s="412"/>
      <c r="F521" s="412"/>
      <c r="G521" s="412"/>
      <c r="H521" s="412"/>
      <c r="I521" s="412"/>
      <c r="J521" s="412"/>
      <c r="K521" s="412"/>
      <c r="L521" s="412"/>
      <c r="M521" s="412"/>
      <c r="N521" s="412"/>
      <c r="O521" s="412"/>
      <c r="P521" s="412"/>
      <c r="Q521" s="412"/>
      <c r="R521" s="412"/>
      <c r="S521" s="412"/>
      <c r="T521" s="412"/>
      <c r="U521" s="412"/>
      <c r="V521" s="412"/>
      <c r="W521" s="412"/>
      <c r="X521" s="412"/>
      <c r="Y521" s="412"/>
      <c r="Z521" s="412"/>
    </row>
    <row r="522" ht="13.5" customHeight="1">
      <c r="A522" s="473"/>
      <c r="B522" s="412"/>
      <c r="C522" s="412"/>
      <c r="D522" s="412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2"/>
      <c r="Y522" s="412"/>
      <c r="Z522" s="412"/>
    </row>
    <row r="523" ht="13.5" customHeight="1">
      <c r="A523" s="473"/>
      <c r="B523" s="412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412"/>
      <c r="Z523" s="412"/>
    </row>
    <row r="524" ht="13.5" customHeight="1">
      <c r="A524" s="473"/>
      <c r="B524" s="412"/>
      <c r="C524" s="412"/>
      <c r="D524" s="412"/>
      <c r="E524" s="412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2"/>
      <c r="Y524" s="412"/>
      <c r="Z524" s="412"/>
    </row>
    <row r="525" ht="13.5" customHeight="1">
      <c r="A525" s="473"/>
      <c r="B525" s="412"/>
      <c r="C525" s="412"/>
      <c r="D525" s="412"/>
      <c r="E525" s="412"/>
      <c r="F525" s="412"/>
      <c r="G525" s="412"/>
      <c r="H525" s="412"/>
      <c r="I525" s="412"/>
      <c r="J525" s="412"/>
      <c r="K525" s="412"/>
      <c r="L525" s="412"/>
      <c r="M525" s="412"/>
      <c r="N525" s="412"/>
      <c r="O525" s="412"/>
      <c r="P525" s="412"/>
      <c r="Q525" s="412"/>
      <c r="R525" s="412"/>
      <c r="S525" s="412"/>
      <c r="T525" s="412"/>
      <c r="U525" s="412"/>
      <c r="V525" s="412"/>
      <c r="W525" s="412"/>
      <c r="X525" s="412"/>
      <c r="Y525" s="412"/>
      <c r="Z525" s="412"/>
    </row>
    <row r="526" ht="13.5" customHeight="1">
      <c r="A526" s="473"/>
      <c r="B526" s="412"/>
      <c r="C526" s="412"/>
      <c r="D526" s="412"/>
      <c r="E526" s="412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12"/>
      <c r="R526" s="412"/>
      <c r="S526" s="412"/>
      <c r="T526" s="412"/>
      <c r="U526" s="412"/>
      <c r="V526" s="412"/>
      <c r="W526" s="412"/>
      <c r="X526" s="412"/>
      <c r="Y526" s="412"/>
      <c r="Z526" s="412"/>
    </row>
    <row r="527" ht="13.5" customHeight="1">
      <c r="A527" s="473"/>
      <c r="B527" s="412"/>
      <c r="C527" s="412"/>
      <c r="D527" s="412"/>
      <c r="E527" s="412"/>
      <c r="F527" s="412"/>
      <c r="G527" s="412"/>
      <c r="H527" s="412"/>
      <c r="I527" s="412"/>
      <c r="J527" s="412"/>
      <c r="K527" s="412"/>
      <c r="L527" s="412"/>
      <c r="M527" s="412"/>
      <c r="N527" s="412"/>
      <c r="O527" s="412"/>
      <c r="P527" s="412"/>
      <c r="Q527" s="412"/>
      <c r="R527" s="412"/>
      <c r="S527" s="412"/>
      <c r="T527" s="412"/>
      <c r="U527" s="412"/>
      <c r="V527" s="412"/>
      <c r="W527" s="412"/>
      <c r="X527" s="412"/>
      <c r="Y527" s="412"/>
      <c r="Z527" s="412"/>
    </row>
    <row r="528" ht="13.5" customHeight="1">
      <c r="A528" s="473"/>
      <c r="B528" s="412"/>
      <c r="C528" s="412"/>
      <c r="D528" s="412"/>
      <c r="E528" s="412"/>
      <c r="F528" s="412"/>
      <c r="G528" s="412"/>
      <c r="H528" s="412"/>
      <c r="I528" s="412"/>
      <c r="J528" s="412"/>
      <c r="K528" s="412"/>
      <c r="L528" s="412"/>
      <c r="M528" s="412"/>
      <c r="N528" s="412"/>
      <c r="O528" s="412"/>
      <c r="P528" s="412"/>
      <c r="Q528" s="412"/>
      <c r="R528" s="412"/>
      <c r="S528" s="412"/>
      <c r="T528" s="412"/>
      <c r="U528" s="412"/>
      <c r="V528" s="412"/>
      <c r="W528" s="412"/>
      <c r="X528" s="412"/>
      <c r="Y528" s="412"/>
      <c r="Z528" s="412"/>
    </row>
    <row r="529" ht="13.5" customHeight="1">
      <c r="A529" s="473"/>
      <c r="B529" s="412"/>
      <c r="C529" s="412"/>
      <c r="D529" s="412"/>
      <c r="E529" s="412"/>
      <c r="F529" s="412"/>
      <c r="G529" s="412"/>
      <c r="H529" s="412"/>
      <c r="I529" s="412"/>
      <c r="J529" s="412"/>
      <c r="K529" s="412"/>
      <c r="L529" s="412"/>
      <c r="M529" s="412"/>
      <c r="N529" s="412"/>
      <c r="O529" s="412"/>
      <c r="P529" s="412"/>
      <c r="Q529" s="412"/>
      <c r="R529" s="412"/>
      <c r="S529" s="412"/>
      <c r="T529" s="412"/>
      <c r="U529" s="412"/>
      <c r="V529" s="412"/>
      <c r="W529" s="412"/>
      <c r="X529" s="412"/>
      <c r="Y529" s="412"/>
      <c r="Z529" s="412"/>
    </row>
    <row r="530" ht="13.5" customHeight="1">
      <c r="A530" s="473"/>
      <c r="B530" s="412"/>
      <c r="C530" s="412"/>
      <c r="D530" s="412"/>
      <c r="E530" s="412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2"/>
      <c r="Y530" s="412"/>
      <c r="Z530" s="412"/>
    </row>
    <row r="531" ht="13.5" customHeight="1">
      <c r="A531" s="473"/>
      <c r="B531" s="412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412"/>
      <c r="Z531" s="412"/>
    </row>
    <row r="532" ht="13.5" customHeight="1">
      <c r="A532" s="473"/>
      <c r="B532" s="412"/>
      <c r="C532" s="412"/>
      <c r="D532" s="412"/>
      <c r="E532" s="412"/>
      <c r="F532" s="412"/>
      <c r="G532" s="412"/>
      <c r="H532" s="412"/>
      <c r="I532" s="412"/>
      <c r="J532" s="412"/>
      <c r="K532" s="412"/>
      <c r="L532" s="412"/>
      <c r="M532" s="412"/>
      <c r="N532" s="412"/>
      <c r="O532" s="412"/>
      <c r="P532" s="412"/>
      <c r="Q532" s="412"/>
      <c r="R532" s="412"/>
      <c r="S532" s="412"/>
      <c r="T532" s="412"/>
      <c r="U532" s="412"/>
      <c r="V532" s="412"/>
      <c r="W532" s="412"/>
      <c r="X532" s="412"/>
      <c r="Y532" s="412"/>
      <c r="Z532" s="412"/>
    </row>
    <row r="533" ht="13.5" customHeight="1">
      <c r="A533" s="473"/>
      <c r="B533" s="412"/>
      <c r="C533" s="412"/>
      <c r="D533" s="412"/>
      <c r="E533" s="412"/>
      <c r="F533" s="412"/>
      <c r="G533" s="412"/>
      <c r="H533" s="412"/>
      <c r="I533" s="412"/>
      <c r="J533" s="412"/>
      <c r="K533" s="412"/>
      <c r="L533" s="412"/>
      <c r="M533" s="412"/>
      <c r="N533" s="412"/>
      <c r="O533" s="412"/>
      <c r="P533" s="412"/>
      <c r="Q533" s="412"/>
      <c r="R533" s="412"/>
      <c r="S533" s="412"/>
      <c r="T533" s="412"/>
      <c r="U533" s="412"/>
      <c r="V533" s="412"/>
      <c r="W533" s="412"/>
      <c r="X533" s="412"/>
      <c r="Y533" s="412"/>
      <c r="Z533" s="412"/>
    </row>
    <row r="534" ht="13.5" customHeight="1">
      <c r="A534" s="473"/>
      <c r="B534" s="412"/>
      <c r="C534" s="412"/>
      <c r="D534" s="412"/>
      <c r="E534" s="412"/>
      <c r="F534" s="412"/>
      <c r="G534" s="412"/>
      <c r="H534" s="412"/>
      <c r="I534" s="412"/>
      <c r="J534" s="412"/>
      <c r="K534" s="412"/>
      <c r="L534" s="412"/>
      <c r="M534" s="412"/>
      <c r="N534" s="412"/>
      <c r="O534" s="412"/>
      <c r="P534" s="412"/>
      <c r="Q534" s="412"/>
      <c r="R534" s="412"/>
      <c r="S534" s="412"/>
      <c r="T534" s="412"/>
      <c r="U534" s="412"/>
      <c r="V534" s="412"/>
      <c r="W534" s="412"/>
      <c r="X534" s="412"/>
      <c r="Y534" s="412"/>
      <c r="Z534" s="412"/>
    </row>
    <row r="535" ht="13.5" customHeight="1">
      <c r="A535" s="473"/>
      <c r="B535" s="412"/>
      <c r="C535" s="412"/>
      <c r="D535" s="412"/>
      <c r="E535" s="412"/>
      <c r="F535" s="412"/>
      <c r="G535" s="412"/>
      <c r="H535" s="412"/>
      <c r="I535" s="412"/>
      <c r="J535" s="412"/>
      <c r="K535" s="412"/>
      <c r="L535" s="412"/>
      <c r="M535" s="412"/>
      <c r="N535" s="412"/>
      <c r="O535" s="412"/>
      <c r="P535" s="412"/>
      <c r="Q535" s="412"/>
      <c r="R535" s="412"/>
      <c r="S535" s="412"/>
      <c r="T535" s="412"/>
      <c r="U535" s="412"/>
      <c r="V535" s="412"/>
      <c r="W535" s="412"/>
      <c r="X535" s="412"/>
      <c r="Y535" s="412"/>
      <c r="Z535" s="412"/>
    </row>
    <row r="536" ht="13.5" customHeight="1">
      <c r="A536" s="473"/>
      <c r="B536" s="412"/>
      <c r="C536" s="412"/>
      <c r="D536" s="412"/>
      <c r="E536" s="412"/>
      <c r="F536" s="412"/>
      <c r="G536" s="412"/>
      <c r="H536" s="412"/>
      <c r="I536" s="412"/>
      <c r="J536" s="412"/>
      <c r="K536" s="412"/>
      <c r="L536" s="412"/>
      <c r="M536" s="412"/>
      <c r="N536" s="412"/>
      <c r="O536" s="412"/>
      <c r="P536" s="412"/>
      <c r="Q536" s="412"/>
      <c r="R536" s="412"/>
      <c r="S536" s="412"/>
      <c r="T536" s="412"/>
      <c r="U536" s="412"/>
      <c r="V536" s="412"/>
      <c r="W536" s="412"/>
      <c r="X536" s="412"/>
      <c r="Y536" s="412"/>
      <c r="Z536" s="412"/>
    </row>
    <row r="537" ht="13.5" customHeight="1">
      <c r="A537" s="473"/>
      <c r="B537" s="412"/>
      <c r="C537" s="412"/>
      <c r="D537" s="412"/>
      <c r="E537" s="412"/>
      <c r="F537" s="412"/>
      <c r="G537" s="412"/>
      <c r="H537" s="412"/>
      <c r="I537" s="412"/>
      <c r="J537" s="412"/>
      <c r="K537" s="412"/>
      <c r="L537" s="412"/>
      <c r="M537" s="412"/>
      <c r="N537" s="412"/>
      <c r="O537" s="412"/>
      <c r="P537" s="412"/>
      <c r="Q537" s="412"/>
      <c r="R537" s="412"/>
      <c r="S537" s="412"/>
      <c r="T537" s="412"/>
      <c r="U537" s="412"/>
      <c r="V537" s="412"/>
      <c r="W537" s="412"/>
      <c r="X537" s="412"/>
      <c r="Y537" s="412"/>
      <c r="Z537" s="412"/>
    </row>
    <row r="538" ht="13.5" customHeight="1">
      <c r="A538" s="473"/>
      <c r="B538" s="412"/>
      <c r="C538" s="412"/>
      <c r="D538" s="412"/>
      <c r="E538" s="412"/>
      <c r="F538" s="412"/>
      <c r="G538" s="412"/>
      <c r="H538" s="412"/>
      <c r="I538" s="412"/>
      <c r="J538" s="412"/>
      <c r="K538" s="412"/>
      <c r="L538" s="412"/>
      <c r="M538" s="412"/>
      <c r="N538" s="412"/>
      <c r="O538" s="412"/>
      <c r="P538" s="412"/>
      <c r="Q538" s="412"/>
      <c r="R538" s="412"/>
      <c r="S538" s="412"/>
      <c r="T538" s="412"/>
      <c r="U538" s="412"/>
      <c r="V538" s="412"/>
      <c r="W538" s="412"/>
      <c r="X538" s="412"/>
      <c r="Y538" s="412"/>
      <c r="Z538" s="412"/>
    </row>
    <row r="539" ht="13.5" customHeight="1">
      <c r="A539" s="473"/>
      <c r="B539" s="412"/>
      <c r="C539" s="412"/>
      <c r="D539" s="412"/>
      <c r="E539" s="412"/>
      <c r="F539" s="412"/>
      <c r="G539" s="412"/>
      <c r="H539" s="412"/>
      <c r="I539" s="412"/>
      <c r="J539" s="412"/>
      <c r="K539" s="412"/>
      <c r="L539" s="412"/>
      <c r="M539" s="412"/>
      <c r="N539" s="412"/>
      <c r="O539" s="412"/>
      <c r="P539" s="412"/>
      <c r="Q539" s="412"/>
      <c r="R539" s="412"/>
      <c r="S539" s="412"/>
      <c r="T539" s="412"/>
      <c r="U539" s="412"/>
      <c r="V539" s="412"/>
      <c r="W539" s="412"/>
      <c r="X539" s="412"/>
      <c r="Y539" s="412"/>
      <c r="Z539" s="412"/>
    </row>
    <row r="540" ht="13.5" customHeight="1">
      <c r="A540" s="473"/>
      <c r="B540" s="412"/>
      <c r="C540" s="412"/>
      <c r="D540" s="412"/>
      <c r="E540" s="412"/>
      <c r="F540" s="412"/>
      <c r="G540" s="412"/>
      <c r="H540" s="412"/>
      <c r="I540" s="412"/>
      <c r="J540" s="412"/>
      <c r="K540" s="412"/>
      <c r="L540" s="412"/>
      <c r="M540" s="412"/>
      <c r="N540" s="412"/>
      <c r="O540" s="412"/>
      <c r="P540" s="412"/>
      <c r="Q540" s="412"/>
      <c r="R540" s="412"/>
      <c r="S540" s="412"/>
      <c r="T540" s="412"/>
      <c r="U540" s="412"/>
      <c r="V540" s="412"/>
      <c r="W540" s="412"/>
      <c r="X540" s="412"/>
      <c r="Y540" s="412"/>
      <c r="Z540" s="412"/>
    </row>
    <row r="541" ht="13.5" customHeight="1">
      <c r="A541" s="473"/>
      <c r="B541" s="412"/>
      <c r="C541" s="412"/>
      <c r="D541" s="412"/>
      <c r="E541" s="412"/>
      <c r="F541" s="412"/>
      <c r="G541" s="412"/>
      <c r="H541" s="412"/>
      <c r="I541" s="412"/>
      <c r="J541" s="412"/>
      <c r="K541" s="412"/>
      <c r="L541" s="412"/>
      <c r="M541" s="412"/>
      <c r="N541" s="412"/>
      <c r="O541" s="412"/>
      <c r="P541" s="412"/>
      <c r="Q541" s="412"/>
      <c r="R541" s="412"/>
      <c r="S541" s="412"/>
      <c r="T541" s="412"/>
      <c r="U541" s="412"/>
      <c r="V541" s="412"/>
      <c r="W541" s="412"/>
      <c r="X541" s="412"/>
      <c r="Y541" s="412"/>
      <c r="Z541" s="412"/>
    </row>
    <row r="542" ht="13.5" customHeight="1">
      <c r="A542" s="473"/>
      <c r="B542" s="412"/>
      <c r="C542" s="412"/>
      <c r="D542" s="412"/>
      <c r="E542" s="412"/>
      <c r="F542" s="412"/>
      <c r="G542" s="412"/>
      <c r="H542" s="412"/>
      <c r="I542" s="412"/>
      <c r="J542" s="412"/>
      <c r="K542" s="412"/>
      <c r="L542" s="412"/>
      <c r="M542" s="412"/>
      <c r="N542" s="412"/>
      <c r="O542" s="412"/>
      <c r="P542" s="412"/>
      <c r="Q542" s="412"/>
      <c r="R542" s="412"/>
      <c r="S542" s="412"/>
      <c r="T542" s="412"/>
      <c r="U542" s="412"/>
      <c r="V542" s="412"/>
      <c r="W542" s="412"/>
      <c r="X542" s="412"/>
      <c r="Y542" s="412"/>
      <c r="Z542" s="412"/>
    </row>
    <row r="543" ht="13.5" customHeight="1">
      <c r="A543" s="473"/>
      <c r="B543" s="412"/>
      <c r="C543" s="412"/>
      <c r="D543" s="412"/>
      <c r="E543" s="412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2"/>
      <c r="Y543" s="412"/>
      <c r="Z543" s="412"/>
    </row>
    <row r="544" ht="13.5" customHeight="1">
      <c r="A544" s="473"/>
      <c r="B544" s="412"/>
      <c r="C544" s="412"/>
      <c r="D544" s="412"/>
      <c r="E544" s="412"/>
      <c r="F544" s="412"/>
      <c r="G544" s="412"/>
      <c r="H544" s="412"/>
      <c r="I544" s="412"/>
      <c r="J544" s="412"/>
      <c r="K544" s="412"/>
      <c r="L544" s="412"/>
      <c r="M544" s="412"/>
      <c r="N544" s="412"/>
      <c r="O544" s="412"/>
      <c r="P544" s="412"/>
      <c r="Q544" s="412"/>
      <c r="R544" s="412"/>
      <c r="S544" s="412"/>
      <c r="T544" s="412"/>
      <c r="U544" s="412"/>
      <c r="V544" s="412"/>
      <c r="W544" s="412"/>
      <c r="X544" s="412"/>
      <c r="Y544" s="412"/>
      <c r="Z544" s="412"/>
    </row>
    <row r="545" ht="13.5" customHeight="1">
      <c r="A545" s="473"/>
      <c r="B545" s="412"/>
      <c r="C545" s="412"/>
      <c r="D545" s="412"/>
      <c r="E545" s="412"/>
      <c r="F545" s="412"/>
      <c r="G545" s="412"/>
      <c r="H545" s="412"/>
      <c r="I545" s="412"/>
      <c r="J545" s="412"/>
      <c r="K545" s="412"/>
      <c r="L545" s="412"/>
      <c r="M545" s="412"/>
      <c r="N545" s="412"/>
      <c r="O545" s="412"/>
      <c r="P545" s="412"/>
      <c r="Q545" s="412"/>
      <c r="R545" s="412"/>
      <c r="S545" s="412"/>
      <c r="T545" s="412"/>
      <c r="U545" s="412"/>
      <c r="V545" s="412"/>
      <c r="W545" s="412"/>
      <c r="X545" s="412"/>
      <c r="Y545" s="412"/>
      <c r="Z545" s="412"/>
    </row>
    <row r="546" ht="13.5" customHeight="1">
      <c r="A546" s="473"/>
      <c r="B546" s="412"/>
      <c r="C546" s="412"/>
      <c r="D546" s="412"/>
      <c r="E546" s="412"/>
      <c r="F546" s="412"/>
      <c r="G546" s="412"/>
      <c r="H546" s="412"/>
      <c r="I546" s="412"/>
      <c r="J546" s="412"/>
      <c r="K546" s="412"/>
      <c r="L546" s="412"/>
      <c r="M546" s="412"/>
      <c r="N546" s="412"/>
      <c r="O546" s="412"/>
      <c r="P546" s="412"/>
      <c r="Q546" s="412"/>
      <c r="R546" s="412"/>
      <c r="S546" s="412"/>
      <c r="T546" s="412"/>
      <c r="U546" s="412"/>
      <c r="V546" s="412"/>
      <c r="W546" s="412"/>
      <c r="X546" s="412"/>
      <c r="Y546" s="412"/>
      <c r="Z546" s="412"/>
    </row>
    <row r="547" ht="13.5" customHeight="1">
      <c r="A547" s="473"/>
      <c r="B547" s="412"/>
      <c r="C547" s="412"/>
      <c r="D547" s="412"/>
      <c r="E547" s="412"/>
      <c r="F547" s="412"/>
      <c r="G547" s="412"/>
      <c r="H547" s="412"/>
      <c r="I547" s="412"/>
      <c r="J547" s="412"/>
      <c r="K547" s="412"/>
      <c r="L547" s="412"/>
      <c r="M547" s="412"/>
      <c r="N547" s="412"/>
      <c r="O547" s="412"/>
      <c r="P547" s="412"/>
      <c r="Q547" s="412"/>
      <c r="R547" s="412"/>
      <c r="S547" s="412"/>
      <c r="T547" s="412"/>
      <c r="U547" s="412"/>
      <c r="V547" s="412"/>
      <c r="W547" s="412"/>
      <c r="X547" s="412"/>
      <c r="Y547" s="412"/>
      <c r="Z547" s="412"/>
    </row>
    <row r="548" ht="13.5" customHeight="1">
      <c r="A548" s="473"/>
      <c r="B548" s="412"/>
      <c r="C548" s="412"/>
      <c r="D548" s="412"/>
      <c r="E548" s="412"/>
      <c r="F548" s="412"/>
      <c r="G548" s="412"/>
      <c r="H548" s="412"/>
      <c r="I548" s="412"/>
      <c r="J548" s="412"/>
      <c r="K548" s="412"/>
      <c r="L548" s="412"/>
      <c r="M548" s="412"/>
      <c r="N548" s="412"/>
      <c r="O548" s="412"/>
      <c r="P548" s="412"/>
      <c r="Q548" s="412"/>
      <c r="R548" s="412"/>
      <c r="S548" s="412"/>
      <c r="T548" s="412"/>
      <c r="U548" s="412"/>
      <c r="V548" s="412"/>
      <c r="W548" s="412"/>
      <c r="X548" s="412"/>
      <c r="Y548" s="412"/>
      <c r="Z548" s="412"/>
    </row>
    <row r="549" ht="13.5" customHeight="1">
      <c r="A549" s="473"/>
      <c r="B549" s="412"/>
      <c r="C549" s="412"/>
      <c r="D549" s="412"/>
      <c r="E549" s="412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12"/>
      <c r="Q549" s="412"/>
      <c r="R549" s="412"/>
      <c r="S549" s="412"/>
      <c r="T549" s="412"/>
      <c r="U549" s="412"/>
      <c r="V549" s="412"/>
      <c r="W549" s="412"/>
      <c r="X549" s="412"/>
      <c r="Y549" s="412"/>
      <c r="Z549" s="412"/>
    </row>
    <row r="550" ht="13.5" customHeight="1">
      <c r="A550" s="473"/>
      <c r="B550" s="412"/>
      <c r="C550" s="412"/>
      <c r="D550" s="412"/>
      <c r="E550" s="412"/>
      <c r="F550" s="412"/>
      <c r="G550" s="412"/>
      <c r="H550" s="412"/>
      <c r="I550" s="412"/>
      <c r="J550" s="412"/>
      <c r="K550" s="412"/>
      <c r="L550" s="412"/>
      <c r="M550" s="412"/>
      <c r="N550" s="412"/>
      <c r="O550" s="412"/>
      <c r="P550" s="412"/>
      <c r="Q550" s="412"/>
      <c r="R550" s="412"/>
      <c r="S550" s="412"/>
      <c r="T550" s="412"/>
      <c r="U550" s="412"/>
      <c r="V550" s="412"/>
      <c r="W550" s="412"/>
      <c r="X550" s="412"/>
      <c r="Y550" s="412"/>
      <c r="Z550" s="412"/>
    </row>
    <row r="551" ht="13.5" customHeight="1">
      <c r="A551" s="473"/>
      <c r="B551" s="412"/>
      <c r="C551" s="412"/>
      <c r="D551" s="412"/>
      <c r="E551" s="412"/>
      <c r="F551" s="412"/>
      <c r="G551" s="412"/>
      <c r="H551" s="412"/>
      <c r="I551" s="412"/>
      <c r="J551" s="412"/>
      <c r="K551" s="412"/>
      <c r="L551" s="412"/>
      <c r="M551" s="412"/>
      <c r="N551" s="412"/>
      <c r="O551" s="412"/>
      <c r="P551" s="412"/>
      <c r="Q551" s="412"/>
      <c r="R551" s="412"/>
      <c r="S551" s="412"/>
      <c r="T551" s="412"/>
      <c r="U551" s="412"/>
      <c r="V551" s="412"/>
      <c r="W551" s="412"/>
      <c r="X551" s="412"/>
      <c r="Y551" s="412"/>
      <c r="Z551" s="412"/>
    </row>
    <row r="552" ht="13.5" customHeight="1">
      <c r="A552" s="473"/>
      <c r="B552" s="412"/>
      <c r="C552" s="412"/>
      <c r="D552" s="412"/>
      <c r="E552" s="412"/>
      <c r="F552" s="412"/>
      <c r="G552" s="412"/>
      <c r="H552" s="412"/>
      <c r="I552" s="412"/>
      <c r="J552" s="412"/>
      <c r="K552" s="412"/>
      <c r="L552" s="412"/>
      <c r="M552" s="412"/>
      <c r="N552" s="412"/>
      <c r="O552" s="412"/>
      <c r="P552" s="412"/>
      <c r="Q552" s="412"/>
      <c r="R552" s="412"/>
      <c r="S552" s="412"/>
      <c r="T552" s="412"/>
      <c r="U552" s="412"/>
      <c r="V552" s="412"/>
      <c r="W552" s="412"/>
      <c r="X552" s="412"/>
      <c r="Y552" s="412"/>
      <c r="Z552" s="412"/>
    </row>
    <row r="553" ht="13.5" customHeight="1">
      <c r="A553" s="473"/>
      <c r="B553" s="412"/>
      <c r="C553" s="412"/>
      <c r="D553" s="412"/>
      <c r="E553" s="412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12"/>
      <c r="Q553" s="412"/>
      <c r="R553" s="412"/>
      <c r="S553" s="412"/>
      <c r="T553" s="412"/>
      <c r="U553" s="412"/>
      <c r="V553" s="412"/>
      <c r="W553" s="412"/>
      <c r="X553" s="412"/>
      <c r="Y553" s="412"/>
      <c r="Z553" s="412"/>
    </row>
    <row r="554" ht="13.5" customHeight="1">
      <c r="A554" s="473"/>
      <c r="B554" s="412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12"/>
      <c r="Q554" s="412"/>
      <c r="R554" s="412"/>
      <c r="S554" s="412"/>
      <c r="T554" s="412"/>
      <c r="U554" s="412"/>
      <c r="V554" s="412"/>
      <c r="W554" s="412"/>
      <c r="X554" s="412"/>
      <c r="Y554" s="412"/>
      <c r="Z554" s="412"/>
    </row>
    <row r="555" ht="13.5" customHeight="1">
      <c r="A555" s="473"/>
      <c r="B555" s="412"/>
      <c r="C555" s="412"/>
      <c r="D555" s="412"/>
      <c r="E555" s="412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12"/>
      <c r="Q555" s="412"/>
      <c r="R555" s="412"/>
      <c r="S555" s="412"/>
      <c r="T555" s="412"/>
      <c r="U555" s="412"/>
      <c r="V555" s="412"/>
      <c r="W555" s="412"/>
      <c r="X555" s="412"/>
      <c r="Y555" s="412"/>
      <c r="Z555" s="412"/>
    </row>
    <row r="556" ht="13.5" customHeight="1">
      <c r="A556" s="473"/>
      <c r="B556" s="412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12"/>
      <c r="Q556" s="412"/>
      <c r="R556" s="412"/>
      <c r="S556" s="412"/>
      <c r="T556" s="412"/>
      <c r="U556" s="412"/>
      <c r="V556" s="412"/>
      <c r="W556" s="412"/>
      <c r="X556" s="412"/>
      <c r="Y556" s="412"/>
      <c r="Z556" s="412"/>
    </row>
    <row r="557" ht="13.5" customHeight="1">
      <c r="A557" s="473"/>
      <c r="B557" s="412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12"/>
      <c r="Q557" s="412"/>
      <c r="R557" s="412"/>
      <c r="S557" s="412"/>
      <c r="T557" s="412"/>
      <c r="U557" s="412"/>
      <c r="V557" s="412"/>
      <c r="W557" s="412"/>
      <c r="X557" s="412"/>
      <c r="Y557" s="412"/>
      <c r="Z557" s="412"/>
    </row>
    <row r="558" ht="13.5" customHeight="1">
      <c r="A558" s="473"/>
      <c r="B558" s="412"/>
      <c r="C558" s="412"/>
      <c r="D558" s="412"/>
      <c r="E558" s="412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12"/>
      <c r="Q558" s="412"/>
      <c r="R558" s="412"/>
      <c r="S558" s="412"/>
      <c r="T558" s="412"/>
      <c r="U558" s="412"/>
      <c r="V558" s="412"/>
      <c r="W558" s="412"/>
      <c r="X558" s="412"/>
      <c r="Y558" s="412"/>
      <c r="Z558" s="412"/>
    </row>
    <row r="559" ht="13.5" customHeight="1">
      <c r="A559" s="473"/>
      <c r="B559" s="412"/>
      <c r="C559" s="412"/>
      <c r="D559" s="412"/>
      <c r="E559" s="412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12"/>
      <c r="Q559" s="412"/>
      <c r="R559" s="412"/>
      <c r="S559" s="412"/>
      <c r="T559" s="412"/>
      <c r="U559" s="412"/>
      <c r="V559" s="412"/>
      <c r="W559" s="412"/>
      <c r="X559" s="412"/>
      <c r="Y559" s="412"/>
      <c r="Z559" s="412"/>
    </row>
    <row r="560" ht="13.5" customHeight="1">
      <c r="A560" s="473"/>
      <c r="B560" s="412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12"/>
      <c r="Q560" s="412"/>
      <c r="R560" s="412"/>
      <c r="S560" s="412"/>
      <c r="T560" s="412"/>
      <c r="U560" s="412"/>
      <c r="V560" s="412"/>
      <c r="W560" s="412"/>
      <c r="X560" s="412"/>
      <c r="Y560" s="412"/>
      <c r="Z560" s="412"/>
    </row>
    <row r="561" ht="13.5" customHeight="1">
      <c r="A561" s="473"/>
      <c r="B561" s="412"/>
      <c r="C561" s="412"/>
      <c r="D561" s="412"/>
      <c r="E561" s="412"/>
      <c r="F561" s="412"/>
      <c r="G561" s="412"/>
      <c r="H561" s="412"/>
      <c r="I561" s="412"/>
      <c r="J561" s="412"/>
      <c r="K561" s="412"/>
      <c r="L561" s="412"/>
      <c r="M561" s="412"/>
      <c r="N561" s="412"/>
      <c r="O561" s="412"/>
      <c r="P561" s="412"/>
      <c r="Q561" s="412"/>
      <c r="R561" s="412"/>
      <c r="S561" s="412"/>
      <c r="T561" s="412"/>
      <c r="U561" s="412"/>
      <c r="V561" s="412"/>
      <c r="W561" s="412"/>
      <c r="X561" s="412"/>
      <c r="Y561" s="412"/>
      <c r="Z561" s="412"/>
    </row>
    <row r="562" ht="13.5" customHeight="1">
      <c r="A562" s="473"/>
      <c r="B562" s="412"/>
      <c r="C562" s="412"/>
      <c r="D562" s="412"/>
      <c r="E562" s="412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12"/>
      <c r="Q562" s="412"/>
      <c r="R562" s="412"/>
      <c r="S562" s="412"/>
      <c r="T562" s="412"/>
      <c r="U562" s="412"/>
      <c r="V562" s="412"/>
      <c r="W562" s="412"/>
      <c r="X562" s="412"/>
      <c r="Y562" s="412"/>
      <c r="Z562" s="412"/>
    </row>
    <row r="563" ht="13.5" customHeight="1">
      <c r="A563" s="473"/>
      <c r="B563" s="412"/>
      <c r="C563" s="412"/>
      <c r="D563" s="412"/>
      <c r="E563" s="412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12"/>
      <c r="Q563" s="412"/>
      <c r="R563" s="412"/>
      <c r="S563" s="412"/>
      <c r="T563" s="412"/>
      <c r="U563" s="412"/>
      <c r="V563" s="412"/>
      <c r="W563" s="412"/>
      <c r="X563" s="412"/>
      <c r="Y563" s="412"/>
      <c r="Z563" s="412"/>
    </row>
    <row r="564" ht="13.5" customHeight="1">
      <c r="A564" s="473"/>
      <c r="B564" s="412"/>
      <c r="C564" s="412"/>
      <c r="D564" s="412"/>
      <c r="E564" s="412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12"/>
      <c r="Q564" s="412"/>
      <c r="R564" s="412"/>
      <c r="S564" s="412"/>
      <c r="T564" s="412"/>
      <c r="U564" s="412"/>
      <c r="V564" s="412"/>
      <c r="W564" s="412"/>
      <c r="X564" s="412"/>
      <c r="Y564" s="412"/>
      <c r="Z564" s="412"/>
    </row>
    <row r="565" ht="13.5" customHeight="1">
      <c r="A565" s="473"/>
      <c r="B565" s="412"/>
      <c r="C565" s="412"/>
      <c r="D565" s="412"/>
      <c r="E565" s="412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12"/>
      <c r="Q565" s="412"/>
      <c r="R565" s="412"/>
      <c r="S565" s="412"/>
      <c r="T565" s="412"/>
      <c r="U565" s="412"/>
      <c r="V565" s="412"/>
      <c r="W565" s="412"/>
      <c r="X565" s="412"/>
      <c r="Y565" s="412"/>
      <c r="Z565" s="412"/>
    </row>
    <row r="566" ht="13.5" customHeight="1">
      <c r="A566" s="473"/>
      <c r="B566" s="412"/>
      <c r="C566" s="412"/>
      <c r="D566" s="412"/>
      <c r="E566" s="412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12"/>
      <c r="Q566" s="412"/>
      <c r="R566" s="412"/>
      <c r="S566" s="412"/>
      <c r="T566" s="412"/>
      <c r="U566" s="412"/>
      <c r="V566" s="412"/>
      <c r="W566" s="412"/>
      <c r="X566" s="412"/>
      <c r="Y566" s="412"/>
      <c r="Z566" s="412"/>
    </row>
    <row r="567" ht="13.5" customHeight="1">
      <c r="A567" s="473"/>
      <c r="B567" s="412"/>
      <c r="C567" s="412"/>
      <c r="D567" s="412"/>
      <c r="E567" s="412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12"/>
      <c r="Q567" s="412"/>
      <c r="R567" s="412"/>
      <c r="S567" s="412"/>
      <c r="T567" s="412"/>
      <c r="U567" s="412"/>
      <c r="V567" s="412"/>
      <c r="W567" s="412"/>
      <c r="X567" s="412"/>
      <c r="Y567" s="412"/>
      <c r="Z567" s="412"/>
    </row>
    <row r="568" ht="13.5" customHeight="1">
      <c r="A568" s="473"/>
      <c r="B568" s="412"/>
      <c r="C568" s="412"/>
      <c r="D568" s="412"/>
      <c r="E568" s="412"/>
      <c r="F568" s="412"/>
      <c r="G568" s="412"/>
      <c r="H568" s="412"/>
      <c r="I568" s="412"/>
      <c r="J568" s="412"/>
      <c r="K568" s="412"/>
      <c r="L568" s="412"/>
      <c r="M568" s="412"/>
      <c r="N568" s="412"/>
      <c r="O568" s="412"/>
      <c r="P568" s="412"/>
      <c r="Q568" s="412"/>
      <c r="R568" s="412"/>
      <c r="S568" s="412"/>
      <c r="T568" s="412"/>
      <c r="U568" s="412"/>
      <c r="V568" s="412"/>
      <c r="W568" s="412"/>
      <c r="X568" s="412"/>
      <c r="Y568" s="412"/>
      <c r="Z568" s="412"/>
    </row>
    <row r="569" ht="13.5" customHeight="1">
      <c r="A569" s="473"/>
      <c r="B569" s="412"/>
      <c r="C569" s="412"/>
      <c r="D569" s="412"/>
      <c r="E569" s="412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12"/>
      <c r="Q569" s="412"/>
      <c r="R569" s="412"/>
      <c r="S569" s="412"/>
      <c r="T569" s="412"/>
      <c r="U569" s="412"/>
      <c r="V569" s="412"/>
      <c r="W569" s="412"/>
      <c r="X569" s="412"/>
      <c r="Y569" s="412"/>
      <c r="Z569" s="412"/>
    </row>
    <row r="570" ht="13.5" customHeight="1">
      <c r="A570" s="473"/>
      <c r="B570" s="412"/>
      <c r="C570" s="412"/>
      <c r="D570" s="412"/>
      <c r="E570" s="412"/>
      <c r="F570" s="412"/>
      <c r="G570" s="412"/>
      <c r="H570" s="412"/>
      <c r="I570" s="412"/>
      <c r="J570" s="412"/>
      <c r="K570" s="412"/>
      <c r="L570" s="412"/>
      <c r="M570" s="412"/>
      <c r="N570" s="412"/>
      <c r="O570" s="412"/>
      <c r="P570" s="412"/>
      <c r="Q570" s="412"/>
      <c r="R570" s="412"/>
      <c r="S570" s="412"/>
      <c r="T570" s="412"/>
      <c r="U570" s="412"/>
      <c r="V570" s="412"/>
      <c r="W570" s="412"/>
      <c r="X570" s="412"/>
      <c r="Y570" s="412"/>
      <c r="Z570" s="412"/>
    </row>
    <row r="571" ht="13.5" customHeight="1">
      <c r="A571" s="473"/>
      <c r="B571" s="412"/>
      <c r="C571" s="412"/>
      <c r="D571" s="412"/>
      <c r="E571" s="412"/>
      <c r="F571" s="412"/>
      <c r="G571" s="412"/>
      <c r="H571" s="412"/>
      <c r="I571" s="412"/>
      <c r="J571" s="412"/>
      <c r="K571" s="412"/>
      <c r="L571" s="412"/>
      <c r="M571" s="412"/>
      <c r="N571" s="412"/>
      <c r="O571" s="412"/>
      <c r="P571" s="412"/>
      <c r="Q571" s="412"/>
      <c r="R571" s="412"/>
      <c r="S571" s="412"/>
      <c r="T571" s="412"/>
      <c r="U571" s="412"/>
      <c r="V571" s="412"/>
      <c r="W571" s="412"/>
      <c r="X571" s="412"/>
      <c r="Y571" s="412"/>
      <c r="Z571" s="412"/>
    </row>
    <row r="572" ht="13.5" customHeight="1">
      <c r="A572" s="473"/>
      <c r="B572" s="412"/>
      <c r="C572" s="412"/>
      <c r="D572" s="412"/>
      <c r="E572" s="412"/>
      <c r="F572" s="412"/>
      <c r="G572" s="412"/>
      <c r="H572" s="412"/>
      <c r="I572" s="412"/>
      <c r="J572" s="412"/>
      <c r="K572" s="412"/>
      <c r="L572" s="412"/>
      <c r="M572" s="412"/>
      <c r="N572" s="412"/>
      <c r="O572" s="412"/>
      <c r="P572" s="412"/>
      <c r="Q572" s="412"/>
      <c r="R572" s="412"/>
      <c r="S572" s="412"/>
      <c r="T572" s="412"/>
      <c r="U572" s="412"/>
      <c r="V572" s="412"/>
      <c r="W572" s="412"/>
      <c r="X572" s="412"/>
      <c r="Y572" s="412"/>
      <c r="Z572" s="412"/>
    </row>
    <row r="573" ht="13.5" customHeight="1">
      <c r="A573" s="473"/>
      <c r="B573" s="412"/>
      <c r="C573" s="412"/>
      <c r="D573" s="412"/>
      <c r="E573" s="412"/>
      <c r="F573" s="412"/>
      <c r="G573" s="412"/>
      <c r="H573" s="412"/>
      <c r="I573" s="412"/>
      <c r="J573" s="412"/>
      <c r="K573" s="412"/>
      <c r="L573" s="412"/>
      <c r="M573" s="412"/>
      <c r="N573" s="412"/>
      <c r="O573" s="412"/>
      <c r="P573" s="412"/>
      <c r="Q573" s="412"/>
      <c r="R573" s="412"/>
      <c r="S573" s="412"/>
      <c r="T573" s="412"/>
      <c r="U573" s="412"/>
      <c r="V573" s="412"/>
      <c r="W573" s="412"/>
      <c r="X573" s="412"/>
      <c r="Y573" s="412"/>
      <c r="Z573" s="412"/>
    </row>
    <row r="574" ht="13.5" customHeight="1">
      <c r="A574" s="473"/>
      <c r="B574" s="412"/>
      <c r="C574" s="412"/>
      <c r="D574" s="412"/>
      <c r="E574" s="412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12"/>
      <c r="S574" s="412"/>
      <c r="T574" s="412"/>
      <c r="U574" s="412"/>
      <c r="V574" s="412"/>
      <c r="W574" s="412"/>
      <c r="X574" s="412"/>
      <c r="Y574" s="412"/>
      <c r="Z574" s="412"/>
    </row>
    <row r="575" ht="13.5" customHeight="1">
      <c r="A575" s="473"/>
      <c r="B575" s="412"/>
      <c r="C575" s="412"/>
      <c r="D575" s="412"/>
      <c r="E575" s="412"/>
      <c r="F575" s="412"/>
      <c r="G575" s="412"/>
      <c r="H575" s="412"/>
      <c r="I575" s="412"/>
      <c r="J575" s="412"/>
      <c r="K575" s="412"/>
      <c r="L575" s="412"/>
      <c r="M575" s="412"/>
      <c r="N575" s="412"/>
      <c r="O575" s="412"/>
      <c r="P575" s="412"/>
      <c r="Q575" s="412"/>
      <c r="R575" s="412"/>
      <c r="S575" s="412"/>
      <c r="T575" s="412"/>
      <c r="U575" s="412"/>
      <c r="V575" s="412"/>
      <c r="W575" s="412"/>
      <c r="X575" s="412"/>
      <c r="Y575" s="412"/>
      <c r="Z575" s="412"/>
    </row>
    <row r="576" ht="13.5" customHeight="1">
      <c r="A576" s="473"/>
      <c r="B576" s="412"/>
      <c r="C576" s="412"/>
      <c r="D576" s="412"/>
      <c r="E576" s="412"/>
      <c r="F576" s="412"/>
      <c r="G576" s="412"/>
      <c r="H576" s="412"/>
      <c r="I576" s="412"/>
      <c r="J576" s="412"/>
      <c r="K576" s="412"/>
      <c r="L576" s="412"/>
      <c r="M576" s="412"/>
      <c r="N576" s="412"/>
      <c r="O576" s="412"/>
      <c r="P576" s="412"/>
      <c r="Q576" s="412"/>
      <c r="R576" s="412"/>
      <c r="S576" s="412"/>
      <c r="T576" s="412"/>
      <c r="U576" s="412"/>
      <c r="V576" s="412"/>
      <c r="W576" s="412"/>
      <c r="X576" s="412"/>
      <c r="Y576" s="412"/>
      <c r="Z576" s="412"/>
    </row>
    <row r="577" ht="13.5" customHeight="1">
      <c r="A577" s="473"/>
      <c r="B577" s="412"/>
      <c r="C577" s="412"/>
      <c r="D577" s="412"/>
      <c r="E577" s="412"/>
      <c r="F577" s="412"/>
      <c r="G577" s="412"/>
      <c r="H577" s="412"/>
      <c r="I577" s="412"/>
      <c r="J577" s="412"/>
      <c r="K577" s="412"/>
      <c r="L577" s="412"/>
      <c r="M577" s="412"/>
      <c r="N577" s="412"/>
      <c r="O577" s="412"/>
      <c r="P577" s="412"/>
      <c r="Q577" s="412"/>
      <c r="R577" s="412"/>
      <c r="S577" s="412"/>
      <c r="T577" s="412"/>
      <c r="U577" s="412"/>
      <c r="V577" s="412"/>
      <c r="W577" s="412"/>
      <c r="X577" s="412"/>
      <c r="Y577" s="412"/>
      <c r="Z577" s="412"/>
    </row>
    <row r="578" ht="13.5" customHeight="1">
      <c r="A578" s="473"/>
      <c r="B578" s="412"/>
      <c r="C578" s="412"/>
      <c r="D578" s="412"/>
      <c r="E578" s="412"/>
      <c r="F578" s="412"/>
      <c r="G578" s="412"/>
      <c r="H578" s="412"/>
      <c r="I578" s="412"/>
      <c r="J578" s="412"/>
      <c r="K578" s="412"/>
      <c r="L578" s="412"/>
      <c r="M578" s="412"/>
      <c r="N578" s="412"/>
      <c r="O578" s="412"/>
      <c r="P578" s="412"/>
      <c r="Q578" s="412"/>
      <c r="R578" s="412"/>
      <c r="S578" s="412"/>
      <c r="T578" s="412"/>
      <c r="U578" s="412"/>
      <c r="V578" s="412"/>
      <c r="W578" s="412"/>
      <c r="X578" s="412"/>
      <c r="Y578" s="412"/>
      <c r="Z578" s="412"/>
    </row>
    <row r="579" ht="13.5" customHeight="1">
      <c r="A579" s="473"/>
      <c r="B579" s="412"/>
      <c r="C579" s="412"/>
      <c r="D579" s="412"/>
      <c r="E579" s="412"/>
      <c r="F579" s="412"/>
      <c r="G579" s="412"/>
      <c r="H579" s="412"/>
      <c r="I579" s="412"/>
      <c r="J579" s="412"/>
      <c r="K579" s="412"/>
      <c r="L579" s="412"/>
      <c r="M579" s="412"/>
      <c r="N579" s="412"/>
      <c r="O579" s="412"/>
      <c r="P579" s="412"/>
      <c r="Q579" s="412"/>
      <c r="R579" s="412"/>
      <c r="S579" s="412"/>
      <c r="T579" s="412"/>
      <c r="U579" s="412"/>
      <c r="V579" s="412"/>
      <c r="W579" s="412"/>
      <c r="X579" s="412"/>
      <c r="Y579" s="412"/>
      <c r="Z579" s="412"/>
    </row>
    <row r="580" ht="13.5" customHeight="1">
      <c r="A580" s="473"/>
      <c r="B580" s="412"/>
      <c r="C580" s="412"/>
      <c r="D580" s="412"/>
      <c r="E580" s="412"/>
      <c r="F580" s="412"/>
      <c r="G580" s="412"/>
      <c r="H580" s="412"/>
      <c r="I580" s="412"/>
      <c r="J580" s="412"/>
      <c r="K580" s="412"/>
      <c r="L580" s="412"/>
      <c r="M580" s="412"/>
      <c r="N580" s="412"/>
      <c r="O580" s="412"/>
      <c r="P580" s="412"/>
      <c r="Q580" s="412"/>
      <c r="R580" s="412"/>
      <c r="S580" s="412"/>
      <c r="T580" s="412"/>
      <c r="U580" s="412"/>
      <c r="V580" s="412"/>
      <c r="W580" s="412"/>
      <c r="X580" s="412"/>
      <c r="Y580" s="412"/>
      <c r="Z580" s="412"/>
    </row>
    <row r="581" ht="13.5" customHeight="1">
      <c r="A581" s="473"/>
      <c r="B581" s="412"/>
      <c r="C581" s="412"/>
      <c r="D581" s="412"/>
      <c r="E581" s="412"/>
      <c r="F581" s="412"/>
      <c r="G581" s="412"/>
      <c r="H581" s="412"/>
      <c r="I581" s="412"/>
      <c r="J581" s="412"/>
      <c r="K581" s="412"/>
      <c r="L581" s="412"/>
      <c r="M581" s="412"/>
      <c r="N581" s="412"/>
      <c r="O581" s="412"/>
      <c r="P581" s="412"/>
      <c r="Q581" s="412"/>
      <c r="R581" s="412"/>
      <c r="S581" s="412"/>
      <c r="T581" s="412"/>
      <c r="U581" s="412"/>
      <c r="V581" s="412"/>
      <c r="W581" s="412"/>
      <c r="X581" s="412"/>
      <c r="Y581" s="412"/>
      <c r="Z581" s="412"/>
    </row>
    <row r="582" ht="13.5" customHeight="1">
      <c r="A582" s="473"/>
      <c r="B582" s="412"/>
      <c r="C582" s="412"/>
      <c r="D582" s="412"/>
      <c r="E582" s="412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2"/>
      <c r="Y582" s="412"/>
      <c r="Z582" s="412"/>
    </row>
    <row r="583" ht="13.5" customHeight="1">
      <c r="A583" s="473"/>
      <c r="B583" s="412"/>
      <c r="C583" s="412"/>
      <c r="D583" s="412"/>
      <c r="E583" s="412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2"/>
      <c r="Y583" s="412"/>
      <c r="Z583" s="412"/>
    </row>
    <row r="584" ht="13.5" customHeight="1">
      <c r="A584" s="473"/>
      <c r="B584" s="412"/>
      <c r="C584" s="412"/>
      <c r="D584" s="412"/>
      <c r="E584" s="412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2"/>
      <c r="Y584" s="412"/>
      <c r="Z584" s="412"/>
    </row>
    <row r="585" ht="13.5" customHeight="1">
      <c r="A585" s="473"/>
      <c r="B585" s="412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412"/>
      <c r="Z585" s="412"/>
    </row>
    <row r="586" ht="13.5" customHeight="1">
      <c r="A586" s="473"/>
      <c r="B586" s="412"/>
      <c r="C586" s="412"/>
      <c r="D586" s="412"/>
      <c r="E586" s="412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2"/>
      <c r="Y586" s="412"/>
      <c r="Z586" s="412"/>
    </row>
    <row r="587" ht="13.5" customHeight="1">
      <c r="A587" s="473"/>
      <c r="B587" s="412"/>
      <c r="C587" s="412"/>
      <c r="D587" s="412"/>
      <c r="E587" s="412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2"/>
      <c r="Y587" s="412"/>
      <c r="Z587" s="412"/>
    </row>
    <row r="588" ht="13.5" customHeight="1">
      <c r="A588" s="473"/>
      <c r="B588" s="412"/>
      <c r="C588" s="412"/>
      <c r="D588" s="412"/>
      <c r="E588" s="412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2"/>
      <c r="Y588" s="412"/>
      <c r="Z588" s="412"/>
    </row>
    <row r="589" ht="13.5" customHeight="1">
      <c r="A589" s="473"/>
      <c r="B589" s="412"/>
      <c r="C589" s="412"/>
      <c r="D589" s="412"/>
      <c r="E589" s="412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2"/>
      <c r="Y589" s="412"/>
      <c r="Z589" s="412"/>
    </row>
    <row r="590" ht="13.5" customHeight="1">
      <c r="A590" s="473"/>
      <c r="B590" s="412"/>
      <c r="C590" s="412"/>
      <c r="D590" s="412"/>
      <c r="E590" s="412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2"/>
      <c r="Y590" s="412"/>
      <c r="Z590" s="412"/>
    </row>
    <row r="591" ht="13.5" customHeight="1">
      <c r="A591" s="473"/>
      <c r="B591" s="412"/>
      <c r="C591" s="412"/>
      <c r="D591" s="412"/>
      <c r="E591" s="412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2"/>
      <c r="Y591" s="412"/>
      <c r="Z591" s="412"/>
    </row>
    <row r="592" ht="13.5" customHeight="1">
      <c r="A592" s="473"/>
      <c r="B592" s="412"/>
      <c r="C592" s="412"/>
      <c r="D592" s="412"/>
      <c r="E592" s="412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2"/>
      <c r="Y592" s="412"/>
      <c r="Z592" s="412"/>
    </row>
    <row r="593" ht="13.5" customHeight="1">
      <c r="A593" s="473"/>
      <c r="B593" s="412"/>
      <c r="C593" s="412"/>
      <c r="D593" s="412"/>
      <c r="E593" s="412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2"/>
      <c r="Y593" s="412"/>
      <c r="Z593" s="412"/>
    </row>
    <row r="594" ht="13.5" customHeight="1">
      <c r="A594" s="473"/>
      <c r="B594" s="412"/>
      <c r="C594" s="412"/>
      <c r="D594" s="412"/>
      <c r="E594" s="412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2"/>
      <c r="Y594" s="412"/>
      <c r="Z594" s="412"/>
    </row>
    <row r="595" ht="13.5" customHeight="1">
      <c r="A595" s="473"/>
      <c r="B595" s="412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412"/>
      <c r="Z595" s="412"/>
    </row>
    <row r="596" ht="13.5" customHeight="1">
      <c r="A596" s="473"/>
      <c r="B596" s="412"/>
      <c r="C596" s="412"/>
      <c r="D596" s="412"/>
      <c r="E596" s="412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2"/>
      <c r="Y596" s="412"/>
      <c r="Z596" s="412"/>
    </row>
    <row r="597" ht="13.5" customHeight="1">
      <c r="A597" s="473"/>
      <c r="B597" s="412"/>
      <c r="C597" s="412"/>
      <c r="D597" s="412"/>
      <c r="E597" s="412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2"/>
      <c r="Y597" s="412"/>
      <c r="Z597" s="412"/>
    </row>
    <row r="598" ht="13.5" customHeight="1">
      <c r="A598" s="473"/>
      <c r="B598" s="412"/>
      <c r="C598" s="412"/>
      <c r="D598" s="412"/>
      <c r="E598" s="412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2"/>
      <c r="Y598" s="412"/>
      <c r="Z598" s="412"/>
    </row>
    <row r="599" ht="13.5" customHeight="1">
      <c r="A599" s="473"/>
      <c r="B599" s="412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412"/>
      <c r="Z599" s="412"/>
    </row>
    <row r="600" ht="13.5" customHeight="1">
      <c r="A600" s="473"/>
      <c r="B600" s="412"/>
      <c r="C600" s="412"/>
      <c r="D600" s="412"/>
      <c r="E600" s="412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2"/>
      <c r="Y600" s="412"/>
      <c r="Z600" s="412"/>
    </row>
    <row r="601" ht="13.5" customHeight="1">
      <c r="A601" s="473"/>
      <c r="B601" s="412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412"/>
      <c r="Z601" s="412"/>
    </row>
    <row r="602" ht="13.5" customHeight="1">
      <c r="A602" s="473"/>
      <c r="B602" s="412"/>
      <c r="C602" s="412"/>
      <c r="D602" s="412"/>
      <c r="E602" s="412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2"/>
      <c r="Y602" s="412"/>
      <c r="Z602" s="412"/>
    </row>
    <row r="603" ht="13.5" customHeight="1">
      <c r="A603" s="473"/>
      <c r="B603" s="412"/>
      <c r="C603" s="412"/>
      <c r="D603" s="412"/>
      <c r="E603" s="412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2"/>
      <c r="Y603" s="412"/>
      <c r="Z603" s="412"/>
    </row>
    <row r="604" ht="13.5" customHeight="1">
      <c r="A604" s="473"/>
      <c r="B604" s="412"/>
      <c r="C604" s="412"/>
      <c r="D604" s="412"/>
      <c r="E604" s="412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2"/>
      <c r="Y604" s="412"/>
      <c r="Z604" s="412"/>
    </row>
    <row r="605" ht="13.5" customHeight="1">
      <c r="A605" s="473"/>
      <c r="B605" s="412"/>
      <c r="C605" s="412"/>
      <c r="D605" s="412"/>
      <c r="E605" s="412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2"/>
      <c r="Y605" s="412"/>
      <c r="Z605" s="412"/>
    </row>
    <row r="606" ht="13.5" customHeight="1">
      <c r="A606" s="473"/>
      <c r="B606" s="412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412"/>
      <c r="Z606" s="412"/>
    </row>
    <row r="607" ht="13.5" customHeight="1">
      <c r="A607" s="473"/>
      <c r="B607" s="412"/>
      <c r="C607" s="412"/>
      <c r="D607" s="412"/>
      <c r="E607" s="412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2"/>
      <c r="Y607" s="412"/>
      <c r="Z607" s="412"/>
    </row>
    <row r="608" ht="13.5" customHeight="1">
      <c r="A608" s="473"/>
      <c r="B608" s="412"/>
      <c r="C608" s="412"/>
      <c r="D608" s="412"/>
      <c r="E608" s="412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2"/>
      <c r="Y608" s="412"/>
      <c r="Z608" s="412"/>
    </row>
    <row r="609" ht="13.5" customHeight="1">
      <c r="A609" s="473"/>
      <c r="B609" s="412"/>
      <c r="C609" s="412"/>
      <c r="D609" s="412"/>
      <c r="E609" s="412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2"/>
      <c r="Y609" s="412"/>
      <c r="Z609" s="412"/>
    </row>
    <row r="610" ht="13.5" customHeight="1">
      <c r="A610" s="473"/>
      <c r="B610" s="412"/>
      <c r="C610" s="412"/>
      <c r="D610" s="412"/>
      <c r="E610" s="412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2"/>
      <c r="Y610" s="412"/>
      <c r="Z610" s="412"/>
    </row>
    <row r="611" ht="13.5" customHeight="1">
      <c r="A611" s="473"/>
      <c r="B611" s="412"/>
      <c r="C611" s="412"/>
      <c r="D611" s="412"/>
      <c r="E611" s="412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2"/>
      <c r="Y611" s="412"/>
      <c r="Z611" s="412"/>
    </row>
    <row r="612" ht="13.5" customHeight="1">
      <c r="A612" s="473"/>
      <c r="B612" s="412"/>
      <c r="C612" s="412"/>
      <c r="D612" s="412"/>
      <c r="E612" s="412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2"/>
      <c r="Y612" s="412"/>
      <c r="Z612" s="412"/>
    </row>
    <row r="613" ht="13.5" customHeight="1">
      <c r="A613" s="473"/>
      <c r="B613" s="412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412"/>
      <c r="Z613" s="412"/>
    </row>
    <row r="614" ht="13.5" customHeight="1">
      <c r="A614" s="473"/>
      <c r="B614" s="412"/>
      <c r="C614" s="412"/>
      <c r="D614" s="412"/>
      <c r="E614" s="412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2"/>
      <c r="Y614" s="412"/>
      <c r="Z614" s="412"/>
    </row>
    <row r="615" ht="13.5" customHeight="1">
      <c r="A615" s="473"/>
      <c r="B615" s="412"/>
      <c r="C615" s="412"/>
      <c r="D615" s="412"/>
      <c r="E615" s="412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2"/>
      <c r="Y615" s="412"/>
      <c r="Z615" s="412"/>
    </row>
    <row r="616" ht="13.5" customHeight="1">
      <c r="A616" s="473"/>
      <c r="B616" s="412"/>
      <c r="C616" s="412"/>
      <c r="D616" s="412"/>
      <c r="E616" s="412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2"/>
      <c r="Y616" s="412"/>
      <c r="Z616" s="412"/>
    </row>
    <row r="617" ht="13.5" customHeight="1">
      <c r="A617" s="473"/>
      <c r="B617" s="412"/>
      <c r="C617" s="412"/>
      <c r="D617" s="412"/>
      <c r="E617" s="412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2"/>
      <c r="Y617" s="412"/>
      <c r="Z617" s="412"/>
    </row>
    <row r="618" ht="13.5" customHeight="1">
      <c r="A618" s="473"/>
      <c r="B618" s="412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412"/>
      <c r="Z618" s="412"/>
    </row>
    <row r="619" ht="13.5" customHeight="1">
      <c r="A619" s="473"/>
      <c r="B619" s="412"/>
      <c r="C619" s="412"/>
      <c r="D619" s="412"/>
      <c r="E619" s="412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2"/>
      <c r="Y619" s="412"/>
      <c r="Z619" s="412"/>
    </row>
    <row r="620" ht="13.5" customHeight="1">
      <c r="A620" s="473"/>
      <c r="B620" s="412"/>
      <c r="C620" s="412"/>
      <c r="D620" s="412"/>
      <c r="E620" s="412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2"/>
      <c r="Y620" s="412"/>
      <c r="Z620" s="412"/>
    </row>
    <row r="621" ht="13.5" customHeight="1">
      <c r="A621" s="473"/>
      <c r="B621" s="412"/>
      <c r="C621" s="412"/>
      <c r="D621" s="412"/>
      <c r="E621" s="412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2"/>
      <c r="Y621" s="412"/>
      <c r="Z621" s="412"/>
    </row>
    <row r="622" ht="13.5" customHeight="1">
      <c r="A622" s="473"/>
      <c r="B622" s="412"/>
      <c r="C622" s="412"/>
      <c r="D622" s="412"/>
      <c r="E622" s="412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2"/>
      <c r="Y622" s="412"/>
      <c r="Z622" s="412"/>
    </row>
    <row r="623" ht="13.5" customHeight="1">
      <c r="A623" s="473"/>
      <c r="B623" s="412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412"/>
      <c r="Z623" s="412"/>
    </row>
    <row r="624" ht="13.5" customHeight="1">
      <c r="A624" s="473"/>
      <c r="B624" s="412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412"/>
      <c r="Z624" s="412"/>
    </row>
    <row r="625" ht="13.5" customHeight="1">
      <c r="A625" s="473"/>
      <c r="B625" s="412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412"/>
      <c r="Z625" s="412"/>
    </row>
    <row r="626" ht="13.5" customHeight="1">
      <c r="A626" s="473"/>
      <c r="B626" s="412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412"/>
      <c r="Z626" s="412"/>
    </row>
    <row r="627" ht="13.5" customHeight="1">
      <c r="A627" s="473"/>
      <c r="B627" s="412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412"/>
      <c r="Z627" s="412"/>
    </row>
    <row r="628" ht="13.5" customHeight="1">
      <c r="A628" s="473"/>
      <c r="B628" s="412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412"/>
      <c r="Z628" s="412"/>
    </row>
    <row r="629" ht="13.5" customHeight="1">
      <c r="A629" s="473"/>
      <c r="B629" s="412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412"/>
      <c r="Z629" s="412"/>
    </row>
    <row r="630" ht="13.5" customHeight="1">
      <c r="A630" s="473"/>
      <c r="B630" s="412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412"/>
      <c r="Z630" s="412"/>
    </row>
    <row r="631" ht="13.5" customHeight="1">
      <c r="A631" s="473"/>
      <c r="B631" s="412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412"/>
      <c r="Z631" s="412"/>
    </row>
    <row r="632" ht="13.5" customHeight="1">
      <c r="A632" s="473"/>
      <c r="B632" s="412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412"/>
      <c r="Z632" s="412"/>
    </row>
    <row r="633" ht="13.5" customHeight="1">
      <c r="A633" s="473"/>
      <c r="B633" s="412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412"/>
      <c r="Z633" s="412"/>
    </row>
    <row r="634" ht="13.5" customHeight="1">
      <c r="A634" s="473"/>
      <c r="B634" s="412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412"/>
      <c r="Z634" s="412"/>
    </row>
    <row r="635" ht="13.5" customHeight="1">
      <c r="A635" s="473"/>
      <c r="B635" s="412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412"/>
      <c r="Z635" s="412"/>
    </row>
    <row r="636" ht="13.5" customHeight="1">
      <c r="A636" s="473"/>
      <c r="B636" s="412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412"/>
      <c r="Z636" s="412"/>
    </row>
    <row r="637" ht="13.5" customHeight="1">
      <c r="A637" s="473"/>
      <c r="B637" s="412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412"/>
      <c r="Z637" s="412"/>
    </row>
    <row r="638" ht="13.5" customHeight="1">
      <c r="A638" s="473"/>
      <c r="B638" s="412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412"/>
      <c r="Z638" s="412"/>
    </row>
    <row r="639" ht="13.5" customHeight="1">
      <c r="A639" s="473"/>
      <c r="B639" s="412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412"/>
      <c r="Z639" s="412"/>
    </row>
    <row r="640" ht="13.5" customHeight="1">
      <c r="A640" s="473"/>
      <c r="B640" s="412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412"/>
      <c r="Z640" s="412"/>
    </row>
    <row r="641" ht="13.5" customHeight="1">
      <c r="A641" s="473"/>
      <c r="B641" s="412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412"/>
      <c r="Z641" s="412"/>
    </row>
    <row r="642" ht="13.5" customHeight="1">
      <c r="A642" s="473"/>
      <c r="B642" s="412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412"/>
      <c r="Z642" s="412"/>
    </row>
    <row r="643" ht="13.5" customHeight="1">
      <c r="A643" s="473"/>
      <c r="B643" s="412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412"/>
      <c r="Z643" s="412"/>
    </row>
    <row r="644" ht="13.5" customHeight="1">
      <c r="A644" s="473"/>
      <c r="B644" s="412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412"/>
      <c r="Z644" s="412"/>
    </row>
    <row r="645" ht="13.5" customHeight="1">
      <c r="A645" s="473"/>
      <c r="B645" s="412"/>
      <c r="C645" s="412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412"/>
      <c r="P645" s="412"/>
      <c r="Q645" s="412"/>
      <c r="R645" s="412"/>
      <c r="S645" s="412"/>
      <c r="T645" s="412"/>
      <c r="U645" s="412"/>
      <c r="V645" s="412"/>
      <c r="W645" s="412"/>
      <c r="X645" s="412"/>
      <c r="Y645" s="412"/>
      <c r="Z645" s="412"/>
    </row>
    <row r="646" ht="13.5" customHeight="1">
      <c r="A646" s="473"/>
      <c r="B646" s="412"/>
      <c r="C646" s="412"/>
      <c r="D646" s="412"/>
      <c r="E646" s="412"/>
      <c r="F646" s="412"/>
      <c r="G646" s="412"/>
      <c r="H646" s="412"/>
      <c r="I646" s="412"/>
      <c r="J646" s="412"/>
      <c r="K646" s="412"/>
      <c r="L646" s="412"/>
      <c r="M646" s="412"/>
      <c r="N646" s="412"/>
      <c r="O646" s="412"/>
      <c r="P646" s="412"/>
      <c r="Q646" s="412"/>
      <c r="R646" s="412"/>
      <c r="S646" s="412"/>
      <c r="T646" s="412"/>
      <c r="U646" s="412"/>
      <c r="V646" s="412"/>
      <c r="W646" s="412"/>
      <c r="X646" s="412"/>
      <c r="Y646" s="412"/>
      <c r="Z646" s="412"/>
    </row>
    <row r="647" ht="13.5" customHeight="1">
      <c r="A647" s="473"/>
      <c r="B647" s="412"/>
      <c r="C647" s="412"/>
      <c r="D647" s="412"/>
      <c r="E647" s="412"/>
      <c r="F647" s="412"/>
      <c r="G647" s="412"/>
      <c r="H647" s="412"/>
      <c r="I647" s="412"/>
      <c r="J647" s="412"/>
      <c r="K647" s="412"/>
      <c r="L647" s="412"/>
      <c r="M647" s="412"/>
      <c r="N647" s="412"/>
      <c r="O647" s="412"/>
      <c r="P647" s="412"/>
      <c r="Q647" s="412"/>
      <c r="R647" s="412"/>
      <c r="S647" s="412"/>
      <c r="T647" s="412"/>
      <c r="U647" s="412"/>
      <c r="V647" s="412"/>
      <c r="W647" s="412"/>
      <c r="X647" s="412"/>
      <c r="Y647" s="412"/>
      <c r="Z647" s="412"/>
    </row>
    <row r="648" ht="13.5" customHeight="1">
      <c r="A648" s="473"/>
      <c r="B648" s="412"/>
      <c r="C648" s="412"/>
      <c r="D648" s="412"/>
      <c r="E648" s="412"/>
      <c r="F648" s="412"/>
      <c r="G648" s="412"/>
      <c r="H648" s="412"/>
      <c r="I648" s="412"/>
      <c r="J648" s="412"/>
      <c r="K648" s="412"/>
      <c r="L648" s="412"/>
      <c r="M648" s="412"/>
      <c r="N648" s="412"/>
      <c r="O648" s="412"/>
      <c r="P648" s="412"/>
      <c r="Q648" s="412"/>
      <c r="R648" s="412"/>
      <c r="S648" s="412"/>
      <c r="T648" s="412"/>
      <c r="U648" s="412"/>
      <c r="V648" s="412"/>
      <c r="W648" s="412"/>
      <c r="X648" s="412"/>
      <c r="Y648" s="412"/>
      <c r="Z648" s="412"/>
    </row>
    <row r="649" ht="13.5" customHeight="1">
      <c r="A649" s="473"/>
      <c r="B649" s="412"/>
      <c r="C649" s="412"/>
      <c r="D649" s="412"/>
      <c r="E649" s="412"/>
      <c r="F649" s="412"/>
      <c r="G649" s="412"/>
      <c r="H649" s="412"/>
      <c r="I649" s="412"/>
      <c r="J649" s="412"/>
      <c r="K649" s="412"/>
      <c r="L649" s="412"/>
      <c r="M649" s="412"/>
      <c r="N649" s="412"/>
      <c r="O649" s="412"/>
      <c r="P649" s="412"/>
      <c r="Q649" s="412"/>
      <c r="R649" s="412"/>
      <c r="S649" s="412"/>
      <c r="T649" s="412"/>
      <c r="U649" s="412"/>
      <c r="V649" s="412"/>
      <c r="W649" s="412"/>
      <c r="X649" s="412"/>
      <c r="Y649" s="412"/>
      <c r="Z649" s="412"/>
    </row>
    <row r="650" ht="13.5" customHeight="1">
      <c r="A650" s="473"/>
      <c r="B650" s="412"/>
      <c r="C650" s="412"/>
      <c r="D650" s="412"/>
      <c r="E650" s="412"/>
      <c r="F650" s="412"/>
      <c r="G650" s="412"/>
      <c r="H650" s="412"/>
      <c r="I650" s="412"/>
      <c r="J650" s="412"/>
      <c r="K650" s="412"/>
      <c r="L650" s="412"/>
      <c r="M650" s="412"/>
      <c r="N650" s="412"/>
      <c r="O650" s="412"/>
      <c r="P650" s="412"/>
      <c r="Q650" s="412"/>
      <c r="R650" s="412"/>
      <c r="S650" s="412"/>
      <c r="T650" s="412"/>
      <c r="U650" s="412"/>
      <c r="V650" s="412"/>
      <c r="W650" s="412"/>
      <c r="X650" s="412"/>
      <c r="Y650" s="412"/>
      <c r="Z650" s="412"/>
    </row>
    <row r="651" ht="13.5" customHeight="1">
      <c r="A651" s="473"/>
      <c r="B651" s="412"/>
      <c r="C651" s="412"/>
      <c r="D651" s="412"/>
      <c r="E651" s="412"/>
      <c r="F651" s="412"/>
      <c r="G651" s="412"/>
      <c r="H651" s="412"/>
      <c r="I651" s="412"/>
      <c r="J651" s="412"/>
      <c r="K651" s="412"/>
      <c r="L651" s="412"/>
      <c r="M651" s="412"/>
      <c r="N651" s="412"/>
      <c r="O651" s="412"/>
      <c r="P651" s="412"/>
      <c r="Q651" s="412"/>
      <c r="R651" s="412"/>
      <c r="S651" s="412"/>
      <c r="T651" s="412"/>
      <c r="U651" s="412"/>
      <c r="V651" s="412"/>
      <c r="W651" s="412"/>
      <c r="X651" s="412"/>
      <c r="Y651" s="412"/>
      <c r="Z651" s="412"/>
    </row>
    <row r="652" ht="13.5" customHeight="1">
      <c r="A652" s="473"/>
      <c r="B652" s="412"/>
      <c r="C652" s="412"/>
      <c r="D652" s="412"/>
      <c r="E652" s="412"/>
      <c r="F652" s="412"/>
      <c r="G652" s="412"/>
      <c r="H652" s="412"/>
      <c r="I652" s="412"/>
      <c r="J652" s="412"/>
      <c r="K652" s="412"/>
      <c r="L652" s="412"/>
      <c r="M652" s="412"/>
      <c r="N652" s="412"/>
      <c r="O652" s="412"/>
      <c r="P652" s="412"/>
      <c r="Q652" s="412"/>
      <c r="R652" s="412"/>
      <c r="S652" s="412"/>
      <c r="T652" s="412"/>
      <c r="U652" s="412"/>
      <c r="V652" s="412"/>
      <c r="W652" s="412"/>
      <c r="X652" s="412"/>
      <c r="Y652" s="412"/>
      <c r="Z652" s="412"/>
    </row>
    <row r="653" ht="13.5" customHeight="1">
      <c r="A653" s="473"/>
      <c r="B653" s="412"/>
      <c r="C653" s="412"/>
      <c r="D653" s="412"/>
      <c r="E653" s="412"/>
      <c r="F653" s="412"/>
      <c r="G653" s="412"/>
      <c r="H653" s="412"/>
      <c r="I653" s="412"/>
      <c r="J653" s="412"/>
      <c r="K653" s="412"/>
      <c r="L653" s="412"/>
      <c r="M653" s="412"/>
      <c r="N653" s="412"/>
      <c r="O653" s="412"/>
      <c r="P653" s="412"/>
      <c r="Q653" s="412"/>
      <c r="R653" s="412"/>
      <c r="S653" s="412"/>
      <c r="T653" s="412"/>
      <c r="U653" s="412"/>
      <c r="V653" s="412"/>
      <c r="W653" s="412"/>
      <c r="X653" s="412"/>
      <c r="Y653" s="412"/>
      <c r="Z653" s="412"/>
    </row>
    <row r="654" ht="13.5" customHeight="1">
      <c r="A654" s="473"/>
      <c r="B654" s="412"/>
      <c r="C654" s="412"/>
      <c r="D654" s="412"/>
      <c r="E654" s="412"/>
      <c r="F654" s="412"/>
      <c r="G654" s="412"/>
      <c r="H654" s="412"/>
      <c r="I654" s="412"/>
      <c r="J654" s="412"/>
      <c r="K654" s="412"/>
      <c r="L654" s="412"/>
      <c r="M654" s="412"/>
      <c r="N654" s="412"/>
      <c r="O654" s="412"/>
      <c r="P654" s="412"/>
      <c r="Q654" s="412"/>
      <c r="R654" s="412"/>
      <c r="S654" s="412"/>
      <c r="T654" s="412"/>
      <c r="U654" s="412"/>
      <c r="V654" s="412"/>
      <c r="W654" s="412"/>
      <c r="X654" s="412"/>
      <c r="Y654" s="412"/>
      <c r="Z654" s="412"/>
    </row>
    <row r="655" ht="13.5" customHeight="1">
      <c r="A655" s="473"/>
      <c r="B655" s="412"/>
      <c r="C655" s="412"/>
      <c r="D655" s="412"/>
      <c r="E655" s="412"/>
      <c r="F655" s="412"/>
      <c r="G655" s="412"/>
      <c r="H655" s="412"/>
      <c r="I655" s="412"/>
      <c r="J655" s="412"/>
      <c r="K655" s="412"/>
      <c r="L655" s="412"/>
      <c r="M655" s="412"/>
      <c r="N655" s="412"/>
      <c r="O655" s="412"/>
      <c r="P655" s="412"/>
      <c r="Q655" s="412"/>
      <c r="R655" s="412"/>
      <c r="S655" s="412"/>
      <c r="T655" s="412"/>
      <c r="U655" s="412"/>
      <c r="V655" s="412"/>
      <c r="W655" s="412"/>
      <c r="X655" s="412"/>
      <c r="Y655" s="412"/>
      <c r="Z655" s="412"/>
    </row>
    <row r="656" ht="13.5" customHeight="1">
      <c r="A656" s="473"/>
      <c r="B656" s="412"/>
      <c r="C656" s="412"/>
      <c r="D656" s="412"/>
      <c r="E656" s="412"/>
      <c r="F656" s="412"/>
      <c r="G656" s="412"/>
      <c r="H656" s="412"/>
      <c r="I656" s="412"/>
      <c r="J656" s="412"/>
      <c r="K656" s="412"/>
      <c r="L656" s="412"/>
      <c r="M656" s="412"/>
      <c r="N656" s="412"/>
      <c r="O656" s="412"/>
      <c r="P656" s="412"/>
      <c r="Q656" s="412"/>
      <c r="R656" s="412"/>
      <c r="S656" s="412"/>
      <c r="T656" s="412"/>
      <c r="U656" s="412"/>
      <c r="V656" s="412"/>
      <c r="W656" s="412"/>
      <c r="X656" s="412"/>
      <c r="Y656" s="412"/>
      <c r="Z656" s="412"/>
    </row>
    <row r="657" ht="13.5" customHeight="1">
      <c r="A657" s="473"/>
      <c r="B657" s="412"/>
      <c r="C657" s="412"/>
      <c r="D657" s="412"/>
      <c r="E657" s="412"/>
      <c r="F657" s="412"/>
      <c r="G657" s="412"/>
      <c r="H657" s="412"/>
      <c r="I657" s="412"/>
      <c r="J657" s="412"/>
      <c r="K657" s="412"/>
      <c r="L657" s="412"/>
      <c r="M657" s="412"/>
      <c r="N657" s="412"/>
      <c r="O657" s="412"/>
      <c r="P657" s="412"/>
      <c r="Q657" s="412"/>
      <c r="R657" s="412"/>
      <c r="S657" s="412"/>
      <c r="T657" s="412"/>
      <c r="U657" s="412"/>
      <c r="V657" s="412"/>
      <c r="W657" s="412"/>
      <c r="X657" s="412"/>
      <c r="Y657" s="412"/>
      <c r="Z657" s="412"/>
    </row>
    <row r="658" ht="13.5" customHeight="1">
      <c r="A658" s="473"/>
      <c r="B658" s="412"/>
      <c r="C658" s="412"/>
      <c r="D658" s="412"/>
      <c r="E658" s="412"/>
      <c r="F658" s="412"/>
      <c r="G658" s="412"/>
      <c r="H658" s="412"/>
      <c r="I658" s="412"/>
      <c r="J658" s="412"/>
      <c r="K658" s="412"/>
      <c r="L658" s="412"/>
      <c r="M658" s="412"/>
      <c r="N658" s="412"/>
      <c r="O658" s="412"/>
      <c r="P658" s="412"/>
      <c r="Q658" s="412"/>
      <c r="R658" s="412"/>
      <c r="S658" s="412"/>
      <c r="T658" s="412"/>
      <c r="U658" s="412"/>
      <c r="V658" s="412"/>
      <c r="W658" s="412"/>
      <c r="X658" s="412"/>
      <c r="Y658" s="412"/>
      <c r="Z658" s="412"/>
    </row>
    <row r="659" ht="13.5" customHeight="1">
      <c r="A659" s="473"/>
      <c r="B659" s="412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12"/>
      <c r="O659" s="412"/>
      <c r="P659" s="412"/>
      <c r="Q659" s="412"/>
      <c r="R659" s="412"/>
      <c r="S659" s="412"/>
      <c r="T659" s="412"/>
      <c r="U659" s="412"/>
      <c r="V659" s="412"/>
      <c r="W659" s="412"/>
      <c r="X659" s="412"/>
      <c r="Y659" s="412"/>
      <c r="Z659" s="412"/>
    </row>
    <row r="660" ht="13.5" customHeight="1">
      <c r="A660" s="473"/>
      <c r="B660" s="412"/>
      <c r="C660" s="412"/>
      <c r="D660" s="412"/>
      <c r="E660" s="412"/>
      <c r="F660" s="412"/>
      <c r="G660" s="412"/>
      <c r="H660" s="412"/>
      <c r="I660" s="412"/>
      <c r="J660" s="412"/>
      <c r="K660" s="412"/>
      <c r="L660" s="412"/>
      <c r="M660" s="412"/>
      <c r="N660" s="412"/>
      <c r="O660" s="412"/>
      <c r="P660" s="412"/>
      <c r="Q660" s="412"/>
      <c r="R660" s="412"/>
      <c r="S660" s="412"/>
      <c r="T660" s="412"/>
      <c r="U660" s="412"/>
      <c r="V660" s="412"/>
      <c r="W660" s="412"/>
      <c r="X660" s="412"/>
      <c r="Y660" s="412"/>
      <c r="Z660" s="412"/>
    </row>
    <row r="661" ht="13.5" customHeight="1">
      <c r="A661" s="473"/>
      <c r="B661" s="412"/>
      <c r="C661" s="412"/>
      <c r="D661" s="412"/>
      <c r="E661" s="412"/>
      <c r="F661" s="412"/>
      <c r="G661" s="412"/>
      <c r="H661" s="412"/>
      <c r="I661" s="412"/>
      <c r="J661" s="412"/>
      <c r="K661" s="412"/>
      <c r="L661" s="412"/>
      <c r="M661" s="412"/>
      <c r="N661" s="412"/>
      <c r="O661" s="412"/>
      <c r="P661" s="412"/>
      <c r="Q661" s="412"/>
      <c r="R661" s="412"/>
      <c r="S661" s="412"/>
      <c r="T661" s="412"/>
      <c r="U661" s="412"/>
      <c r="V661" s="412"/>
      <c r="W661" s="412"/>
      <c r="X661" s="412"/>
      <c r="Y661" s="412"/>
      <c r="Z661" s="412"/>
    </row>
    <row r="662" ht="13.5" customHeight="1">
      <c r="A662" s="473"/>
      <c r="B662" s="412"/>
      <c r="C662" s="412"/>
      <c r="D662" s="412"/>
      <c r="E662" s="412"/>
      <c r="F662" s="412"/>
      <c r="G662" s="412"/>
      <c r="H662" s="412"/>
      <c r="I662" s="412"/>
      <c r="J662" s="412"/>
      <c r="K662" s="412"/>
      <c r="L662" s="412"/>
      <c r="M662" s="412"/>
      <c r="N662" s="412"/>
      <c r="O662" s="412"/>
      <c r="P662" s="412"/>
      <c r="Q662" s="412"/>
      <c r="R662" s="412"/>
      <c r="S662" s="412"/>
      <c r="T662" s="412"/>
      <c r="U662" s="412"/>
      <c r="V662" s="412"/>
      <c r="W662" s="412"/>
      <c r="X662" s="412"/>
      <c r="Y662" s="412"/>
      <c r="Z662" s="412"/>
    </row>
    <row r="663" ht="13.5" customHeight="1">
      <c r="A663" s="473"/>
      <c r="B663" s="412"/>
      <c r="C663" s="412"/>
      <c r="D663" s="412"/>
      <c r="E663" s="412"/>
      <c r="F663" s="412"/>
      <c r="G663" s="412"/>
      <c r="H663" s="412"/>
      <c r="I663" s="412"/>
      <c r="J663" s="412"/>
      <c r="K663" s="412"/>
      <c r="L663" s="412"/>
      <c r="M663" s="412"/>
      <c r="N663" s="412"/>
      <c r="O663" s="412"/>
      <c r="P663" s="412"/>
      <c r="Q663" s="412"/>
      <c r="R663" s="412"/>
      <c r="S663" s="412"/>
      <c r="T663" s="412"/>
      <c r="U663" s="412"/>
      <c r="V663" s="412"/>
      <c r="W663" s="412"/>
      <c r="X663" s="412"/>
      <c r="Y663" s="412"/>
      <c r="Z663" s="412"/>
    </row>
    <row r="664" ht="13.5" customHeight="1">
      <c r="A664" s="473"/>
      <c r="B664" s="412"/>
      <c r="C664" s="412"/>
      <c r="D664" s="412"/>
      <c r="E664" s="412"/>
      <c r="F664" s="412"/>
      <c r="G664" s="412"/>
      <c r="H664" s="412"/>
      <c r="I664" s="412"/>
      <c r="J664" s="412"/>
      <c r="K664" s="412"/>
      <c r="L664" s="412"/>
      <c r="M664" s="412"/>
      <c r="N664" s="412"/>
      <c r="O664" s="412"/>
      <c r="P664" s="412"/>
      <c r="Q664" s="412"/>
      <c r="R664" s="412"/>
      <c r="S664" s="412"/>
      <c r="T664" s="412"/>
      <c r="U664" s="412"/>
      <c r="V664" s="412"/>
      <c r="W664" s="412"/>
      <c r="X664" s="412"/>
      <c r="Y664" s="412"/>
      <c r="Z664" s="412"/>
    </row>
    <row r="665" ht="13.5" customHeight="1">
      <c r="A665" s="473"/>
      <c r="B665" s="412"/>
      <c r="C665" s="412"/>
      <c r="D665" s="412"/>
      <c r="E665" s="412"/>
      <c r="F665" s="412"/>
      <c r="G665" s="412"/>
      <c r="H665" s="412"/>
      <c r="I665" s="412"/>
      <c r="J665" s="412"/>
      <c r="K665" s="412"/>
      <c r="L665" s="412"/>
      <c r="M665" s="412"/>
      <c r="N665" s="412"/>
      <c r="O665" s="412"/>
      <c r="P665" s="412"/>
      <c r="Q665" s="412"/>
      <c r="R665" s="412"/>
      <c r="S665" s="412"/>
      <c r="T665" s="412"/>
      <c r="U665" s="412"/>
      <c r="V665" s="412"/>
      <c r="W665" s="412"/>
      <c r="X665" s="412"/>
      <c r="Y665" s="412"/>
      <c r="Z665" s="412"/>
    </row>
    <row r="666" ht="13.5" customHeight="1">
      <c r="A666" s="473"/>
      <c r="B666" s="412"/>
      <c r="C666" s="412"/>
      <c r="D666" s="412"/>
      <c r="E666" s="412"/>
      <c r="F666" s="412"/>
      <c r="G666" s="412"/>
      <c r="H666" s="412"/>
      <c r="I666" s="412"/>
      <c r="J666" s="412"/>
      <c r="K666" s="412"/>
      <c r="L666" s="412"/>
      <c r="M666" s="412"/>
      <c r="N666" s="412"/>
      <c r="O666" s="412"/>
      <c r="P666" s="412"/>
      <c r="Q666" s="412"/>
      <c r="R666" s="412"/>
      <c r="S666" s="412"/>
      <c r="T666" s="412"/>
      <c r="U666" s="412"/>
      <c r="V666" s="412"/>
      <c r="W666" s="412"/>
      <c r="X666" s="412"/>
      <c r="Y666" s="412"/>
      <c r="Z666" s="412"/>
    </row>
    <row r="667" ht="13.5" customHeight="1">
      <c r="A667" s="473"/>
      <c r="B667" s="412"/>
      <c r="C667" s="412"/>
      <c r="D667" s="412"/>
      <c r="E667" s="412"/>
      <c r="F667" s="412"/>
      <c r="G667" s="412"/>
      <c r="H667" s="412"/>
      <c r="I667" s="412"/>
      <c r="J667" s="412"/>
      <c r="K667" s="412"/>
      <c r="L667" s="412"/>
      <c r="M667" s="412"/>
      <c r="N667" s="412"/>
      <c r="O667" s="412"/>
      <c r="P667" s="412"/>
      <c r="Q667" s="412"/>
      <c r="R667" s="412"/>
      <c r="S667" s="412"/>
      <c r="T667" s="412"/>
      <c r="U667" s="412"/>
      <c r="V667" s="412"/>
      <c r="W667" s="412"/>
      <c r="X667" s="412"/>
      <c r="Y667" s="412"/>
      <c r="Z667" s="412"/>
    </row>
    <row r="668" ht="13.5" customHeight="1">
      <c r="A668" s="473"/>
      <c r="B668" s="412"/>
      <c r="C668" s="412"/>
      <c r="D668" s="412"/>
      <c r="E668" s="412"/>
      <c r="F668" s="412"/>
      <c r="G668" s="412"/>
      <c r="H668" s="412"/>
      <c r="I668" s="412"/>
      <c r="J668" s="412"/>
      <c r="K668" s="412"/>
      <c r="L668" s="412"/>
      <c r="M668" s="412"/>
      <c r="N668" s="412"/>
      <c r="O668" s="412"/>
      <c r="P668" s="412"/>
      <c r="Q668" s="412"/>
      <c r="R668" s="412"/>
      <c r="S668" s="412"/>
      <c r="T668" s="412"/>
      <c r="U668" s="412"/>
      <c r="V668" s="412"/>
      <c r="W668" s="412"/>
      <c r="X668" s="412"/>
      <c r="Y668" s="412"/>
      <c r="Z668" s="412"/>
    </row>
    <row r="669" ht="13.5" customHeight="1">
      <c r="A669" s="473"/>
      <c r="B669" s="412"/>
      <c r="C669" s="412"/>
      <c r="D669" s="412"/>
      <c r="E669" s="412"/>
      <c r="F669" s="412"/>
      <c r="G669" s="412"/>
      <c r="H669" s="412"/>
      <c r="I669" s="412"/>
      <c r="J669" s="412"/>
      <c r="K669" s="412"/>
      <c r="L669" s="412"/>
      <c r="M669" s="412"/>
      <c r="N669" s="412"/>
      <c r="O669" s="412"/>
      <c r="P669" s="412"/>
      <c r="Q669" s="412"/>
      <c r="R669" s="412"/>
      <c r="S669" s="412"/>
      <c r="T669" s="412"/>
      <c r="U669" s="412"/>
      <c r="V669" s="412"/>
      <c r="W669" s="412"/>
      <c r="X669" s="412"/>
      <c r="Y669" s="412"/>
      <c r="Z669" s="412"/>
    </row>
    <row r="670" ht="13.5" customHeight="1">
      <c r="A670" s="473"/>
      <c r="B670" s="412"/>
      <c r="C670" s="412"/>
      <c r="D670" s="412"/>
      <c r="E670" s="412"/>
      <c r="F670" s="412"/>
      <c r="G670" s="412"/>
      <c r="H670" s="412"/>
      <c r="I670" s="412"/>
      <c r="J670" s="412"/>
      <c r="K670" s="412"/>
      <c r="L670" s="412"/>
      <c r="M670" s="412"/>
      <c r="N670" s="412"/>
      <c r="O670" s="412"/>
      <c r="P670" s="412"/>
      <c r="Q670" s="412"/>
      <c r="R670" s="412"/>
      <c r="S670" s="412"/>
      <c r="T670" s="412"/>
      <c r="U670" s="412"/>
      <c r="V670" s="412"/>
      <c r="W670" s="412"/>
      <c r="X670" s="412"/>
      <c r="Y670" s="412"/>
      <c r="Z670" s="412"/>
    </row>
    <row r="671" ht="13.5" customHeight="1">
      <c r="A671" s="473"/>
      <c r="B671" s="412"/>
      <c r="C671" s="412"/>
      <c r="D671" s="412"/>
      <c r="E671" s="412"/>
      <c r="F671" s="412"/>
      <c r="G671" s="412"/>
      <c r="H671" s="412"/>
      <c r="I671" s="412"/>
      <c r="J671" s="412"/>
      <c r="K671" s="412"/>
      <c r="L671" s="412"/>
      <c r="M671" s="412"/>
      <c r="N671" s="412"/>
      <c r="O671" s="412"/>
      <c r="P671" s="412"/>
      <c r="Q671" s="412"/>
      <c r="R671" s="412"/>
      <c r="S671" s="412"/>
      <c r="T671" s="412"/>
      <c r="U671" s="412"/>
      <c r="V671" s="412"/>
      <c r="W671" s="412"/>
      <c r="X671" s="412"/>
      <c r="Y671" s="412"/>
      <c r="Z671" s="412"/>
    </row>
    <row r="672" ht="13.5" customHeight="1">
      <c r="A672" s="473"/>
      <c r="B672" s="412"/>
      <c r="C672" s="412"/>
      <c r="D672" s="412"/>
      <c r="E672" s="412"/>
      <c r="F672" s="412"/>
      <c r="G672" s="412"/>
      <c r="H672" s="412"/>
      <c r="I672" s="412"/>
      <c r="J672" s="412"/>
      <c r="K672" s="412"/>
      <c r="L672" s="412"/>
      <c r="M672" s="412"/>
      <c r="N672" s="412"/>
      <c r="O672" s="412"/>
      <c r="P672" s="412"/>
      <c r="Q672" s="412"/>
      <c r="R672" s="412"/>
      <c r="S672" s="412"/>
      <c r="T672" s="412"/>
      <c r="U672" s="412"/>
      <c r="V672" s="412"/>
      <c r="W672" s="412"/>
      <c r="X672" s="412"/>
      <c r="Y672" s="412"/>
      <c r="Z672" s="412"/>
    </row>
    <row r="673" ht="13.5" customHeight="1">
      <c r="A673" s="473"/>
      <c r="B673" s="412"/>
      <c r="C673" s="412"/>
      <c r="D673" s="412"/>
      <c r="E673" s="412"/>
      <c r="F673" s="412"/>
      <c r="G673" s="412"/>
      <c r="H673" s="412"/>
      <c r="I673" s="412"/>
      <c r="J673" s="412"/>
      <c r="K673" s="412"/>
      <c r="L673" s="412"/>
      <c r="M673" s="412"/>
      <c r="N673" s="412"/>
      <c r="O673" s="412"/>
      <c r="P673" s="412"/>
      <c r="Q673" s="412"/>
      <c r="R673" s="412"/>
      <c r="S673" s="412"/>
      <c r="T673" s="412"/>
      <c r="U673" s="412"/>
      <c r="V673" s="412"/>
      <c r="W673" s="412"/>
      <c r="X673" s="412"/>
      <c r="Y673" s="412"/>
      <c r="Z673" s="412"/>
    </row>
    <row r="674" ht="13.5" customHeight="1">
      <c r="A674" s="473"/>
      <c r="B674" s="412"/>
      <c r="C674" s="412"/>
      <c r="D674" s="412"/>
      <c r="E674" s="412"/>
      <c r="F674" s="412"/>
      <c r="G674" s="412"/>
      <c r="H674" s="412"/>
      <c r="I674" s="412"/>
      <c r="J674" s="412"/>
      <c r="K674" s="412"/>
      <c r="L674" s="412"/>
      <c r="M674" s="412"/>
      <c r="N674" s="412"/>
      <c r="O674" s="412"/>
      <c r="P674" s="412"/>
      <c r="Q674" s="412"/>
      <c r="R674" s="412"/>
      <c r="S674" s="412"/>
      <c r="T674" s="412"/>
      <c r="U674" s="412"/>
      <c r="V674" s="412"/>
      <c r="W674" s="412"/>
      <c r="X674" s="412"/>
      <c r="Y674" s="412"/>
      <c r="Z674" s="412"/>
    </row>
    <row r="675" ht="13.5" customHeight="1">
      <c r="A675" s="473"/>
      <c r="B675" s="412"/>
      <c r="C675" s="412"/>
      <c r="D675" s="412"/>
      <c r="E675" s="412"/>
      <c r="F675" s="412"/>
      <c r="G675" s="412"/>
      <c r="H675" s="412"/>
      <c r="I675" s="412"/>
      <c r="J675" s="412"/>
      <c r="K675" s="412"/>
      <c r="L675" s="412"/>
      <c r="M675" s="412"/>
      <c r="N675" s="412"/>
      <c r="O675" s="412"/>
      <c r="P675" s="412"/>
      <c r="Q675" s="412"/>
      <c r="R675" s="412"/>
      <c r="S675" s="412"/>
      <c r="T675" s="412"/>
      <c r="U675" s="412"/>
      <c r="V675" s="412"/>
      <c r="W675" s="412"/>
      <c r="X675" s="412"/>
      <c r="Y675" s="412"/>
      <c r="Z675" s="412"/>
    </row>
    <row r="676" ht="13.5" customHeight="1">
      <c r="A676" s="473"/>
      <c r="B676" s="412"/>
      <c r="C676" s="412"/>
      <c r="D676" s="412"/>
      <c r="E676" s="412"/>
      <c r="F676" s="412"/>
      <c r="G676" s="412"/>
      <c r="H676" s="412"/>
      <c r="I676" s="412"/>
      <c r="J676" s="412"/>
      <c r="K676" s="412"/>
      <c r="L676" s="412"/>
      <c r="M676" s="412"/>
      <c r="N676" s="412"/>
      <c r="O676" s="412"/>
      <c r="P676" s="412"/>
      <c r="Q676" s="412"/>
      <c r="R676" s="412"/>
      <c r="S676" s="412"/>
      <c r="T676" s="412"/>
      <c r="U676" s="412"/>
      <c r="V676" s="412"/>
      <c r="W676" s="412"/>
      <c r="X676" s="412"/>
      <c r="Y676" s="412"/>
      <c r="Z676" s="412"/>
    </row>
    <row r="677" ht="13.5" customHeight="1">
      <c r="A677" s="473"/>
      <c r="B677" s="412"/>
      <c r="C677" s="412"/>
      <c r="D677" s="412"/>
      <c r="E677" s="412"/>
      <c r="F677" s="412"/>
      <c r="G677" s="412"/>
      <c r="H677" s="412"/>
      <c r="I677" s="412"/>
      <c r="J677" s="412"/>
      <c r="K677" s="412"/>
      <c r="L677" s="412"/>
      <c r="M677" s="412"/>
      <c r="N677" s="412"/>
      <c r="O677" s="412"/>
      <c r="P677" s="412"/>
      <c r="Q677" s="412"/>
      <c r="R677" s="412"/>
      <c r="S677" s="412"/>
      <c r="T677" s="412"/>
      <c r="U677" s="412"/>
      <c r="V677" s="412"/>
      <c r="W677" s="412"/>
      <c r="X677" s="412"/>
      <c r="Y677" s="412"/>
      <c r="Z677" s="412"/>
    </row>
    <row r="678" ht="13.5" customHeight="1">
      <c r="A678" s="473"/>
      <c r="B678" s="412"/>
      <c r="C678" s="412"/>
      <c r="D678" s="412"/>
      <c r="E678" s="412"/>
      <c r="F678" s="412"/>
      <c r="G678" s="412"/>
      <c r="H678" s="412"/>
      <c r="I678" s="412"/>
      <c r="J678" s="412"/>
      <c r="K678" s="412"/>
      <c r="L678" s="412"/>
      <c r="M678" s="412"/>
      <c r="N678" s="412"/>
      <c r="O678" s="412"/>
      <c r="P678" s="412"/>
      <c r="Q678" s="412"/>
      <c r="R678" s="412"/>
      <c r="S678" s="412"/>
      <c r="T678" s="412"/>
      <c r="U678" s="412"/>
      <c r="V678" s="412"/>
      <c r="W678" s="412"/>
      <c r="X678" s="412"/>
      <c r="Y678" s="412"/>
      <c r="Z678" s="412"/>
    </row>
    <row r="679" ht="13.5" customHeight="1">
      <c r="A679" s="473"/>
      <c r="B679" s="412"/>
      <c r="C679" s="412"/>
      <c r="D679" s="412"/>
      <c r="E679" s="412"/>
      <c r="F679" s="412"/>
      <c r="G679" s="412"/>
      <c r="H679" s="412"/>
      <c r="I679" s="412"/>
      <c r="J679" s="412"/>
      <c r="K679" s="412"/>
      <c r="L679" s="412"/>
      <c r="M679" s="412"/>
      <c r="N679" s="412"/>
      <c r="O679" s="412"/>
      <c r="P679" s="412"/>
      <c r="Q679" s="412"/>
      <c r="R679" s="412"/>
      <c r="S679" s="412"/>
      <c r="T679" s="412"/>
      <c r="U679" s="412"/>
      <c r="V679" s="412"/>
      <c r="W679" s="412"/>
      <c r="X679" s="412"/>
      <c r="Y679" s="412"/>
      <c r="Z679" s="412"/>
    </row>
    <row r="680" ht="13.5" customHeight="1">
      <c r="A680" s="473"/>
      <c r="B680" s="412"/>
      <c r="C680" s="412"/>
      <c r="D680" s="412"/>
      <c r="E680" s="412"/>
      <c r="F680" s="412"/>
      <c r="G680" s="412"/>
      <c r="H680" s="412"/>
      <c r="I680" s="412"/>
      <c r="J680" s="412"/>
      <c r="K680" s="412"/>
      <c r="L680" s="412"/>
      <c r="M680" s="412"/>
      <c r="N680" s="412"/>
      <c r="O680" s="412"/>
      <c r="P680" s="412"/>
      <c r="Q680" s="412"/>
      <c r="R680" s="412"/>
      <c r="S680" s="412"/>
      <c r="T680" s="412"/>
      <c r="U680" s="412"/>
      <c r="V680" s="412"/>
      <c r="W680" s="412"/>
      <c r="X680" s="412"/>
      <c r="Y680" s="412"/>
      <c r="Z680" s="412"/>
    </row>
    <row r="681" ht="13.5" customHeight="1">
      <c r="A681" s="473"/>
      <c r="B681" s="412"/>
      <c r="C681" s="412"/>
      <c r="D681" s="412"/>
      <c r="E681" s="412"/>
      <c r="F681" s="412"/>
      <c r="G681" s="412"/>
      <c r="H681" s="412"/>
      <c r="I681" s="412"/>
      <c r="J681" s="412"/>
      <c r="K681" s="412"/>
      <c r="L681" s="412"/>
      <c r="M681" s="412"/>
      <c r="N681" s="412"/>
      <c r="O681" s="412"/>
      <c r="P681" s="412"/>
      <c r="Q681" s="412"/>
      <c r="R681" s="412"/>
      <c r="S681" s="412"/>
      <c r="T681" s="412"/>
      <c r="U681" s="412"/>
      <c r="V681" s="412"/>
      <c r="W681" s="412"/>
      <c r="X681" s="412"/>
      <c r="Y681" s="412"/>
      <c r="Z681" s="412"/>
    </row>
    <row r="682" ht="13.5" customHeight="1">
      <c r="A682" s="473"/>
      <c r="B682" s="412"/>
      <c r="C682" s="412"/>
      <c r="D682" s="412"/>
      <c r="E682" s="412"/>
      <c r="F682" s="412"/>
      <c r="G682" s="412"/>
      <c r="H682" s="412"/>
      <c r="I682" s="412"/>
      <c r="J682" s="412"/>
      <c r="K682" s="412"/>
      <c r="L682" s="412"/>
      <c r="M682" s="412"/>
      <c r="N682" s="412"/>
      <c r="O682" s="412"/>
      <c r="P682" s="412"/>
      <c r="Q682" s="412"/>
      <c r="R682" s="412"/>
      <c r="S682" s="412"/>
      <c r="T682" s="412"/>
      <c r="U682" s="412"/>
      <c r="V682" s="412"/>
      <c r="W682" s="412"/>
      <c r="X682" s="412"/>
      <c r="Y682" s="412"/>
      <c r="Z682" s="412"/>
    </row>
    <row r="683" ht="13.5" customHeight="1">
      <c r="A683" s="473"/>
      <c r="B683" s="412"/>
      <c r="C683" s="412"/>
      <c r="D683" s="412"/>
      <c r="E683" s="412"/>
      <c r="F683" s="412"/>
      <c r="G683" s="412"/>
      <c r="H683" s="412"/>
      <c r="I683" s="412"/>
      <c r="J683" s="412"/>
      <c r="K683" s="412"/>
      <c r="L683" s="412"/>
      <c r="M683" s="412"/>
      <c r="N683" s="412"/>
      <c r="O683" s="412"/>
      <c r="P683" s="412"/>
      <c r="Q683" s="412"/>
      <c r="R683" s="412"/>
      <c r="S683" s="412"/>
      <c r="T683" s="412"/>
      <c r="U683" s="412"/>
      <c r="V683" s="412"/>
      <c r="W683" s="412"/>
      <c r="X683" s="412"/>
      <c r="Y683" s="412"/>
      <c r="Z683" s="412"/>
    </row>
    <row r="684" ht="13.5" customHeight="1">
      <c r="A684" s="473"/>
      <c r="B684" s="412"/>
      <c r="C684" s="412"/>
      <c r="D684" s="412"/>
      <c r="E684" s="412"/>
      <c r="F684" s="412"/>
      <c r="G684" s="412"/>
      <c r="H684" s="412"/>
      <c r="I684" s="412"/>
      <c r="J684" s="412"/>
      <c r="K684" s="412"/>
      <c r="L684" s="412"/>
      <c r="M684" s="412"/>
      <c r="N684" s="412"/>
      <c r="O684" s="412"/>
      <c r="P684" s="412"/>
      <c r="Q684" s="412"/>
      <c r="R684" s="412"/>
      <c r="S684" s="412"/>
      <c r="T684" s="412"/>
      <c r="U684" s="412"/>
      <c r="V684" s="412"/>
      <c r="W684" s="412"/>
      <c r="X684" s="412"/>
      <c r="Y684" s="412"/>
      <c r="Z684" s="412"/>
    </row>
    <row r="685" ht="13.5" customHeight="1">
      <c r="A685" s="473"/>
      <c r="B685" s="412"/>
      <c r="C685" s="412"/>
      <c r="D685" s="412"/>
      <c r="E685" s="412"/>
      <c r="F685" s="412"/>
      <c r="G685" s="412"/>
      <c r="H685" s="412"/>
      <c r="I685" s="412"/>
      <c r="J685" s="412"/>
      <c r="K685" s="412"/>
      <c r="L685" s="412"/>
      <c r="M685" s="412"/>
      <c r="N685" s="412"/>
      <c r="O685" s="412"/>
      <c r="P685" s="412"/>
      <c r="Q685" s="412"/>
      <c r="R685" s="412"/>
      <c r="S685" s="412"/>
      <c r="T685" s="412"/>
      <c r="U685" s="412"/>
      <c r="V685" s="412"/>
      <c r="W685" s="412"/>
      <c r="X685" s="412"/>
      <c r="Y685" s="412"/>
      <c r="Z685" s="412"/>
    </row>
    <row r="686" ht="13.5" customHeight="1">
      <c r="A686" s="473"/>
      <c r="B686" s="412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12"/>
      <c r="O686" s="412"/>
      <c r="P686" s="412"/>
      <c r="Q686" s="412"/>
      <c r="R686" s="412"/>
      <c r="S686" s="412"/>
      <c r="T686" s="412"/>
      <c r="U686" s="412"/>
      <c r="V686" s="412"/>
      <c r="W686" s="412"/>
      <c r="X686" s="412"/>
      <c r="Y686" s="412"/>
      <c r="Z686" s="412"/>
    </row>
    <row r="687" ht="13.5" customHeight="1">
      <c r="A687" s="473"/>
      <c r="B687" s="412"/>
      <c r="C687" s="412"/>
      <c r="D687" s="412"/>
      <c r="E687" s="412"/>
      <c r="F687" s="412"/>
      <c r="G687" s="412"/>
      <c r="H687" s="412"/>
      <c r="I687" s="412"/>
      <c r="J687" s="412"/>
      <c r="K687" s="412"/>
      <c r="L687" s="412"/>
      <c r="M687" s="412"/>
      <c r="N687" s="412"/>
      <c r="O687" s="412"/>
      <c r="P687" s="412"/>
      <c r="Q687" s="412"/>
      <c r="R687" s="412"/>
      <c r="S687" s="412"/>
      <c r="T687" s="412"/>
      <c r="U687" s="412"/>
      <c r="V687" s="412"/>
      <c r="W687" s="412"/>
      <c r="X687" s="412"/>
      <c r="Y687" s="412"/>
      <c r="Z687" s="412"/>
    </row>
    <row r="688" ht="13.5" customHeight="1">
      <c r="A688" s="473"/>
      <c r="B688" s="412"/>
      <c r="C688" s="412"/>
      <c r="D688" s="412"/>
      <c r="E688" s="412"/>
      <c r="F688" s="412"/>
      <c r="G688" s="412"/>
      <c r="H688" s="412"/>
      <c r="I688" s="412"/>
      <c r="J688" s="412"/>
      <c r="K688" s="412"/>
      <c r="L688" s="412"/>
      <c r="M688" s="412"/>
      <c r="N688" s="412"/>
      <c r="O688" s="412"/>
      <c r="P688" s="412"/>
      <c r="Q688" s="412"/>
      <c r="R688" s="412"/>
      <c r="S688" s="412"/>
      <c r="T688" s="412"/>
      <c r="U688" s="412"/>
      <c r="V688" s="412"/>
      <c r="W688" s="412"/>
      <c r="X688" s="412"/>
      <c r="Y688" s="412"/>
      <c r="Z688" s="412"/>
    </row>
    <row r="689" ht="13.5" customHeight="1">
      <c r="A689" s="473"/>
      <c r="B689" s="412"/>
      <c r="C689" s="412"/>
      <c r="D689" s="412"/>
      <c r="E689" s="412"/>
      <c r="F689" s="412"/>
      <c r="G689" s="412"/>
      <c r="H689" s="412"/>
      <c r="I689" s="412"/>
      <c r="J689" s="412"/>
      <c r="K689" s="412"/>
      <c r="L689" s="412"/>
      <c r="M689" s="412"/>
      <c r="N689" s="412"/>
      <c r="O689" s="412"/>
      <c r="P689" s="412"/>
      <c r="Q689" s="412"/>
      <c r="R689" s="412"/>
      <c r="S689" s="412"/>
      <c r="T689" s="412"/>
      <c r="U689" s="412"/>
      <c r="V689" s="412"/>
      <c r="W689" s="412"/>
      <c r="X689" s="412"/>
      <c r="Y689" s="412"/>
      <c r="Z689" s="412"/>
    </row>
    <row r="690" ht="13.5" customHeight="1">
      <c r="A690" s="473"/>
      <c r="B690" s="412"/>
      <c r="C690" s="412"/>
      <c r="D690" s="412"/>
      <c r="E690" s="412"/>
      <c r="F690" s="412"/>
      <c r="G690" s="412"/>
      <c r="H690" s="412"/>
      <c r="I690" s="412"/>
      <c r="J690" s="412"/>
      <c r="K690" s="412"/>
      <c r="L690" s="412"/>
      <c r="M690" s="412"/>
      <c r="N690" s="412"/>
      <c r="O690" s="412"/>
      <c r="P690" s="412"/>
      <c r="Q690" s="412"/>
      <c r="R690" s="412"/>
      <c r="S690" s="412"/>
      <c r="T690" s="412"/>
      <c r="U690" s="412"/>
      <c r="V690" s="412"/>
      <c r="W690" s="412"/>
      <c r="X690" s="412"/>
      <c r="Y690" s="412"/>
      <c r="Z690" s="412"/>
    </row>
    <row r="691" ht="13.5" customHeight="1">
      <c r="A691" s="473"/>
      <c r="B691" s="412"/>
      <c r="C691" s="412"/>
      <c r="D691" s="412"/>
      <c r="E691" s="412"/>
      <c r="F691" s="412"/>
      <c r="G691" s="412"/>
      <c r="H691" s="412"/>
      <c r="I691" s="412"/>
      <c r="J691" s="412"/>
      <c r="K691" s="412"/>
      <c r="L691" s="412"/>
      <c r="M691" s="412"/>
      <c r="N691" s="412"/>
      <c r="O691" s="412"/>
      <c r="P691" s="412"/>
      <c r="Q691" s="412"/>
      <c r="R691" s="412"/>
      <c r="S691" s="412"/>
      <c r="T691" s="412"/>
      <c r="U691" s="412"/>
      <c r="V691" s="412"/>
      <c r="W691" s="412"/>
      <c r="X691" s="412"/>
      <c r="Y691" s="412"/>
      <c r="Z691" s="412"/>
    </row>
    <row r="692" ht="13.5" customHeight="1">
      <c r="A692" s="473"/>
      <c r="B692" s="412"/>
      <c r="C692" s="412"/>
      <c r="D692" s="412"/>
      <c r="E692" s="412"/>
      <c r="F692" s="412"/>
      <c r="G692" s="412"/>
      <c r="H692" s="412"/>
      <c r="I692" s="412"/>
      <c r="J692" s="412"/>
      <c r="K692" s="412"/>
      <c r="L692" s="412"/>
      <c r="M692" s="412"/>
      <c r="N692" s="412"/>
      <c r="O692" s="412"/>
      <c r="P692" s="412"/>
      <c r="Q692" s="412"/>
      <c r="R692" s="412"/>
      <c r="S692" s="412"/>
      <c r="T692" s="412"/>
      <c r="U692" s="412"/>
      <c r="V692" s="412"/>
      <c r="W692" s="412"/>
      <c r="X692" s="412"/>
      <c r="Y692" s="412"/>
      <c r="Z692" s="412"/>
    </row>
    <row r="693" ht="13.5" customHeight="1">
      <c r="A693" s="473"/>
      <c r="B693" s="412"/>
      <c r="C693" s="412"/>
      <c r="D693" s="412"/>
      <c r="E693" s="412"/>
      <c r="F693" s="412"/>
      <c r="G693" s="412"/>
      <c r="H693" s="412"/>
      <c r="I693" s="412"/>
      <c r="J693" s="412"/>
      <c r="K693" s="412"/>
      <c r="L693" s="412"/>
      <c r="M693" s="412"/>
      <c r="N693" s="412"/>
      <c r="O693" s="412"/>
      <c r="P693" s="412"/>
      <c r="Q693" s="412"/>
      <c r="R693" s="412"/>
      <c r="S693" s="412"/>
      <c r="T693" s="412"/>
      <c r="U693" s="412"/>
      <c r="V693" s="412"/>
      <c r="W693" s="412"/>
      <c r="X693" s="412"/>
      <c r="Y693" s="412"/>
      <c r="Z693" s="412"/>
    </row>
    <row r="694" ht="13.5" customHeight="1">
      <c r="A694" s="473"/>
      <c r="B694" s="412"/>
      <c r="C694" s="412"/>
      <c r="D694" s="412"/>
      <c r="E694" s="412"/>
      <c r="F694" s="412"/>
      <c r="G694" s="412"/>
      <c r="H694" s="412"/>
      <c r="I694" s="412"/>
      <c r="J694" s="412"/>
      <c r="K694" s="412"/>
      <c r="L694" s="412"/>
      <c r="M694" s="412"/>
      <c r="N694" s="412"/>
      <c r="O694" s="412"/>
      <c r="P694" s="412"/>
      <c r="Q694" s="412"/>
      <c r="R694" s="412"/>
      <c r="S694" s="412"/>
      <c r="T694" s="412"/>
      <c r="U694" s="412"/>
      <c r="V694" s="412"/>
      <c r="W694" s="412"/>
      <c r="X694" s="412"/>
      <c r="Y694" s="412"/>
      <c r="Z694" s="412"/>
    </row>
    <row r="695" ht="13.5" customHeight="1">
      <c r="A695" s="473"/>
      <c r="B695" s="412"/>
      <c r="C695" s="412"/>
      <c r="D695" s="412"/>
      <c r="E695" s="412"/>
      <c r="F695" s="412"/>
      <c r="G695" s="412"/>
      <c r="H695" s="412"/>
      <c r="I695" s="412"/>
      <c r="J695" s="412"/>
      <c r="K695" s="412"/>
      <c r="L695" s="412"/>
      <c r="M695" s="412"/>
      <c r="N695" s="412"/>
      <c r="O695" s="412"/>
      <c r="P695" s="412"/>
      <c r="Q695" s="412"/>
      <c r="R695" s="412"/>
      <c r="S695" s="412"/>
      <c r="T695" s="412"/>
      <c r="U695" s="412"/>
      <c r="V695" s="412"/>
      <c r="W695" s="412"/>
      <c r="X695" s="412"/>
      <c r="Y695" s="412"/>
      <c r="Z695" s="412"/>
    </row>
    <row r="696" ht="13.5" customHeight="1">
      <c r="A696" s="473"/>
      <c r="B696" s="412"/>
      <c r="C696" s="412"/>
      <c r="D696" s="412"/>
      <c r="E696" s="412"/>
      <c r="F696" s="412"/>
      <c r="G696" s="412"/>
      <c r="H696" s="412"/>
      <c r="I696" s="412"/>
      <c r="J696" s="412"/>
      <c r="K696" s="412"/>
      <c r="L696" s="412"/>
      <c r="M696" s="412"/>
      <c r="N696" s="412"/>
      <c r="O696" s="412"/>
      <c r="P696" s="412"/>
      <c r="Q696" s="412"/>
      <c r="R696" s="412"/>
      <c r="S696" s="412"/>
      <c r="T696" s="412"/>
      <c r="U696" s="412"/>
      <c r="V696" s="412"/>
      <c r="W696" s="412"/>
      <c r="X696" s="412"/>
      <c r="Y696" s="412"/>
      <c r="Z696" s="412"/>
    </row>
    <row r="697" ht="13.5" customHeight="1">
      <c r="A697" s="473"/>
      <c r="B697" s="412"/>
      <c r="C697" s="412"/>
      <c r="D697" s="412"/>
      <c r="E697" s="412"/>
      <c r="F697" s="412"/>
      <c r="G697" s="412"/>
      <c r="H697" s="412"/>
      <c r="I697" s="412"/>
      <c r="J697" s="412"/>
      <c r="K697" s="412"/>
      <c r="L697" s="412"/>
      <c r="M697" s="412"/>
      <c r="N697" s="412"/>
      <c r="O697" s="412"/>
      <c r="P697" s="412"/>
      <c r="Q697" s="412"/>
      <c r="R697" s="412"/>
      <c r="S697" s="412"/>
      <c r="T697" s="412"/>
      <c r="U697" s="412"/>
      <c r="V697" s="412"/>
      <c r="W697" s="412"/>
      <c r="X697" s="412"/>
      <c r="Y697" s="412"/>
      <c r="Z697" s="412"/>
    </row>
    <row r="698" ht="13.5" customHeight="1">
      <c r="A698" s="473"/>
      <c r="B698" s="412"/>
      <c r="C698" s="412"/>
      <c r="D698" s="412"/>
      <c r="E698" s="412"/>
      <c r="F698" s="412"/>
      <c r="G698" s="412"/>
      <c r="H698" s="412"/>
      <c r="I698" s="412"/>
      <c r="J698" s="412"/>
      <c r="K698" s="412"/>
      <c r="L698" s="412"/>
      <c r="M698" s="412"/>
      <c r="N698" s="412"/>
      <c r="O698" s="412"/>
      <c r="P698" s="412"/>
      <c r="Q698" s="412"/>
      <c r="R698" s="412"/>
      <c r="S698" s="412"/>
      <c r="T698" s="412"/>
      <c r="U698" s="412"/>
      <c r="V698" s="412"/>
      <c r="W698" s="412"/>
      <c r="X698" s="412"/>
      <c r="Y698" s="412"/>
      <c r="Z698" s="412"/>
    </row>
    <row r="699" ht="13.5" customHeight="1">
      <c r="A699" s="473"/>
      <c r="B699" s="412"/>
      <c r="C699" s="412"/>
      <c r="D699" s="412"/>
      <c r="E699" s="412"/>
      <c r="F699" s="412"/>
      <c r="G699" s="412"/>
      <c r="H699" s="412"/>
      <c r="I699" s="412"/>
      <c r="J699" s="412"/>
      <c r="K699" s="412"/>
      <c r="L699" s="412"/>
      <c r="M699" s="412"/>
      <c r="N699" s="412"/>
      <c r="O699" s="412"/>
      <c r="P699" s="412"/>
      <c r="Q699" s="412"/>
      <c r="R699" s="412"/>
      <c r="S699" s="412"/>
      <c r="T699" s="412"/>
      <c r="U699" s="412"/>
      <c r="V699" s="412"/>
      <c r="W699" s="412"/>
      <c r="X699" s="412"/>
      <c r="Y699" s="412"/>
      <c r="Z699" s="412"/>
    </row>
    <row r="700" ht="13.5" customHeight="1">
      <c r="A700" s="473"/>
      <c r="B700" s="412"/>
      <c r="C700" s="412"/>
      <c r="D700" s="412"/>
      <c r="E700" s="412"/>
      <c r="F700" s="412"/>
      <c r="G700" s="412"/>
      <c r="H700" s="412"/>
      <c r="I700" s="412"/>
      <c r="J700" s="412"/>
      <c r="K700" s="412"/>
      <c r="L700" s="412"/>
      <c r="M700" s="412"/>
      <c r="N700" s="412"/>
      <c r="O700" s="412"/>
      <c r="P700" s="412"/>
      <c r="Q700" s="412"/>
      <c r="R700" s="412"/>
      <c r="S700" s="412"/>
      <c r="T700" s="412"/>
      <c r="U700" s="412"/>
      <c r="V700" s="412"/>
      <c r="W700" s="412"/>
      <c r="X700" s="412"/>
      <c r="Y700" s="412"/>
      <c r="Z700" s="412"/>
    </row>
    <row r="701" ht="13.5" customHeight="1">
      <c r="A701" s="473"/>
      <c r="B701" s="412"/>
      <c r="C701" s="412"/>
      <c r="D701" s="412"/>
      <c r="E701" s="412"/>
      <c r="F701" s="412"/>
      <c r="G701" s="412"/>
      <c r="H701" s="412"/>
      <c r="I701" s="412"/>
      <c r="J701" s="412"/>
      <c r="K701" s="412"/>
      <c r="L701" s="412"/>
      <c r="M701" s="412"/>
      <c r="N701" s="412"/>
      <c r="O701" s="412"/>
      <c r="P701" s="412"/>
      <c r="Q701" s="412"/>
      <c r="R701" s="412"/>
      <c r="S701" s="412"/>
      <c r="T701" s="412"/>
      <c r="U701" s="412"/>
      <c r="V701" s="412"/>
      <c r="W701" s="412"/>
      <c r="X701" s="412"/>
      <c r="Y701" s="412"/>
      <c r="Z701" s="412"/>
    </row>
    <row r="702" ht="13.5" customHeight="1">
      <c r="A702" s="473"/>
      <c r="B702" s="412"/>
      <c r="C702" s="412"/>
      <c r="D702" s="412"/>
      <c r="E702" s="412"/>
      <c r="F702" s="412"/>
      <c r="G702" s="412"/>
      <c r="H702" s="412"/>
      <c r="I702" s="412"/>
      <c r="J702" s="412"/>
      <c r="K702" s="412"/>
      <c r="L702" s="412"/>
      <c r="M702" s="412"/>
      <c r="N702" s="412"/>
      <c r="O702" s="412"/>
      <c r="P702" s="412"/>
      <c r="Q702" s="412"/>
      <c r="R702" s="412"/>
      <c r="S702" s="412"/>
      <c r="T702" s="412"/>
      <c r="U702" s="412"/>
      <c r="V702" s="412"/>
      <c r="W702" s="412"/>
      <c r="X702" s="412"/>
      <c r="Y702" s="412"/>
      <c r="Z702" s="412"/>
    </row>
    <row r="703" ht="13.5" customHeight="1">
      <c r="A703" s="473"/>
      <c r="B703" s="412"/>
      <c r="C703" s="412"/>
      <c r="D703" s="412"/>
      <c r="E703" s="412"/>
      <c r="F703" s="412"/>
      <c r="G703" s="412"/>
      <c r="H703" s="412"/>
      <c r="I703" s="412"/>
      <c r="J703" s="412"/>
      <c r="K703" s="412"/>
      <c r="L703" s="412"/>
      <c r="M703" s="412"/>
      <c r="N703" s="412"/>
      <c r="O703" s="412"/>
      <c r="P703" s="412"/>
      <c r="Q703" s="412"/>
      <c r="R703" s="412"/>
      <c r="S703" s="412"/>
      <c r="T703" s="412"/>
      <c r="U703" s="412"/>
      <c r="V703" s="412"/>
      <c r="W703" s="412"/>
      <c r="X703" s="412"/>
      <c r="Y703" s="412"/>
      <c r="Z703" s="412"/>
    </row>
    <row r="704" ht="13.5" customHeight="1">
      <c r="A704" s="473"/>
      <c r="B704" s="412"/>
      <c r="C704" s="412"/>
      <c r="D704" s="412"/>
      <c r="E704" s="412"/>
      <c r="F704" s="412"/>
      <c r="G704" s="412"/>
      <c r="H704" s="412"/>
      <c r="I704" s="412"/>
      <c r="J704" s="412"/>
      <c r="K704" s="412"/>
      <c r="L704" s="412"/>
      <c r="M704" s="412"/>
      <c r="N704" s="412"/>
      <c r="O704" s="412"/>
      <c r="P704" s="412"/>
      <c r="Q704" s="412"/>
      <c r="R704" s="412"/>
      <c r="S704" s="412"/>
      <c r="T704" s="412"/>
      <c r="U704" s="412"/>
      <c r="V704" s="412"/>
      <c r="W704" s="412"/>
      <c r="X704" s="412"/>
      <c r="Y704" s="412"/>
      <c r="Z704" s="412"/>
    </row>
    <row r="705" ht="13.5" customHeight="1">
      <c r="A705" s="473"/>
      <c r="B705" s="412"/>
      <c r="C705" s="412"/>
      <c r="D705" s="412"/>
      <c r="E705" s="412"/>
      <c r="F705" s="412"/>
      <c r="G705" s="412"/>
      <c r="H705" s="412"/>
      <c r="I705" s="412"/>
      <c r="J705" s="412"/>
      <c r="K705" s="412"/>
      <c r="L705" s="412"/>
      <c r="M705" s="412"/>
      <c r="N705" s="412"/>
      <c r="O705" s="412"/>
      <c r="P705" s="412"/>
      <c r="Q705" s="412"/>
      <c r="R705" s="412"/>
      <c r="S705" s="412"/>
      <c r="T705" s="412"/>
      <c r="U705" s="412"/>
      <c r="V705" s="412"/>
      <c r="W705" s="412"/>
      <c r="X705" s="412"/>
      <c r="Y705" s="412"/>
      <c r="Z705" s="412"/>
    </row>
    <row r="706" ht="13.5" customHeight="1">
      <c r="A706" s="473"/>
      <c r="B706" s="412"/>
      <c r="C706" s="412"/>
      <c r="D706" s="412"/>
      <c r="E706" s="412"/>
      <c r="F706" s="412"/>
      <c r="G706" s="412"/>
      <c r="H706" s="412"/>
      <c r="I706" s="412"/>
      <c r="J706" s="412"/>
      <c r="K706" s="412"/>
      <c r="L706" s="412"/>
      <c r="M706" s="412"/>
      <c r="N706" s="412"/>
      <c r="O706" s="412"/>
      <c r="P706" s="412"/>
      <c r="Q706" s="412"/>
      <c r="R706" s="412"/>
      <c r="S706" s="412"/>
      <c r="T706" s="412"/>
      <c r="U706" s="412"/>
      <c r="V706" s="412"/>
      <c r="W706" s="412"/>
      <c r="X706" s="412"/>
      <c r="Y706" s="412"/>
      <c r="Z706" s="412"/>
    </row>
    <row r="707" ht="13.5" customHeight="1">
      <c r="A707" s="473"/>
      <c r="B707" s="412"/>
      <c r="C707" s="412"/>
      <c r="D707" s="412"/>
      <c r="E707" s="412"/>
      <c r="F707" s="412"/>
      <c r="G707" s="412"/>
      <c r="H707" s="412"/>
      <c r="I707" s="412"/>
      <c r="J707" s="412"/>
      <c r="K707" s="412"/>
      <c r="L707" s="412"/>
      <c r="M707" s="412"/>
      <c r="N707" s="412"/>
      <c r="O707" s="412"/>
      <c r="P707" s="412"/>
      <c r="Q707" s="412"/>
      <c r="R707" s="412"/>
      <c r="S707" s="412"/>
      <c r="T707" s="412"/>
      <c r="U707" s="412"/>
      <c r="V707" s="412"/>
      <c r="W707" s="412"/>
      <c r="X707" s="412"/>
      <c r="Y707" s="412"/>
      <c r="Z707" s="412"/>
    </row>
    <row r="708" ht="13.5" customHeight="1">
      <c r="A708" s="473"/>
      <c r="B708" s="412"/>
      <c r="C708" s="412"/>
      <c r="D708" s="412"/>
      <c r="E708" s="412"/>
      <c r="F708" s="412"/>
      <c r="G708" s="412"/>
      <c r="H708" s="412"/>
      <c r="I708" s="412"/>
      <c r="J708" s="412"/>
      <c r="K708" s="412"/>
      <c r="L708" s="412"/>
      <c r="M708" s="412"/>
      <c r="N708" s="412"/>
      <c r="O708" s="412"/>
      <c r="P708" s="412"/>
      <c r="Q708" s="412"/>
      <c r="R708" s="412"/>
      <c r="S708" s="412"/>
      <c r="T708" s="412"/>
      <c r="U708" s="412"/>
      <c r="V708" s="412"/>
      <c r="W708" s="412"/>
      <c r="X708" s="412"/>
      <c r="Y708" s="412"/>
      <c r="Z708" s="412"/>
    </row>
    <row r="709" ht="13.5" customHeight="1">
      <c r="A709" s="473"/>
      <c r="B709" s="412"/>
      <c r="C709" s="412"/>
      <c r="D709" s="412"/>
      <c r="E709" s="412"/>
      <c r="F709" s="412"/>
      <c r="G709" s="412"/>
      <c r="H709" s="412"/>
      <c r="I709" s="412"/>
      <c r="J709" s="412"/>
      <c r="K709" s="412"/>
      <c r="L709" s="412"/>
      <c r="M709" s="412"/>
      <c r="N709" s="412"/>
      <c r="O709" s="412"/>
      <c r="P709" s="412"/>
      <c r="Q709" s="412"/>
      <c r="R709" s="412"/>
      <c r="S709" s="412"/>
      <c r="T709" s="412"/>
      <c r="U709" s="412"/>
      <c r="V709" s="412"/>
      <c r="W709" s="412"/>
      <c r="X709" s="412"/>
      <c r="Y709" s="412"/>
      <c r="Z709" s="412"/>
    </row>
    <row r="710" ht="13.5" customHeight="1">
      <c r="A710" s="473"/>
      <c r="B710" s="412"/>
      <c r="C710" s="412"/>
      <c r="D710" s="412"/>
      <c r="E710" s="412"/>
      <c r="F710" s="412"/>
      <c r="G710" s="412"/>
      <c r="H710" s="412"/>
      <c r="I710" s="412"/>
      <c r="J710" s="412"/>
      <c r="K710" s="412"/>
      <c r="L710" s="412"/>
      <c r="M710" s="412"/>
      <c r="N710" s="412"/>
      <c r="O710" s="412"/>
      <c r="P710" s="412"/>
      <c r="Q710" s="412"/>
      <c r="R710" s="412"/>
      <c r="S710" s="412"/>
      <c r="T710" s="412"/>
      <c r="U710" s="412"/>
      <c r="V710" s="412"/>
      <c r="W710" s="412"/>
      <c r="X710" s="412"/>
      <c r="Y710" s="412"/>
      <c r="Z710" s="412"/>
    </row>
    <row r="711" ht="13.5" customHeight="1">
      <c r="A711" s="473"/>
      <c r="B711" s="412"/>
      <c r="C711" s="412"/>
      <c r="D711" s="412"/>
      <c r="E711" s="412"/>
      <c r="F711" s="412"/>
      <c r="G711" s="412"/>
      <c r="H711" s="412"/>
      <c r="I711" s="412"/>
      <c r="J711" s="412"/>
      <c r="K711" s="412"/>
      <c r="L711" s="412"/>
      <c r="M711" s="412"/>
      <c r="N711" s="412"/>
      <c r="O711" s="412"/>
      <c r="P711" s="412"/>
      <c r="Q711" s="412"/>
      <c r="R711" s="412"/>
      <c r="S711" s="412"/>
      <c r="T711" s="412"/>
      <c r="U711" s="412"/>
      <c r="V711" s="412"/>
      <c r="W711" s="412"/>
      <c r="X711" s="412"/>
      <c r="Y711" s="412"/>
      <c r="Z711" s="412"/>
    </row>
    <row r="712" ht="13.5" customHeight="1">
      <c r="A712" s="473"/>
      <c r="B712" s="412"/>
      <c r="C712" s="412"/>
      <c r="D712" s="412"/>
      <c r="E712" s="412"/>
      <c r="F712" s="412"/>
      <c r="G712" s="412"/>
      <c r="H712" s="412"/>
      <c r="I712" s="412"/>
      <c r="J712" s="412"/>
      <c r="K712" s="412"/>
      <c r="L712" s="412"/>
      <c r="M712" s="412"/>
      <c r="N712" s="412"/>
      <c r="O712" s="412"/>
      <c r="P712" s="412"/>
      <c r="Q712" s="412"/>
      <c r="R712" s="412"/>
      <c r="S712" s="412"/>
      <c r="T712" s="412"/>
      <c r="U712" s="412"/>
      <c r="V712" s="412"/>
      <c r="W712" s="412"/>
      <c r="X712" s="412"/>
      <c r="Y712" s="412"/>
      <c r="Z712" s="412"/>
    </row>
    <row r="713" ht="13.5" customHeight="1">
      <c r="A713" s="473"/>
      <c r="B713" s="412"/>
      <c r="C713" s="412"/>
      <c r="D713" s="412"/>
      <c r="E713" s="412"/>
      <c r="F713" s="412"/>
      <c r="G713" s="412"/>
      <c r="H713" s="412"/>
      <c r="I713" s="412"/>
      <c r="J713" s="412"/>
      <c r="K713" s="412"/>
      <c r="L713" s="412"/>
      <c r="M713" s="412"/>
      <c r="N713" s="412"/>
      <c r="O713" s="412"/>
      <c r="P713" s="412"/>
      <c r="Q713" s="412"/>
      <c r="R713" s="412"/>
      <c r="S713" s="412"/>
      <c r="T713" s="412"/>
      <c r="U713" s="412"/>
      <c r="V713" s="412"/>
      <c r="W713" s="412"/>
      <c r="X713" s="412"/>
      <c r="Y713" s="412"/>
      <c r="Z713" s="412"/>
    </row>
    <row r="714" ht="13.5" customHeight="1">
      <c r="A714" s="473"/>
      <c r="B714" s="412"/>
      <c r="C714" s="412"/>
      <c r="D714" s="412"/>
      <c r="E714" s="412"/>
      <c r="F714" s="412"/>
      <c r="G714" s="412"/>
      <c r="H714" s="412"/>
      <c r="I714" s="412"/>
      <c r="J714" s="412"/>
      <c r="K714" s="412"/>
      <c r="L714" s="412"/>
      <c r="M714" s="412"/>
      <c r="N714" s="412"/>
      <c r="O714" s="412"/>
      <c r="P714" s="412"/>
      <c r="Q714" s="412"/>
      <c r="R714" s="412"/>
      <c r="S714" s="412"/>
      <c r="T714" s="412"/>
      <c r="U714" s="412"/>
      <c r="V714" s="412"/>
      <c r="W714" s="412"/>
      <c r="X714" s="412"/>
      <c r="Y714" s="412"/>
      <c r="Z714" s="412"/>
    </row>
    <row r="715" ht="13.5" customHeight="1">
      <c r="A715" s="473"/>
      <c r="B715" s="412"/>
      <c r="C715" s="412"/>
      <c r="D715" s="412"/>
      <c r="E715" s="412"/>
      <c r="F715" s="412"/>
      <c r="G715" s="412"/>
      <c r="H715" s="412"/>
      <c r="I715" s="412"/>
      <c r="J715" s="412"/>
      <c r="K715" s="412"/>
      <c r="L715" s="412"/>
      <c r="M715" s="412"/>
      <c r="N715" s="412"/>
      <c r="O715" s="412"/>
      <c r="P715" s="412"/>
      <c r="Q715" s="412"/>
      <c r="R715" s="412"/>
      <c r="S715" s="412"/>
      <c r="T715" s="412"/>
      <c r="U715" s="412"/>
      <c r="V715" s="412"/>
      <c r="W715" s="412"/>
      <c r="X715" s="412"/>
      <c r="Y715" s="412"/>
      <c r="Z715" s="412"/>
    </row>
    <row r="716" ht="13.5" customHeight="1">
      <c r="A716" s="473"/>
      <c r="B716" s="412"/>
      <c r="C716" s="412"/>
      <c r="D716" s="412"/>
      <c r="E716" s="412"/>
      <c r="F716" s="412"/>
      <c r="G716" s="412"/>
      <c r="H716" s="412"/>
      <c r="I716" s="412"/>
      <c r="J716" s="412"/>
      <c r="K716" s="412"/>
      <c r="L716" s="412"/>
      <c r="M716" s="412"/>
      <c r="N716" s="412"/>
      <c r="O716" s="412"/>
      <c r="P716" s="412"/>
      <c r="Q716" s="412"/>
      <c r="R716" s="412"/>
      <c r="S716" s="412"/>
      <c r="T716" s="412"/>
      <c r="U716" s="412"/>
      <c r="V716" s="412"/>
      <c r="W716" s="412"/>
      <c r="X716" s="412"/>
      <c r="Y716" s="412"/>
      <c r="Z716" s="412"/>
    </row>
    <row r="717" ht="13.5" customHeight="1">
      <c r="A717" s="473"/>
      <c r="B717" s="412"/>
      <c r="C717" s="412"/>
      <c r="D717" s="412"/>
      <c r="E717" s="412"/>
      <c r="F717" s="412"/>
      <c r="G717" s="412"/>
      <c r="H717" s="412"/>
      <c r="I717" s="412"/>
      <c r="J717" s="412"/>
      <c r="K717" s="412"/>
      <c r="L717" s="412"/>
      <c r="M717" s="412"/>
      <c r="N717" s="412"/>
      <c r="O717" s="412"/>
      <c r="P717" s="412"/>
      <c r="Q717" s="412"/>
      <c r="R717" s="412"/>
      <c r="S717" s="412"/>
      <c r="T717" s="412"/>
      <c r="U717" s="412"/>
      <c r="V717" s="412"/>
      <c r="W717" s="412"/>
      <c r="X717" s="412"/>
      <c r="Y717" s="412"/>
      <c r="Z717" s="412"/>
    </row>
    <row r="718" ht="13.5" customHeight="1">
      <c r="A718" s="473"/>
      <c r="B718" s="412"/>
      <c r="C718" s="412"/>
      <c r="D718" s="412"/>
      <c r="E718" s="412"/>
      <c r="F718" s="412"/>
      <c r="G718" s="412"/>
      <c r="H718" s="412"/>
      <c r="I718" s="412"/>
      <c r="J718" s="412"/>
      <c r="K718" s="412"/>
      <c r="L718" s="412"/>
      <c r="M718" s="412"/>
      <c r="N718" s="412"/>
      <c r="O718" s="412"/>
      <c r="P718" s="412"/>
      <c r="Q718" s="412"/>
      <c r="R718" s="412"/>
      <c r="S718" s="412"/>
      <c r="T718" s="412"/>
      <c r="U718" s="412"/>
      <c r="V718" s="412"/>
      <c r="W718" s="412"/>
      <c r="X718" s="412"/>
      <c r="Y718" s="412"/>
      <c r="Z718" s="412"/>
    </row>
    <row r="719" ht="13.5" customHeight="1">
      <c r="A719" s="473"/>
      <c r="B719" s="412"/>
      <c r="C719" s="412"/>
      <c r="D719" s="412"/>
      <c r="E719" s="412"/>
      <c r="F719" s="412"/>
      <c r="G719" s="412"/>
      <c r="H719" s="412"/>
      <c r="I719" s="412"/>
      <c r="J719" s="412"/>
      <c r="K719" s="412"/>
      <c r="L719" s="412"/>
      <c r="M719" s="412"/>
      <c r="N719" s="412"/>
      <c r="O719" s="412"/>
      <c r="P719" s="412"/>
      <c r="Q719" s="412"/>
      <c r="R719" s="412"/>
      <c r="S719" s="412"/>
      <c r="T719" s="412"/>
      <c r="U719" s="412"/>
      <c r="V719" s="412"/>
      <c r="W719" s="412"/>
      <c r="X719" s="412"/>
      <c r="Y719" s="412"/>
      <c r="Z719" s="412"/>
    </row>
    <row r="720" ht="13.5" customHeight="1">
      <c r="A720" s="473"/>
      <c r="B720" s="412"/>
      <c r="C720" s="412"/>
      <c r="D720" s="412"/>
      <c r="E720" s="412"/>
      <c r="F720" s="412"/>
      <c r="G720" s="412"/>
      <c r="H720" s="412"/>
      <c r="I720" s="412"/>
      <c r="J720" s="412"/>
      <c r="K720" s="412"/>
      <c r="L720" s="412"/>
      <c r="M720" s="412"/>
      <c r="N720" s="412"/>
      <c r="O720" s="412"/>
      <c r="P720" s="412"/>
      <c r="Q720" s="412"/>
      <c r="R720" s="412"/>
      <c r="S720" s="412"/>
      <c r="T720" s="412"/>
      <c r="U720" s="412"/>
      <c r="V720" s="412"/>
      <c r="W720" s="412"/>
      <c r="X720" s="412"/>
      <c r="Y720" s="412"/>
      <c r="Z720" s="412"/>
    </row>
    <row r="721" ht="13.5" customHeight="1">
      <c r="A721" s="473"/>
      <c r="B721" s="412"/>
      <c r="C721" s="412"/>
      <c r="D721" s="412"/>
      <c r="E721" s="412"/>
      <c r="F721" s="412"/>
      <c r="G721" s="412"/>
      <c r="H721" s="412"/>
      <c r="I721" s="412"/>
      <c r="J721" s="412"/>
      <c r="K721" s="412"/>
      <c r="L721" s="412"/>
      <c r="M721" s="412"/>
      <c r="N721" s="412"/>
      <c r="O721" s="412"/>
      <c r="P721" s="412"/>
      <c r="Q721" s="412"/>
      <c r="R721" s="412"/>
      <c r="S721" s="412"/>
      <c r="T721" s="412"/>
      <c r="U721" s="412"/>
      <c r="V721" s="412"/>
      <c r="W721" s="412"/>
      <c r="X721" s="412"/>
      <c r="Y721" s="412"/>
      <c r="Z721" s="412"/>
    </row>
    <row r="722" ht="13.5" customHeight="1">
      <c r="A722" s="473"/>
      <c r="B722" s="412"/>
      <c r="C722" s="412"/>
      <c r="D722" s="412"/>
      <c r="E722" s="412"/>
      <c r="F722" s="412"/>
      <c r="G722" s="412"/>
      <c r="H722" s="412"/>
      <c r="I722" s="412"/>
      <c r="J722" s="412"/>
      <c r="K722" s="412"/>
      <c r="L722" s="412"/>
      <c r="M722" s="412"/>
      <c r="N722" s="412"/>
      <c r="O722" s="412"/>
      <c r="P722" s="412"/>
      <c r="Q722" s="412"/>
      <c r="R722" s="412"/>
      <c r="S722" s="412"/>
      <c r="T722" s="412"/>
      <c r="U722" s="412"/>
      <c r="V722" s="412"/>
      <c r="W722" s="412"/>
      <c r="X722" s="412"/>
      <c r="Y722" s="412"/>
      <c r="Z722" s="412"/>
    </row>
    <row r="723" ht="13.5" customHeight="1">
      <c r="A723" s="473"/>
      <c r="B723" s="412"/>
      <c r="C723" s="412"/>
      <c r="D723" s="412"/>
      <c r="E723" s="412"/>
      <c r="F723" s="412"/>
      <c r="G723" s="412"/>
      <c r="H723" s="412"/>
      <c r="I723" s="412"/>
      <c r="J723" s="412"/>
      <c r="K723" s="412"/>
      <c r="L723" s="412"/>
      <c r="M723" s="412"/>
      <c r="N723" s="412"/>
      <c r="O723" s="412"/>
      <c r="P723" s="412"/>
      <c r="Q723" s="412"/>
      <c r="R723" s="412"/>
      <c r="S723" s="412"/>
      <c r="T723" s="412"/>
      <c r="U723" s="412"/>
      <c r="V723" s="412"/>
      <c r="W723" s="412"/>
      <c r="X723" s="412"/>
      <c r="Y723" s="412"/>
      <c r="Z723" s="412"/>
    </row>
    <row r="724" ht="13.5" customHeight="1">
      <c r="A724" s="473"/>
      <c r="B724" s="412"/>
      <c r="C724" s="412"/>
      <c r="D724" s="412"/>
      <c r="E724" s="412"/>
      <c r="F724" s="412"/>
      <c r="G724" s="412"/>
      <c r="H724" s="412"/>
      <c r="I724" s="412"/>
      <c r="J724" s="412"/>
      <c r="K724" s="412"/>
      <c r="L724" s="412"/>
      <c r="M724" s="412"/>
      <c r="N724" s="412"/>
      <c r="O724" s="412"/>
      <c r="P724" s="412"/>
      <c r="Q724" s="412"/>
      <c r="R724" s="412"/>
      <c r="S724" s="412"/>
      <c r="T724" s="412"/>
      <c r="U724" s="412"/>
      <c r="V724" s="412"/>
      <c r="W724" s="412"/>
      <c r="X724" s="412"/>
      <c r="Y724" s="412"/>
      <c r="Z724" s="412"/>
    </row>
    <row r="725" ht="13.5" customHeight="1">
      <c r="A725" s="473"/>
      <c r="B725" s="412"/>
      <c r="C725" s="412"/>
      <c r="D725" s="412"/>
      <c r="E725" s="412"/>
      <c r="F725" s="412"/>
      <c r="G725" s="412"/>
      <c r="H725" s="412"/>
      <c r="I725" s="412"/>
      <c r="J725" s="412"/>
      <c r="K725" s="412"/>
      <c r="L725" s="412"/>
      <c r="M725" s="412"/>
      <c r="N725" s="412"/>
      <c r="O725" s="412"/>
      <c r="P725" s="412"/>
      <c r="Q725" s="412"/>
      <c r="R725" s="412"/>
      <c r="S725" s="412"/>
      <c r="T725" s="412"/>
      <c r="U725" s="412"/>
      <c r="V725" s="412"/>
      <c r="W725" s="412"/>
      <c r="X725" s="412"/>
      <c r="Y725" s="412"/>
      <c r="Z725" s="412"/>
    </row>
    <row r="726" ht="13.5" customHeight="1">
      <c r="A726" s="473"/>
      <c r="B726" s="412"/>
      <c r="C726" s="412"/>
      <c r="D726" s="412"/>
      <c r="E726" s="412"/>
      <c r="F726" s="412"/>
      <c r="G726" s="412"/>
      <c r="H726" s="412"/>
      <c r="I726" s="412"/>
      <c r="J726" s="412"/>
      <c r="K726" s="412"/>
      <c r="L726" s="412"/>
      <c r="M726" s="412"/>
      <c r="N726" s="412"/>
      <c r="O726" s="412"/>
      <c r="P726" s="412"/>
      <c r="Q726" s="412"/>
      <c r="R726" s="412"/>
      <c r="S726" s="412"/>
      <c r="T726" s="412"/>
      <c r="U726" s="412"/>
      <c r="V726" s="412"/>
      <c r="W726" s="412"/>
      <c r="X726" s="412"/>
      <c r="Y726" s="412"/>
      <c r="Z726" s="412"/>
    </row>
    <row r="727" ht="13.5" customHeight="1">
      <c r="A727" s="473"/>
      <c r="B727" s="412"/>
      <c r="C727" s="412"/>
      <c r="D727" s="412"/>
      <c r="E727" s="412"/>
      <c r="F727" s="412"/>
      <c r="G727" s="412"/>
      <c r="H727" s="412"/>
      <c r="I727" s="412"/>
      <c r="J727" s="412"/>
      <c r="K727" s="412"/>
      <c r="L727" s="412"/>
      <c r="M727" s="412"/>
      <c r="N727" s="412"/>
      <c r="O727" s="412"/>
      <c r="P727" s="412"/>
      <c r="Q727" s="412"/>
      <c r="R727" s="412"/>
      <c r="S727" s="412"/>
      <c r="T727" s="412"/>
      <c r="U727" s="412"/>
      <c r="V727" s="412"/>
      <c r="W727" s="412"/>
      <c r="X727" s="412"/>
      <c r="Y727" s="412"/>
      <c r="Z727" s="412"/>
    </row>
    <row r="728" ht="13.5" customHeight="1">
      <c r="A728" s="473"/>
      <c r="B728" s="412"/>
      <c r="C728" s="412"/>
      <c r="D728" s="412"/>
      <c r="E728" s="412"/>
      <c r="F728" s="412"/>
      <c r="G728" s="412"/>
      <c r="H728" s="412"/>
      <c r="I728" s="412"/>
      <c r="J728" s="412"/>
      <c r="K728" s="412"/>
      <c r="L728" s="412"/>
      <c r="M728" s="412"/>
      <c r="N728" s="412"/>
      <c r="O728" s="412"/>
      <c r="P728" s="412"/>
      <c r="Q728" s="412"/>
      <c r="R728" s="412"/>
      <c r="S728" s="412"/>
      <c r="T728" s="412"/>
      <c r="U728" s="412"/>
      <c r="V728" s="412"/>
      <c r="W728" s="412"/>
      <c r="X728" s="412"/>
      <c r="Y728" s="412"/>
      <c r="Z728" s="412"/>
    </row>
    <row r="729" ht="13.5" customHeight="1">
      <c r="A729" s="473"/>
      <c r="B729" s="412"/>
      <c r="C729" s="412"/>
      <c r="D729" s="412"/>
      <c r="E729" s="412"/>
      <c r="F729" s="412"/>
      <c r="G729" s="412"/>
      <c r="H729" s="412"/>
      <c r="I729" s="412"/>
      <c r="J729" s="412"/>
      <c r="K729" s="412"/>
      <c r="L729" s="412"/>
      <c r="M729" s="412"/>
      <c r="N729" s="412"/>
      <c r="O729" s="412"/>
      <c r="P729" s="412"/>
      <c r="Q729" s="412"/>
      <c r="R729" s="412"/>
      <c r="S729" s="412"/>
      <c r="T729" s="412"/>
      <c r="U729" s="412"/>
      <c r="V729" s="412"/>
      <c r="W729" s="412"/>
      <c r="X729" s="412"/>
      <c r="Y729" s="412"/>
      <c r="Z729" s="412"/>
    </row>
    <row r="730" ht="13.5" customHeight="1">
      <c r="A730" s="473"/>
      <c r="B730" s="412"/>
      <c r="C730" s="412"/>
      <c r="D730" s="412"/>
      <c r="E730" s="412"/>
      <c r="F730" s="412"/>
      <c r="G730" s="412"/>
      <c r="H730" s="412"/>
      <c r="I730" s="412"/>
      <c r="J730" s="412"/>
      <c r="K730" s="412"/>
      <c r="L730" s="412"/>
      <c r="M730" s="412"/>
      <c r="N730" s="412"/>
      <c r="O730" s="412"/>
      <c r="P730" s="412"/>
      <c r="Q730" s="412"/>
      <c r="R730" s="412"/>
      <c r="S730" s="412"/>
      <c r="T730" s="412"/>
      <c r="U730" s="412"/>
      <c r="V730" s="412"/>
      <c r="W730" s="412"/>
      <c r="X730" s="412"/>
      <c r="Y730" s="412"/>
      <c r="Z730" s="412"/>
    </row>
    <row r="731" ht="13.5" customHeight="1">
      <c r="A731" s="473"/>
      <c r="B731" s="412"/>
      <c r="C731" s="412"/>
      <c r="D731" s="412"/>
      <c r="E731" s="412"/>
      <c r="F731" s="412"/>
      <c r="G731" s="412"/>
      <c r="H731" s="412"/>
      <c r="I731" s="412"/>
      <c r="J731" s="412"/>
      <c r="K731" s="412"/>
      <c r="L731" s="412"/>
      <c r="M731" s="412"/>
      <c r="N731" s="412"/>
      <c r="O731" s="412"/>
      <c r="P731" s="412"/>
      <c r="Q731" s="412"/>
      <c r="R731" s="412"/>
      <c r="S731" s="412"/>
      <c r="T731" s="412"/>
      <c r="U731" s="412"/>
      <c r="V731" s="412"/>
      <c r="W731" s="412"/>
      <c r="X731" s="412"/>
      <c r="Y731" s="412"/>
      <c r="Z731" s="412"/>
    </row>
    <row r="732" ht="13.5" customHeight="1">
      <c r="A732" s="473"/>
      <c r="B732" s="412"/>
      <c r="C732" s="412"/>
      <c r="D732" s="412"/>
      <c r="E732" s="412"/>
      <c r="F732" s="412"/>
      <c r="G732" s="412"/>
      <c r="H732" s="412"/>
      <c r="I732" s="412"/>
      <c r="J732" s="412"/>
      <c r="K732" s="412"/>
      <c r="L732" s="412"/>
      <c r="M732" s="412"/>
      <c r="N732" s="412"/>
      <c r="O732" s="412"/>
      <c r="P732" s="412"/>
      <c r="Q732" s="412"/>
      <c r="R732" s="412"/>
      <c r="S732" s="412"/>
      <c r="T732" s="412"/>
      <c r="U732" s="412"/>
      <c r="V732" s="412"/>
      <c r="W732" s="412"/>
      <c r="X732" s="412"/>
      <c r="Y732" s="412"/>
      <c r="Z732" s="412"/>
    </row>
    <row r="733" ht="13.5" customHeight="1">
      <c r="A733" s="473"/>
      <c r="B733" s="412"/>
      <c r="C733" s="412"/>
      <c r="D733" s="412"/>
      <c r="E733" s="412"/>
      <c r="F733" s="412"/>
      <c r="G733" s="412"/>
      <c r="H733" s="412"/>
      <c r="I733" s="412"/>
      <c r="J733" s="412"/>
      <c r="K733" s="412"/>
      <c r="L733" s="412"/>
      <c r="M733" s="412"/>
      <c r="N733" s="412"/>
      <c r="O733" s="412"/>
      <c r="P733" s="412"/>
      <c r="Q733" s="412"/>
      <c r="R733" s="412"/>
      <c r="S733" s="412"/>
      <c r="T733" s="412"/>
      <c r="U733" s="412"/>
      <c r="V733" s="412"/>
      <c r="W733" s="412"/>
      <c r="X733" s="412"/>
      <c r="Y733" s="412"/>
      <c r="Z733" s="412"/>
    </row>
    <row r="734" ht="13.5" customHeight="1">
      <c r="A734" s="473"/>
      <c r="B734" s="412"/>
      <c r="C734" s="412"/>
      <c r="D734" s="412"/>
      <c r="E734" s="412"/>
      <c r="F734" s="412"/>
      <c r="G734" s="412"/>
      <c r="H734" s="412"/>
      <c r="I734" s="412"/>
      <c r="J734" s="412"/>
      <c r="K734" s="412"/>
      <c r="L734" s="412"/>
      <c r="M734" s="412"/>
      <c r="N734" s="412"/>
      <c r="O734" s="412"/>
      <c r="P734" s="412"/>
      <c r="Q734" s="412"/>
      <c r="R734" s="412"/>
      <c r="S734" s="412"/>
      <c r="T734" s="412"/>
      <c r="U734" s="412"/>
      <c r="V734" s="412"/>
      <c r="W734" s="412"/>
      <c r="X734" s="412"/>
      <c r="Y734" s="412"/>
      <c r="Z734" s="412"/>
    </row>
    <row r="735" ht="13.5" customHeight="1">
      <c r="A735" s="473"/>
      <c r="B735" s="412"/>
      <c r="C735" s="412"/>
      <c r="D735" s="412"/>
      <c r="E735" s="412"/>
      <c r="F735" s="412"/>
      <c r="G735" s="412"/>
      <c r="H735" s="412"/>
      <c r="I735" s="412"/>
      <c r="J735" s="412"/>
      <c r="K735" s="412"/>
      <c r="L735" s="412"/>
      <c r="M735" s="412"/>
      <c r="N735" s="412"/>
      <c r="O735" s="412"/>
      <c r="P735" s="412"/>
      <c r="Q735" s="412"/>
      <c r="R735" s="412"/>
      <c r="S735" s="412"/>
      <c r="T735" s="412"/>
      <c r="U735" s="412"/>
      <c r="V735" s="412"/>
      <c r="W735" s="412"/>
      <c r="X735" s="412"/>
      <c r="Y735" s="412"/>
      <c r="Z735" s="412"/>
    </row>
    <row r="736" ht="13.5" customHeight="1">
      <c r="A736" s="473"/>
      <c r="B736" s="412"/>
      <c r="C736" s="412"/>
      <c r="D736" s="412"/>
      <c r="E736" s="412"/>
      <c r="F736" s="412"/>
      <c r="G736" s="412"/>
      <c r="H736" s="412"/>
      <c r="I736" s="412"/>
      <c r="J736" s="412"/>
      <c r="K736" s="412"/>
      <c r="L736" s="412"/>
      <c r="M736" s="412"/>
      <c r="N736" s="412"/>
      <c r="O736" s="412"/>
      <c r="P736" s="412"/>
      <c r="Q736" s="412"/>
      <c r="R736" s="412"/>
      <c r="S736" s="412"/>
      <c r="T736" s="412"/>
      <c r="U736" s="412"/>
      <c r="V736" s="412"/>
      <c r="W736" s="412"/>
      <c r="X736" s="412"/>
      <c r="Y736" s="412"/>
      <c r="Z736" s="412"/>
    </row>
    <row r="737" ht="13.5" customHeight="1">
      <c r="A737" s="473"/>
      <c r="B737" s="412"/>
      <c r="C737" s="412"/>
      <c r="D737" s="412"/>
      <c r="E737" s="412"/>
      <c r="F737" s="412"/>
      <c r="G737" s="412"/>
      <c r="H737" s="412"/>
      <c r="I737" s="412"/>
      <c r="J737" s="412"/>
      <c r="K737" s="412"/>
      <c r="L737" s="412"/>
      <c r="M737" s="412"/>
      <c r="N737" s="412"/>
      <c r="O737" s="412"/>
      <c r="P737" s="412"/>
      <c r="Q737" s="412"/>
      <c r="R737" s="412"/>
      <c r="S737" s="412"/>
      <c r="T737" s="412"/>
      <c r="U737" s="412"/>
      <c r="V737" s="412"/>
      <c r="W737" s="412"/>
      <c r="X737" s="412"/>
      <c r="Y737" s="412"/>
      <c r="Z737" s="412"/>
    </row>
    <row r="738" ht="13.5" customHeight="1">
      <c r="A738" s="473"/>
      <c r="B738" s="412"/>
      <c r="C738" s="412"/>
      <c r="D738" s="412"/>
      <c r="E738" s="412"/>
      <c r="F738" s="412"/>
      <c r="G738" s="412"/>
      <c r="H738" s="412"/>
      <c r="I738" s="412"/>
      <c r="J738" s="412"/>
      <c r="K738" s="412"/>
      <c r="L738" s="412"/>
      <c r="M738" s="412"/>
      <c r="N738" s="412"/>
      <c r="O738" s="412"/>
      <c r="P738" s="412"/>
      <c r="Q738" s="412"/>
      <c r="R738" s="412"/>
      <c r="S738" s="412"/>
      <c r="T738" s="412"/>
      <c r="U738" s="412"/>
      <c r="V738" s="412"/>
      <c r="W738" s="412"/>
      <c r="X738" s="412"/>
      <c r="Y738" s="412"/>
      <c r="Z738" s="412"/>
    </row>
    <row r="739" ht="13.5" customHeight="1">
      <c r="A739" s="473"/>
      <c r="B739" s="412"/>
      <c r="C739" s="412"/>
      <c r="D739" s="412"/>
      <c r="E739" s="412"/>
      <c r="F739" s="412"/>
      <c r="G739" s="412"/>
      <c r="H739" s="412"/>
      <c r="I739" s="412"/>
      <c r="J739" s="412"/>
      <c r="K739" s="412"/>
      <c r="L739" s="412"/>
      <c r="M739" s="412"/>
      <c r="N739" s="412"/>
      <c r="O739" s="412"/>
      <c r="P739" s="412"/>
      <c r="Q739" s="412"/>
      <c r="R739" s="412"/>
      <c r="S739" s="412"/>
      <c r="T739" s="412"/>
      <c r="U739" s="412"/>
      <c r="V739" s="412"/>
      <c r="W739" s="412"/>
      <c r="X739" s="412"/>
      <c r="Y739" s="412"/>
      <c r="Z739" s="412"/>
    </row>
    <row r="740" ht="13.5" customHeight="1">
      <c r="A740" s="473"/>
      <c r="B740" s="412"/>
      <c r="C740" s="412"/>
      <c r="D740" s="412"/>
      <c r="E740" s="412"/>
      <c r="F740" s="412"/>
      <c r="G740" s="412"/>
      <c r="H740" s="412"/>
      <c r="I740" s="412"/>
      <c r="J740" s="412"/>
      <c r="K740" s="412"/>
      <c r="L740" s="412"/>
      <c r="M740" s="412"/>
      <c r="N740" s="412"/>
      <c r="O740" s="412"/>
      <c r="P740" s="412"/>
      <c r="Q740" s="412"/>
      <c r="R740" s="412"/>
      <c r="S740" s="412"/>
      <c r="T740" s="412"/>
      <c r="U740" s="412"/>
      <c r="V740" s="412"/>
      <c r="W740" s="412"/>
      <c r="X740" s="412"/>
      <c r="Y740" s="412"/>
      <c r="Z740" s="412"/>
    </row>
    <row r="741" ht="13.5" customHeight="1">
      <c r="A741" s="473"/>
      <c r="B741" s="412"/>
      <c r="C741" s="412"/>
      <c r="D741" s="412"/>
      <c r="E741" s="412"/>
      <c r="F741" s="412"/>
      <c r="G741" s="412"/>
      <c r="H741" s="412"/>
      <c r="I741" s="412"/>
      <c r="J741" s="412"/>
      <c r="K741" s="412"/>
      <c r="L741" s="412"/>
      <c r="M741" s="412"/>
      <c r="N741" s="412"/>
      <c r="O741" s="412"/>
      <c r="P741" s="412"/>
      <c r="Q741" s="412"/>
      <c r="R741" s="412"/>
      <c r="S741" s="412"/>
      <c r="T741" s="412"/>
      <c r="U741" s="412"/>
      <c r="V741" s="412"/>
      <c r="W741" s="412"/>
      <c r="X741" s="412"/>
      <c r="Y741" s="412"/>
      <c r="Z741" s="412"/>
    </row>
    <row r="742" ht="13.5" customHeight="1">
      <c r="A742" s="473"/>
      <c r="B742" s="412"/>
      <c r="C742" s="412"/>
      <c r="D742" s="412"/>
      <c r="E742" s="412"/>
      <c r="F742" s="412"/>
      <c r="G742" s="412"/>
      <c r="H742" s="412"/>
      <c r="I742" s="412"/>
      <c r="J742" s="412"/>
      <c r="K742" s="412"/>
      <c r="L742" s="412"/>
      <c r="M742" s="412"/>
      <c r="N742" s="412"/>
      <c r="O742" s="412"/>
      <c r="P742" s="412"/>
      <c r="Q742" s="412"/>
      <c r="R742" s="412"/>
      <c r="S742" s="412"/>
      <c r="T742" s="412"/>
      <c r="U742" s="412"/>
      <c r="V742" s="412"/>
      <c r="W742" s="412"/>
      <c r="X742" s="412"/>
      <c r="Y742" s="412"/>
      <c r="Z742" s="412"/>
    </row>
    <row r="743" ht="13.5" customHeight="1">
      <c r="A743" s="473"/>
      <c r="B743" s="412"/>
      <c r="C743" s="412"/>
      <c r="D743" s="412"/>
      <c r="E743" s="412"/>
      <c r="F743" s="412"/>
      <c r="G743" s="412"/>
      <c r="H743" s="412"/>
      <c r="I743" s="412"/>
      <c r="J743" s="412"/>
      <c r="K743" s="412"/>
      <c r="L743" s="412"/>
      <c r="M743" s="412"/>
      <c r="N743" s="412"/>
      <c r="O743" s="412"/>
      <c r="P743" s="412"/>
      <c r="Q743" s="412"/>
      <c r="R743" s="412"/>
      <c r="S743" s="412"/>
      <c r="T743" s="412"/>
      <c r="U743" s="412"/>
      <c r="V743" s="412"/>
      <c r="W743" s="412"/>
      <c r="X743" s="412"/>
      <c r="Y743" s="412"/>
      <c r="Z743" s="412"/>
    </row>
    <row r="744" ht="13.5" customHeight="1">
      <c r="A744" s="473"/>
      <c r="B744" s="412"/>
      <c r="C744" s="412"/>
      <c r="D744" s="412"/>
      <c r="E744" s="412"/>
      <c r="F744" s="412"/>
      <c r="G744" s="412"/>
      <c r="H744" s="412"/>
      <c r="I744" s="412"/>
      <c r="J744" s="412"/>
      <c r="K744" s="412"/>
      <c r="L744" s="412"/>
      <c r="M744" s="412"/>
      <c r="N744" s="412"/>
      <c r="O744" s="412"/>
      <c r="P744" s="412"/>
      <c r="Q744" s="412"/>
      <c r="R744" s="412"/>
      <c r="S744" s="412"/>
      <c r="T744" s="412"/>
      <c r="U744" s="412"/>
      <c r="V744" s="412"/>
      <c r="W744" s="412"/>
      <c r="X744" s="412"/>
      <c r="Y744" s="412"/>
      <c r="Z744" s="412"/>
    </row>
    <row r="745" ht="13.5" customHeight="1">
      <c r="A745" s="473"/>
      <c r="B745" s="412"/>
      <c r="C745" s="412"/>
      <c r="D745" s="412"/>
      <c r="E745" s="412"/>
      <c r="F745" s="412"/>
      <c r="G745" s="412"/>
      <c r="H745" s="412"/>
      <c r="I745" s="412"/>
      <c r="J745" s="412"/>
      <c r="K745" s="412"/>
      <c r="L745" s="412"/>
      <c r="M745" s="412"/>
      <c r="N745" s="412"/>
      <c r="O745" s="412"/>
      <c r="P745" s="412"/>
      <c r="Q745" s="412"/>
      <c r="R745" s="412"/>
      <c r="S745" s="412"/>
      <c r="T745" s="412"/>
      <c r="U745" s="412"/>
      <c r="V745" s="412"/>
      <c r="W745" s="412"/>
      <c r="X745" s="412"/>
      <c r="Y745" s="412"/>
      <c r="Z745" s="412"/>
    </row>
    <row r="746" ht="13.5" customHeight="1">
      <c r="A746" s="473"/>
      <c r="B746" s="412"/>
      <c r="C746" s="412"/>
      <c r="D746" s="412"/>
      <c r="E746" s="412"/>
      <c r="F746" s="412"/>
      <c r="G746" s="412"/>
      <c r="H746" s="412"/>
      <c r="I746" s="412"/>
      <c r="J746" s="412"/>
      <c r="K746" s="412"/>
      <c r="L746" s="412"/>
      <c r="M746" s="412"/>
      <c r="N746" s="412"/>
      <c r="O746" s="412"/>
      <c r="P746" s="412"/>
      <c r="Q746" s="412"/>
      <c r="R746" s="412"/>
      <c r="S746" s="412"/>
      <c r="T746" s="412"/>
      <c r="U746" s="412"/>
      <c r="V746" s="412"/>
      <c r="W746" s="412"/>
      <c r="X746" s="412"/>
      <c r="Y746" s="412"/>
      <c r="Z746" s="412"/>
    </row>
    <row r="747" ht="13.5" customHeight="1">
      <c r="A747" s="473"/>
      <c r="B747" s="412"/>
      <c r="C747" s="412"/>
      <c r="D747" s="412"/>
      <c r="E747" s="412"/>
      <c r="F747" s="412"/>
      <c r="G747" s="412"/>
      <c r="H747" s="412"/>
      <c r="I747" s="412"/>
      <c r="J747" s="412"/>
      <c r="K747" s="412"/>
      <c r="L747" s="412"/>
      <c r="M747" s="412"/>
      <c r="N747" s="412"/>
      <c r="O747" s="412"/>
      <c r="P747" s="412"/>
      <c r="Q747" s="412"/>
      <c r="R747" s="412"/>
      <c r="S747" s="412"/>
      <c r="T747" s="412"/>
      <c r="U747" s="412"/>
      <c r="V747" s="412"/>
      <c r="W747" s="412"/>
      <c r="X747" s="412"/>
      <c r="Y747" s="412"/>
      <c r="Z747" s="412"/>
    </row>
    <row r="748" ht="13.5" customHeight="1">
      <c r="A748" s="473"/>
      <c r="B748" s="412"/>
      <c r="C748" s="412"/>
      <c r="D748" s="412"/>
      <c r="E748" s="412"/>
      <c r="F748" s="412"/>
      <c r="G748" s="412"/>
      <c r="H748" s="412"/>
      <c r="I748" s="412"/>
      <c r="J748" s="412"/>
      <c r="K748" s="412"/>
      <c r="L748" s="412"/>
      <c r="M748" s="412"/>
      <c r="N748" s="412"/>
      <c r="O748" s="412"/>
      <c r="P748" s="412"/>
      <c r="Q748" s="412"/>
      <c r="R748" s="412"/>
      <c r="S748" s="412"/>
      <c r="T748" s="412"/>
      <c r="U748" s="412"/>
      <c r="V748" s="412"/>
      <c r="W748" s="412"/>
      <c r="X748" s="412"/>
      <c r="Y748" s="412"/>
      <c r="Z748" s="412"/>
    </row>
    <row r="749" ht="13.5" customHeight="1">
      <c r="A749" s="473"/>
      <c r="B749" s="412"/>
      <c r="C749" s="412"/>
      <c r="D749" s="412"/>
      <c r="E749" s="412"/>
      <c r="F749" s="412"/>
      <c r="G749" s="412"/>
      <c r="H749" s="412"/>
      <c r="I749" s="412"/>
      <c r="J749" s="412"/>
      <c r="K749" s="412"/>
      <c r="L749" s="412"/>
      <c r="M749" s="412"/>
      <c r="N749" s="412"/>
      <c r="O749" s="412"/>
      <c r="P749" s="412"/>
      <c r="Q749" s="412"/>
      <c r="R749" s="412"/>
      <c r="S749" s="412"/>
      <c r="T749" s="412"/>
      <c r="U749" s="412"/>
      <c r="V749" s="412"/>
      <c r="W749" s="412"/>
      <c r="X749" s="412"/>
      <c r="Y749" s="412"/>
      <c r="Z749" s="412"/>
    </row>
    <row r="750" ht="13.5" customHeight="1">
      <c r="A750" s="473"/>
      <c r="B750" s="412"/>
      <c r="C750" s="412"/>
      <c r="D750" s="412"/>
      <c r="E750" s="412"/>
      <c r="F750" s="412"/>
      <c r="G750" s="412"/>
      <c r="H750" s="412"/>
      <c r="I750" s="412"/>
      <c r="J750" s="412"/>
      <c r="K750" s="412"/>
      <c r="L750" s="412"/>
      <c r="M750" s="412"/>
      <c r="N750" s="412"/>
      <c r="O750" s="412"/>
      <c r="P750" s="412"/>
      <c r="Q750" s="412"/>
      <c r="R750" s="412"/>
      <c r="S750" s="412"/>
      <c r="T750" s="412"/>
      <c r="U750" s="412"/>
      <c r="V750" s="412"/>
      <c r="W750" s="412"/>
      <c r="X750" s="412"/>
      <c r="Y750" s="412"/>
      <c r="Z750" s="412"/>
    </row>
    <row r="751" ht="13.5" customHeight="1">
      <c r="A751" s="473"/>
      <c r="B751" s="412"/>
      <c r="C751" s="412"/>
      <c r="D751" s="412"/>
      <c r="E751" s="412"/>
      <c r="F751" s="412"/>
      <c r="G751" s="412"/>
      <c r="H751" s="412"/>
      <c r="I751" s="412"/>
      <c r="J751" s="412"/>
      <c r="K751" s="412"/>
      <c r="L751" s="412"/>
      <c r="M751" s="412"/>
      <c r="N751" s="412"/>
      <c r="O751" s="412"/>
      <c r="P751" s="412"/>
      <c r="Q751" s="412"/>
      <c r="R751" s="412"/>
      <c r="S751" s="412"/>
      <c r="T751" s="412"/>
      <c r="U751" s="412"/>
      <c r="V751" s="412"/>
      <c r="W751" s="412"/>
      <c r="X751" s="412"/>
      <c r="Y751" s="412"/>
      <c r="Z751" s="412"/>
    </row>
    <row r="752" ht="13.5" customHeight="1">
      <c r="A752" s="473"/>
      <c r="B752" s="412"/>
      <c r="C752" s="412"/>
      <c r="D752" s="412"/>
      <c r="E752" s="412"/>
      <c r="F752" s="412"/>
      <c r="G752" s="412"/>
      <c r="H752" s="412"/>
      <c r="I752" s="412"/>
      <c r="J752" s="412"/>
      <c r="K752" s="412"/>
      <c r="L752" s="412"/>
      <c r="M752" s="412"/>
      <c r="N752" s="412"/>
      <c r="O752" s="412"/>
      <c r="P752" s="412"/>
      <c r="Q752" s="412"/>
      <c r="R752" s="412"/>
      <c r="S752" s="412"/>
      <c r="T752" s="412"/>
      <c r="U752" s="412"/>
      <c r="V752" s="412"/>
      <c r="W752" s="412"/>
      <c r="X752" s="412"/>
      <c r="Y752" s="412"/>
      <c r="Z752" s="412"/>
    </row>
    <row r="753" ht="13.5" customHeight="1">
      <c r="A753" s="473"/>
      <c r="B753" s="412"/>
      <c r="C753" s="412"/>
      <c r="D753" s="412"/>
      <c r="E753" s="412"/>
      <c r="F753" s="412"/>
      <c r="G753" s="412"/>
      <c r="H753" s="412"/>
      <c r="I753" s="412"/>
      <c r="J753" s="412"/>
      <c r="K753" s="412"/>
      <c r="L753" s="412"/>
      <c r="M753" s="412"/>
      <c r="N753" s="412"/>
      <c r="O753" s="412"/>
      <c r="P753" s="412"/>
      <c r="Q753" s="412"/>
      <c r="R753" s="412"/>
      <c r="S753" s="412"/>
      <c r="T753" s="412"/>
      <c r="U753" s="412"/>
      <c r="V753" s="412"/>
      <c r="W753" s="412"/>
      <c r="X753" s="412"/>
      <c r="Y753" s="412"/>
      <c r="Z753" s="412"/>
    </row>
    <row r="754" ht="13.5" customHeight="1">
      <c r="A754" s="473"/>
      <c r="B754" s="412"/>
      <c r="C754" s="412"/>
      <c r="D754" s="412"/>
      <c r="E754" s="412"/>
      <c r="F754" s="412"/>
      <c r="G754" s="412"/>
      <c r="H754" s="412"/>
      <c r="I754" s="412"/>
      <c r="J754" s="412"/>
      <c r="K754" s="412"/>
      <c r="L754" s="412"/>
      <c r="M754" s="412"/>
      <c r="N754" s="412"/>
      <c r="O754" s="412"/>
      <c r="P754" s="412"/>
      <c r="Q754" s="412"/>
      <c r="R754" s="412"/>
      <c r="S754" s="412"/>
      <c r="T754" s="412"/>
      <c r="U754" s="412"/>
      <c r="V754" s="412"/>
      <c r="W754" s="412"/>
      <c r="X754" s="412"/>
      <c r="Y754" s="412"/>
      <c r="Z754" s="412"/>
    </row>
    <row r="755" ht="13.5" customHeight="1">
      <c r="A755" s="473"/>
      <c r="B755" s="412"/>
      <c r="C755" s="412"/>
      <c r="D755" s="412"/>
      <c r="E755" s="412"/>
      <c r="F755" s="412"/>
      <c r="G755" s="412"/>
      <c r="H755" s="412"/>
      <c r="I755" s="412"/>
      <c r="J755" s="412"/>
      <c r="K755" s="412"/>
      <c r="L755" s="412"/>
      <c r="M755" s="412"/>
      <c r="N755" s="412"/>
      <c r="O755" s="412"/>
      <c r="P755" s="412"/>
      <c r="Q755" s="412"/>
      <c r="R755" s="412"/>
      <c r="S755" s="412"/>
      <c r="T755" s="412"/>
      <c r="U755" s="412"/>
      <c r="V755" s="412"/>
      <c r="W755" s="412"/>
      <c r="X755" s="412"/>
      <c r="Y755" s="412"/>
      <c r="Z755" s="412"/>
    </row>
    <row r="756" ht="13.5" customHeight="1">
      <c r="A756" s="473"/>
      <c r="B756" s="412"/>
      <c r="C756" s="412"/>
      <c r="D756" s="412"/>
      <c r="E756" s="412"/>
      <c r="F756" s="412"/>
      <c r="G756" s="412"/>
      <c r="H756" s="412"/>
      <c r="I756" s="412"/>
      <c r="J756" s="412"/>
      <c r="K756" s="412"/>
      <c r="L756" s="412"/>
      <c r="M756" s="412"/>
      <c r="N756" s="412"/>
      <c r="O756" s="412"/>
      <c r="P756" s="412"/>
      <c r="Q756" s="412"/>
      <c r="R756" s="412"/>
      <c r="S756" s="412"/>
      <c r="T756" s="412"/>
      <c r="U756" s="412"/>
      <c r="V756" s="412"/>
      <c r="W756" s="412"/>
      <c r="X756" s="412"/>
      <c r="Y756" s="412"/>
      <c r="Z756" s="412"/>
    </row>
    <row r="757" ht="13.5" customHeight="1">
      <c r="A757" s="473"/>
      <c r="B757" s="412"/>
      <c r="C757" s="412"/>
      <c r="D757" s="412"/>
      <c r="E757" s="412"/>
      <c r="F757" s="412"/>
      <c r="G757" s="412"/>
      <c r="H757" s="412"/>
      <c r="I757" s="412"/>
      <c r="J757" s="412"/>
      <c r="K757" s="412"/>
      <c r="L757" s="412"/>
      <c r="M757" s="412"/>
      <c r="N757" s="412"/>
      <c r="O757" s="412"/>
      <c r="P757" s="412"/>
      <c r="Q757" s="412"/>
      <c r="R757" s="412"/>
      <c r="S757" s="412"/>
      <c r="T757" s="412"/>
      <c r="U757" s="412"/>
      <c r="V757" s="412"/>
      <c r="W757" s="412"/>
      <c r="X757" s="412"/>
      <c r="Y757" s="412"/>
      <c r="Z757" s="412"/>
    </row>
    <row r="758" ht="13.5" customHeight="1">
      <c r="A758" s="473"/>
      <c r="B758" s="412"/>
      <c r="C758" s="412"/>
      <c r="D758" s="412"/>
      <c r="E758" s="412"/>
      <c r="F758" s="412"/>
      <c r="G758" s="412"/>
      <c r="H758" s="412"/>
      <c r="I758" s="412"/>
      <c r="J758" s="412"/>
      <c r="K758" s="412"/>
      <c r="L758" s="412"/>
      <c r="M758" s="412"/>
      <c r="N758" s="412"/>
      <c r="O758" s="412"/>
      <c r="P758" s="412"/>
      <c r="Q758" s="412"/>
      <c r="R758" s="412"/>
      <c r="S758" s="412"/>
      <c r="T758" s="412"/>
      <c r="U758" s="412"/>
      <c r="V758" s="412"/>
      <c r="W758" s="412"/>
      <c r="X758" s="412"/>
      <c r="Y758" s="412"/>
      <c r="Z758" s="412"/>
    </row>
    <row r="759" ht="13.5" customHeight="1">
      <c r="A759" s="473"/>
      <c r="B759" s="412"/>
      <c r="C759" s="412"/>
      <c r="D759" s="412"/>
      <c r="E759" s="412"/>
      <c r="F759" s="412"/>
      <c r="G759" s="412"/>
      <c r="H759" s="412"/>
      <c r="I759" s="412"/>
      <c r="J759" s="412"/>
      <c r="K759" s="412"/>
      <c r="L759" s="412"/>
      <c r="M759" s="412"/>
      <c r="N759" s="412"/>
      <c r="O759" s="412"/>
      <c r="P759" s="412"/>
      <c r="Q759" s="412"/>
      <c r="R759" s="412"/>
      <c r="S759" s="412"/>
      <c r="T759" s="412"/>
      <c r="U759" s="412"/>
      <c r="V759" s="412"/>
      <c r="W759" s="412"/>
      <c r="X759" s="412"/>
      <c r="Y759" s="412"/>
      <c r="Z759" s="412"/>
    </row>
    <row r="760" ht="13.5" customHeight="1">
      <c r="A760" s="473"/>
      <c r="B760" s="412"/>
      <c r="C760" s="412"/>
      <c r="D760" s="412"/>
      <c r="E760" s="412"/>
      <c r="F760" s="412"/>
      <c r="G760" s="412"/>
      <c r="H760" s="412"/>
      <c r="I760" s="412"/>
      <c r="J760" s="412"/>
      <c r="K760" s="412"/>
      <c r="L760" s="412"/>
      <c r="M760" s="412"/>
      <c r="N760" s="412"/>
      <c r="O760" s="412"/>
      <c r="P760" s="412"/>
      <c r="Q760" s="412"/>
      <c r="R760" s="412"/>
      <c r="S760" s="412"/>
      <c r="T760" s="412"/>
      <c r="U760" s="412"/>
      <c r="V760" s="412"/>
      <c r="W760" s="412"/>
      <c r="X760" s="412"/>
      <c r="Y760" s="412"/>
      <c r="Z760" s="412"/>
    </row>
    <row r="761" ht="13.5" customHeight="1">
      <c r="A761" s="473"/>
      <c r="B761" s="412"/>
      <c r="C761" s="412"/>
      <c r="D761" s="412"/>
      <c r="E761" s="412"/>
      <c r="F761" s="412"/>
      <c r="G761" s="412"/>
      <c r="H761" s="412"/>
      <c r="I761" s="412"/>
      <c r="J761" s="412"/>
      <c r="K761" s="412"/>
      <c r="L761" s="412"/>
      <c r="M761" s="412"/>
      <c r="N761" s="412"/>
      <c r="O761" s="412"/>
      <c r="P761" s="412"/>
      <c r="Q761" s="412"/>
      <c r="R761" s="412"/>
      <c r="S761" s="412"/>
      <c r="T761" s="412"/>
      <c r="U761" s="412"/>
      <c r="V761" s="412"/>
      <c r="W761" s="412"/>
      <c r="X761" s="412"/>
      <c r="Y761" s="412"/>
      <c r="Z761" s="412"/>
    </row>
    <row r="762" ht="13.5" customHeight="1">
      <c r="A762" s="473"/>
      <c r="B762" s="412"/>
      <c r="C762" s="412"/>
      <c r="D762" s="412"/>
      <c r="E762" s="412"/>
      <c r="F762" s="412"/>
      <c r="G762" s="412"/>
      <c r="H762" s="412"/>
      <c r="I762" s="412"/>
      <c r="J762" s="412"/>
      <c r="K762" s="412"/>
      <c r="L762" s="412"/>
      <c r="M762" s="412"/>
      <c r="N762" s="412"/>
      <c r="O762" s="412"/>
      <c r="P762" s="412"/>
      <c r="Q762" s="412"/>
      <c r="R762" s="412"/>
      <c r="S762" s="412"/>
      <c r="T762" s="412"/>
      <c r="U762" s="412"/>
      <c r="V762" s="412"/>
      <c r="W762" s="412"/>
      <c r="X762" s="412"/>
      <c r="Y762" s="412"/>
      <c r="Z762" s="412"/>
    </row>
    <row r="763" ht="13.5" customHeight="1">
      <c r="A763" s="473"/>
      <c r="B763" s="412"/>
      <c r="C763" s="412"/>
      <c r="D763" s="412"/>
      <c r="E763" s="412"/>
      <c r="F763" s="412"/>
      <c r="G763" s="412"/>
      <c r="H763" s="412"/>
      <c r="I763" s="412"/>
      <c r="J763" s="412"/>
      <c r="K763" s="412"/>
      <c r="L763" s="412"/>
      <c r="M763" s="412"/>
      <c r="N763" s="412"/>
      <c r="O763" s="412"/>
      <c r="P763" s="412"/>
      <c r="Q763" s="412"/>
      <c r="R763" s="412"/>
      <c r="S763" s="412"/>
      <c r="T763" s="412"/>
      <c r="U763" s="412"/>
      <c r="V763" s="412"/>
      <c r="W763" s="412"/>
      <c r="X763" s="412"/>
      <c r="Y763" s="412"/>
      <c r="Z763" s="412"/>
    </row>
    <row r="764" ht="13.5" customHeight="1">
      <c r="A764" s="473"/>
      <c r="B764" s="412"/>
      <c r="C764" s="412"/>
      <c r="D764" s="412"/>
      <c r="E764" s="412"/>
      <c r="F764" s="412"/>
      <c r="G764" s="412"/>
      <c r="H764" s="412"/>
      <c r="I764" s="412"/>
      <c r="J764" s="412"/>
      <c r="K764" s="412"/>
      <c r="L764" s="412"/>
      <c r="M764" s="412"/>
      <c r="N764" s="412"/>
      <c r="O764" s="412"/>
      <c r="P764" s="412"/>
      <c r="Q764" s="412"/>
      <c r="R764" s="412"/>
      <c r="S764" s="412"/>
      <c r="T764" s="412"/>
      <c r="U764" s="412"/>
      <c r="V764" s="412"/>
      <c r="W764" s="412"/>
      <c r="X764" s="412"/>
      <c r="Y764" s="412"/>
      <c r="Z764" s="412"/>
    </row>
    <row r="765" ht="13.5" customHeight="1">
      <c r="A765" s="473"/>
      <c r="B765" s="412"/>
      <c r="C765" s="412"/>
      <c r="D765" s="412"/>
      <c r="E765" s="412"/>
      <c r="F765" s="412"/>
      <c r="G765" s="412"/>
      <c r="H765" s="412"/>
      <c r="I765" s="412"/>
      <c r="J765" s="412"/>
      <c r="K765" s="412"/>
      <c r="L765" s="412"/>
      <c r="M765" s="412"/>
      <c r="N765" s="412"/>
      <c r="O765" s="412"/>
      <c r="P765" s="412"/>
      <c r="Q765" s="412"/>
      <c r="R765" s="412"/>
      <c r="S765" s="412"/>
      <c r="T765" s="412"/>
      <c r="U765" s="412"/>
      <c r="V765" s="412"/>
      <c r="W765" s="412"/>
      <c r="X765" s="412"/>
      <c r="Y765" s="412"/>
      <c r="Z765" s="412"/>
    </row>
    <row r="766" ht="13.5" customHeight="1">
      <c r="A766" s="473"/>
      <c r="B766" s="412"/>
      <c r="C766" s="412"/>
      <c r="D766" s="412"/>
      <c r="E766" s="412"/>
      <c r="F766" s="412"/>
      <c r="G766" s="412"/>
      <c r="H766" s="412"/>
      <c r="I766" s="412"/>
      <c r="J766" s="412"/>
      <c r="K766" s="412"/>
      <c r="L766" s="412"/>
      <c r="M766" s="412"/>
      <c r="N766" s="412"/>
      <c r="O766" s="412"/>
      <c r="P766" s="412"/>
      <c r="Q766" s="412"/>
      <c r="R766" s="412"/>
      <c r="S766" s="412"/>
      <c r="T766" s="412"/>
      <c r="U766" s="412"/>
      <c r="V766" s="412"/>
      <c r="W766" s="412"/>
      <c r="X766" s="412"/>
      <c r="Y766" s="412"/>
      <c r="Z766" s="412"/>
    </row>
    <row r="767" ht="13.5" customHeight="1">
      <c r="A767" s="473"/>
      <c r="B767" s="412"/>
      <c r="C767" s="412"/>
      <c r="D767" s="412"/>
      <c r="E767" s="412"/>
      <c r="F767" s="412"/>
      <c r="G767" s="412"/>
      <c r="H767" s="412"/>
      <c r="I767" s="412"/>
      <c r="J767" s="412"/>
      <c r="K767" s="412"/>
      <c r="L767" s="412"/>
      <c r="M767" s="412"/>
      <c r="N767" s="412"/>
      <c r="O767" s="412"/>
      <c r="P767" s="412"/>
      <c r="Q767" s="412"/>
      <c r="R767" s="412"/>
      <c r="S767" s="412"/>
      <c r="T767" s="412"/>
      <c r="U767" s="412"/>
      <c r="V767" s="412"/>
      <c r="W767" s="412"/>
      <c r="X767" s="412"/>
      <c r="Y767" s="412"/>
      <c r="Z767" s="412"/>
    </row>
    <row r="768" ht="13.5" customHeight="1">
      <c r="A768" s="473"/>
      <c r="B768" s="412"/>
      <c r="C768" s="412"/>
      <c r="D768" s="412"/>
      <c r="E768" s="412"/>
      <c r="F768" s="412"/>
      <c r="G768" s="412"/>
      <c r="H768" s="412"/>
      <c r="I768" s="412"/>
      <c r="J768" s="412"/>
      <c r="K768" s="412"/>
      <c r="L768" s="412"/>
      <c r="M768" s="412"/>
      <c r="N768" s="412"/>
      <c r="O768" s="412"/>
      <c r="P768" s="412"/>
      <c r="Q768" s="412"/>
      <c r="R768" s="412"/>
      <c r="S768" s="412"/>
      <c r="T768" s="412"/>
      <c r="U768" s="412"/>
      <c r="V768" s="412"/>
      <c r="W768" s="412"/>
      <c r="X768" s="412"/>
      <c r="Y768" s="412"/>
      <c r="Z768" s="412"/>
    </row>
    <row r="769" ht="13.5" customHeight="1">
      <c r="A769" s="473"/>
      <c r="B769" s="412"/>
      <c r="C769" s="412"/>
      <c r="D769" s="412"/>
      <c r="E769" s="412"/>
      <c r="F769" s="412"/>
      <c r="G769" s="412"/>
      <c r="H769" s="412"/>
      <c r="I769" s="412"/>
      <c r="J769" s="412"/>
      <c r="K769" s="412"/>
      <c r="L769" s="412"/>
      <c r="M769" s="412"/>
      <c r="N769" s="412"/>
      <c r="O769" s="412"/>
      <c r="P769" s="412"/>
      <c r="Q769" s="412"/>
      <c r="R769" s="412"/>
      <c r="S769" s="412"/>
      <c r="T769" s="412"/>
      <c r="U769" s="412"/>
      <c r="V769" s="412"/>
      <c r="W769" s="412"/>
      <c r="X769" s="412"/>
      <c r="Y769" s="412"/>
      <c r="Z769" s="412"/>
    </row>
    <row r="770" ht="13.5" customHeight="1">
      <c r="A770" s="473"/>
      <c r="B770" s="412"/>
      <c r="C770" s="412"/>
      <c r="D770" s="412"/>
      <c r="E770" s="412"/>
      <c r="F770" s="412"/>
      <c r="G770" s="412"/>
      <c r="H770" s="412"/>
      <c r="I770" s="412"/>
      <c r="J770" s="412"/>
      <c r="K770" s="412"/>
      <c r="L770" s="412"/>
      <c r="M770" s="412"/>
      <c r="N770" s="412"/>
      <c r="O770" s="412"/>
      <c r="P770" s="412"/>
      <c r="Q770" s="412"/>
      <c r="R770" s="412"/>
      <c r="S770" s="412"/>
      <c r="T770" s="412"/>
      <c r="U770" s="412"/>
      <c r="V770" s="412"/>
      <c r="W770" s="412"/>
      <c r="X770" s="412"/>
      <c r="Y770" s="412"/>
      <c r="Z770" s="412"/>
    </row>
    <row r="771" ht="13.5" customHeight="1">
      <c r="A771" s="473"/>
      <c r="B771" s="412"/>
      <c r="C771" s="412"/>
      <c r="D771" s="412"/>
      <c r="E771" s="412"/>
      <c r="F771" s="412"/>
      <c r="G771" s="412"/>
      <c r="H771" s="412"/>
      <c r="I771" s="412"/>
      <c r="J771" s="412"/>
      <c r="K771" s="412"/>
      <c r="L771" s="412"/>
      <c r="M771" s="412"/>
      <c r="N771" s="412"/>
      <c r="O771" s="412"/>
      <c r="P771" s="412"/>
      <c r="Q771" s="412"/>
      <c r="R771" s="412"/>
      <c r="S771" s="412"/>
      <c r="T771" s="412"/>
      <c r="U771" s="412"/>
      <c r="V771" s="412"/>
      <c r="W771" s="412"/>
      <c r="X771" s="412"/>
      <c r="Y771" s="412"/>
      <c r="Z771" s="412"/>
    </row>
    <row r="772" ht="13.5" customHeight="1">
      <c r="A772" s="473"/>
      <c r="B772" s="412"/>
      <c r="C772" s="412"/>
      <c r="D772" s="412"/>
      <c r="E772" s="412"/>
      <c r="F772" s="412"/>
      <c r="G772" s="412"/>
      <c r="H772" s="412"/>
      <c r="I772" s="412"/>
      <c r="J772" s="412"/>
      <c r="K772" s="412"/>
      <c r="L772" s="412"/>
      <c r="M772" s="412"/>
      <c r="N772" s="412"/>
      <c r="O772" s="412"/>
      <c r="P772" s="412"/>
      <c r="Q772" s="412"/>
      <c r="R772" s="412"/>
      <c r="S772" s="412"/>
      <c r="T772" s="412"/>
      <c r="U772" s="412"/>
      <c r="V772" s="412"/>
      <c r="W772" s="412"/>
      <c r="X772" s="412"/>
      <c r="Y772" s="412"/>
      <c r="Z772" s="412"/>
    </row>
    <row r="773" ht="13.5" customHeight="1">
      <c r="A773" s="473"/>
      <c r="B773" s="412"/>
      <c r="C773" s="412"/>
      <c r="D773" s="412"/>
      <c r="E773" s="412"/>
      <c r="F773" s="412"/>
      <c r="G773" s="412"/>
      <c r="H773" s="412"/>
      <c r="I773" s="412"/>
      <c r="J773" s="412"/>
      <c r="K773" s="412"/>
      <c r="L773" s="412"/>
      <c r="M773" s="412"/>
      <c r="N773" s="412"/>
      <c r="O773" s="412"/>
      <c r="P773" s="412"/>
      <c r="Q773" s="412"/>
      <c r="R773" s="412"/>
      <c r="S773" s="412"/>
      <c r="T773" s="412"/>
      <c r="U773" s="412"/>
      <c r="V773" s="412"/>
      <c r="W773" s="412"/>
      <c r="X773" s="412"/>
      <c r="Y773" s="412"/>
      <c r="Z773" s="412"/>
    </row>
    <row r="774" ht="13.5" customHeight="1">
      <c r="A774" s="473"/>
      <c r="B774" s="412"/>
      <c r="C774" s="412"/>
      <c r="D774" s="412"/>
      <c r="E774" s="412"/>
      <c r="F774" s="412"/>
      <c r="G774" s="412"/>
      <c r="H774" s="412"/>
      <c r="I774" s="412"/>
      <c r="J774" s="412"/>
      <c r="K774" s="412"/>
      <c r="L774" s="412"/>
      <c r="M774" s="412"/>
      <c r="N774" s="412"/>
      <c r="O774" s="412"/>
      <c r="P774" s="412"/>
      <c r="Q774" s="412"/>
      <c r="R774" s="412"/>
      <c r="S774" s="412"/>
      <c r="T774" s="412"/>
      <c r="U774" s="412"/>
      <c r="V774" s="412"/>
      <c r="W774" s="412"/>
      <c r="X774" s="412"/>
      <c r="Y774" s="412"/>
      <c r="Z774" s="412"/>
    </row>
    <row r="775" ht="13.5" customHeight="1">
      <c r="A775" s="473"/>
      <c r="B775" s="412"/>
      <c r="C775" s="412"/>
      <c r="D775" s="412"/>
      <c r="E775" s="412"/>
      <c r="F775" s="412"/>
      <c r="G775" s="412"/>
      <c r="H775" s="412"/>
      <c r="I775" s="412"/>
      <c r="J775" s="412"/>
      <c r="K775" s="412"/>
      <c r="L775" s="412"/>
      <c r="M775" s="412"/>
      <c r="N775" s="412"/>
      <c r="O775" s="412"/>
      <c r="P775" s="412"/>
      <c r="Q775" s="412"/>
      <c r="R775" s="412"/>
      <c r="S775" s="412"/>
      <c r="T775" s="412"/>
      <c r="U775" s="412"/>
      <c r="V775" s="412"/>
      <c r="W775" s="412"/>
      <c r="X775" s="412"/>
      <c r="Y775" s="412"/>
      <c r="Z775" s="412"/>
    </row>
    <row r="776" ht="13.5" customHeight="1">
      <c r="A776" s="473"/>
      <c r="B776" s="412"/>
      <c r="C776" s="412"/>
      <c r="D776" s="412"/>
      <c r="E776" s="412"/>
      <c r="F776" s="412"/>
      <c r="G776" s="412"/>
      <c r="H776" s="412"/>
      <c r="I776" s="412"/>
      <c r="J776" s="412"/>
      <c r="K776" s="412"/>
      <c r="L776" s="412"/>
      <c r="M776" s="412"/>
      <c r="N776" s="412"/>
      <c r="O776" s="412"/>
      <c r="P776" s="412"/>
      <c r="Q776" s="412"/>
      <c r="R776" s="412"/>
      <c r="S776" s="412"/>
      <c r="T776" s="412"/>
      <c r="U776" s="412"/>
      <c r="V776" s="412"/>
      <c r="W776" s="412"/>
      <c r="X776" s="412"/>
      <c r="Y776" s="412"/>
      <c r="Z776" s="412"/>
    </row>
    <row r="777" ht="13.5" customHeight="1">
      <c r="A777" s="473"/>
      <c r="B777" s="412"/>
      <c r="C777" s="412"/>
      <c r="D777" s="412"/>
      <c r="E777" s="412"/>
      <c r="F777" s="412"/>
      <c r="G777" s="412"/>
      <c r="H777" s="412"/>
      <c r="I777" s="412"/>
      <c r="J777" s="412"/>
      <c r="K777" s="412"/>
      <c r="L777" s="412"/>
      <c r="M777" s="412"/>
      <c r="N777" s="412"/>
      <c r="O777" s="412"/>
      <c r="P777" s="412"/>
      <c r="Q777" s="412"/>
      <c r="R777" s="412"/>
      <c r="S777" s="412"/>
      <c r="T777" s="412"/>
      <c r="U777" s="412"/>
      <c r="V777" s="412"/>
      <c r="W777" s="412"/>
      <c r="X777" s="412"/>
      <c r="Y777" s="412"/>
      <c r="Z777" s="412"/>
    </row>
    <row r="778" ht="13.5" customHeight="1">
      <c r="A778" s="473"/>
      <c r="B778" s="412"/>
      <c r="C778" s="412"/>
      <c r="D778" s="412"/>
      <c r="E778" s="412"/>
      <c r="F778" s="412"/>
      <c r="G778" s="412"/>
      <c r="H778" s="412"/>
      <c r="I778" s="412"/>
      <c r="J778" s="412"/>
      <c r="K778" s="412"/>
      <c r="L778" s="412"/>
      <c r="M778" s="412"/>
      <c r="N778" s="412"/>
      <c r="O778" s="412"/>
      <c r="P778" s="412"/>
      <c r="Q778" s="412"/>
      <c r="R778" s="412"/>
      <c r="S778" s="412"/>
      <c r="T778" s="412"/>
      <c r="U778" s="412"/>
      <c r="V778" s="412"/>
      <c r="W778" s="412"/>
      <c r="X778" s="412"/>
      <c r="Y778" s="412"/>
      <c r="Z778" s="412"/>
    </row>
    <row r="779" ht="13.5" customHeight="1">
      <c r="A779" s="473"/>
      <c r="B779" s="412"/>
      <c r="C779" s="412"/>
      <c r="D779" s="412"/>
      <c r="E779" s="412"/>
      <c r="F779" s="412"/>
      <c r="G779" s="412"/>
      <c r="H779" s="412"/>
      <c r="I779" s="412"/>
      <c r="J779" s="412"/>
      <c r="K779" s="412"/>
      <c r="L779" s="412"/>
      <c r="M779" s="412"/>
      <c r="N779" s="412"/>
      <c r="O779" s="412"/>
      <c r="P779" s="412"/>
      <c r="Q779" s="412"/>
      <c r="R779" s="412"/>
      <c r="S779" s="412"/>
      <c r="T779" s="412"/>
      <c r="U779" s="412"/>
      <c r="V779" s="412"/>
      <c r="W779" s="412"/>
      <c r="X779" s="412"/>
      <c r="Y779" s="412"/>
      <c r="Z779" s="412"/>
    </row>
    <row r="780" ht="13.5" customHeight="1">
      <c r="A780" s="473"/>
      <c r="B780" s="412"/>
      <c r="C780" s="412"/>
      <c r="D780" s="412"/>
      <c r="E780" s="412"/>
      <c r="F780" s="412"/>
      <c r="G780" s="412"/>
      <c r="H780" s="412"/>
      <c r="I780" s="412"/>
      <c r="J780" s="412"/>
      <c r="K780" s="412"/>
      <c r="L780" s="412"/>
      <c r="M780" s="412"/>
      <c r="N780" s="412"/>
      <c r="O780" s="412"/>
      <c r="P780" s="412"/>
      <c r="Q780" s="412"/>
      <c r="R780" s="412"/>
      <c r="S780" s="412"/>
      <c r="T780" s="412"/>
      <c r="U780" s="412"/>
      <c r="V780" s="412"/>
      <c r="W780" s="412"/>
      <c r="X780" s="412"/>
      <c r="Y780" s="412"/>
      <c r="Z780" s="412"/>
    </row>
    <row r="781" ht="13.5" customHeight="1">
      <c r="A781" s="473"/>
      <c r="B781" s="412"/>
      <c r="C781" s="412"/>
      <c r="D781" s="412"/>
      <c r="E781" s="412"/>
      <c r="F781" s="412"/>
      <c r="G781" s="412"/>
      <c r="H781" s="412"/>
      <c r="I781" s="412"/>
      <c r="J781" s="412"/>
      <c r="K781" s="412"/>
      <c r="L781" s="412"/>
      <c r="M781" s="412"/>
      <c r="N781" s="412"/>
      <c r="O781" s="412"/>
      <c r="P781" s="412"/>
      <c r="Q781" s="412"/>
      <c r="R781" s="412"/>
      <c r="S781" s="412"/>
      <c r="T781" s="412"/>
      <c r="U781" s="412"/>
      <c r="V781" s="412"/>
      <c r="W781" s="412"/>
      <c r="X781" s="412"/>
      <c r="Y781" s="412"/>
      <c r="Z781" s="412"/>
    </row>
    <row r="782" ht="13.5" customHeight="1">
      <c r="A782" s="473"/>
      <c r="B782" s="412"/>
      <c r="C782" s="412"/>
      <c r="D782" s="412"/>
      <c r="E782" s="412"/>
      <c r="F782" s="412"/>
      <c r="G782" s="412"/>
      <c r="H782" s="412"/>
      <c r="I782" s="412"/>
      <c r="J782" s="412"/>
      <c r="K782" s="412"/>
      <c r="L782" s="412"/>
      <c r="M782" s="412"/>
      <c r="N782" s="412"/>
      <c r="O782" s="412"/>
      <c r="P782" s="412"/>
      <c r="Q782" s="412"/>
      <c r="R782" s="412"/>
      <c r="S782" s="412"/>
      <c r="T782" s="412"/>
      <c r="U782" s="412"/>
      <c r="V782" s="412"/>
      <c r="W782" s="412"/>
      <c r="X782" s="412"/>
      <c r="Y782" s="412"/>
      <c r="Z782" s="412"/>
    </row>
    <row r="783" ht="13.5" customHeight="1">
      <c r="A783" s="473"/>
      <c r="B783" s="412"/>
      <c r="C783" s="412"/>
      <c r="D783" s="412"/>
      <c r="E783" s="412"/>
      <c r="F783" s="412"/>
      <c r="G783" s="412"/>
      <c r="H783" s="412"/>
      <c r="I783" s="412"/>
      <c r="J783" s="412"/>
      <c r="K783" s="412"/>
      <c r="L783" s="412"/>
      <c r="M783" s="412"/>
      <c r="N783" s="412"/>
      <c r="O783" s="412"/>
      <c r="P783" s="412"/>
      <c r="Q783" s="412"/>
      <c r="R783" s="412"/>
      <c r="S783" s="412"/>
      <c r="T783" s="412"/>
      <c r="U783" s="412"/>
      <c r="V783" s="412"/>
      <c r="W783" s="412"/>
      <c r="X783" s="412"/>
      <c r="Y783" s="412"/>
      <c r="Z783" s="412"/>
    </row>
    <row r="784" ht="13.5" customHeight="1">
      <c r="A784" s="473"/>
      <c r="B784" s="412"/>
      <c r="C784" s="412"/>
      <c r="D784" s="412"/>
      <c r="E784" s="412"/>
      <c r="F784" s="412"/>
      <c r="G784" s="412"/>
      <c r="H784" s="412"/>
      <c r="I784" s="412"/>
      <c r="J784" s="412"/>
      <c r="K784" s="412"/>
      <c r="L784" s="412"/>
      <c r="M784" s="412"/>
      <c r="N784" s="412"/>
      <c r="O784" s="412"/>
      <c r="P784" s="412"/>
      <c r="Q784" s="412"/>
      <c r="R784" s="412"/>
      <c r="S784" s="412"/>
      <c r="T784" s="412"/>
      <c r="U784" s="412"/>
      <c r="V784" s="412"/>
      <c r="W784" s="412"/>
      <c r="X784" s="412"/>
      <c r="Y784" s="412"/>
      <c r="Z784" s="412"/>
    </row>
    <row r="785" ht="13.5" customHeight="1">
      <c r="A785" s="473"/>
      <c r="B785" s="412"/>
      <c r="C785" s="412"/>
      <c r="D785" s="412"/>
      <c r="E785" s="412"/>
      <c r="F785" s="412"/>
      <c r="G785" s="412"/>
      <c r="H785" s="412"/>
      <c r="I785" s="412"/>
      <c r="J785" s="412"/>
      <c r="K785" s="412"/>
      <c r="L785" s="412"/>
      <c r="M785" s="412"/>
      <c r="N785" s="412"/>
      <c r="O785" s="412"/>
      <c r="P785" s="412"/>
      <c r="Q785" s="412"/>
      <c r="R785" s="412"/>
      <c r="S785" s="412"/>
      <c r="T785" s="412"/>
      <c r="U785" s="412"/>
      <c r="V785" s="412"/>
      <c r="W785" s="412"/>
      <c r="X785" s="412"/>
      <c r="Y785" s="412"/>
      <c r="Z785" s="412"/>
    </row>
    <row r="786" ht="13.5" customHeight="1">
      <c r="A786" s="473"/>
      <c r="B786" s="412"/>
      <c r="C786" s="412"/>
      <c r="D786" s="412"/>
      <c r="E786" s="412"/>
      <c r="F786" s="412"/>
      <c r="G786" s="412"/>
      <c r="H786" s="412"/>
      <c r="I786" s="412"/>
      <c r="J786" s="412"/>
      <c r="K786" s="412"/>
      <c r="L786" s="412"/>
      <c r="M786" s="412"/>
      <c r="N786" s="412"/>
      <c r="O786" s="412"/>
      <c r="P786" s="412"/>
      <c r="Q786" s="412"/>
      <c r="R786" s="412"/>
      <c r="S786" s="412"/>
      <c r="T786" s="412"/>
      <c r="U786" s="412"/>
      <c r="V786" s="412"/>
      <c r="W786" s="412"/>
      <c r="X786" s="412"/>
      <c r="Y786" s="412"/>
      <c r="Z786" s="412"/>
    </row>
    <row r="787" ht="13.5" customHeight="1">
      <c r="A787" s="473"/>
      <c r="B787" s="412"/>
      <c r="C787" s="412"/>
      <c r="D787" s="412"/>
      <c r="E787" s="412"/>
      <c r="F787" s="412"/>
      <c r="G787" s="412"/>
      <c r="H787" s="412"/>
      <c r="I787" s="412"/>
      <c r="J787" s="412"/>
      <c r="K787" s="412"/>
      <c r="L787" s="412"/>
      <c r="M787" s="412"/>
      <c r="N787" s="412"/>
      <c r="O787" s="412"/>
      <c r="P787" s="412"/>
      <c r="Q787" s="412"/>
      <c r="R787" s="412"/>
      <c r="S787" s="412"/>
      <c r="T787" s="412"/>
      <c r="U787" s="412"/>
      <c r="V787" s="412"/>
      <c r="W787" s="412"/>
      <c r="X787" s="412"/>
      <c r="Y787" s="412"/>
      <c r="Z787" s="412"/>
    </row>
    <row r="788" ht="13.5" customHeight="1">
      <c r="A788" s="473"/>
      <c r="B788" s="412"/>
      <c r="C788" s="412"/>
      <c r="D788" s="412"/>
      <c r="E788" s="412"/>
      <c r="F788" s="412"/>
      <c r="G788" s="412"/>
      <c r="H788" s="412"/>
      <c r="I788" s="412"/>
      <c r="J788" s="412"/>
      <c r="K788" s="412"/>
      <c r="L788" s="412"/>
      <c r="M788" s="412"/>
      <c r="N788" s="412"/>
      <c r="O788" s="412"/>
      <c r="P788" s="412"/>
      <c r="Q788" s="412"/>
      <c r="R788" s="412"/>
      <c r="S788" s="412"/>
      <c r="T788" s="412"/>
      <c r="U788" s="412"/>
      <c r="V788" s="412"/>
      <c r="W788" s="412"/>
      <c r="X788" s="412"/>
      <c r="Y788" s="412"/>
      <c r="Z788" s="412"/>
    </row>
    <row r="789" ht="13.5" customHeight="1">
      <c r="A789" s="473"/>
      <c r="B789" s="412"/>
      <c r="C789" s="412"/>
      <c r="D789" s="412"/>
      <c r="E789" s="412"/>
      <c r="F789" s="412"/>
      <c r="G789" s="412"/>
      <c r="H789" s="412"/>
      <c r="I789" s="412"/>
      <c r="J789" s="412"/>
      <c r="K789" s="412"/>
      <c r="L789" s="412"/>
      <c r="M789" s="412"/>
      <c r="N789" s="412"/>
      <c r="O789" s="412"/>
      <c r="P789" s="412"/>
      <c r="Q789" s="412"/>
      <c r="R789" s="412"/>
      <c r="S789" s="412"/>
      <c r="T789" s="412"/>
      <c r="U789" s="412"/>
      <c r="V789" s="412"/>
      <c r="W789" s="412"/>
      <c r="X789" s="412"/>
      <c r="Y789" s="412"/>
      <c r="Z789" s="412"/>
    </row>
    <row r="790" ht="13.5" customHeight="1">
      <c r="A790" s="473"/>
      <c r="B790" s="412"/>
      <c r="C790" s="412"/>
      <c r="D790" s="412"/>
      <c r="E790" s="412"/>
      <c r="F790" s="412"/>
      <c r="G790" s="412"/>
      <c r="H790" s="412"/>
      <c r="I790" s="412"/>
      <c r="J790" s="412"/>
      <c r="K790" s="412"/>
      <c r="L790" s="412"/>
      <c r="M790" s="412"/>
      <c r="N790" s="412"/>
      <c r="O790" s="412"/>
      <c r="P790" s="412"/>
      <c r="Q790" s="412"/>
      <c r="R790" s="412"/>
      <c r="S790" s="412"/>
      <c r="T790" s="412"/>
      <c r="U790" s="412"/>
      <c r="V790" s="412"/>
      <c r="W790" s="412"/>
      <c r="X790" s="412"/>
      <c r="Y790" s="412"/>
      <c r="Z790" s="412"/>
    </row>
    <row r="791" ht="13.5" customHeight="1">
      <c r="A791" s="473"/>
      <c r="B791" s="412"/>
      <c r="C791" s="412"/>
      <c r="D791" s="412"/>
      <c r="E791" s="412"/>
      <c r="F791" s="412"/>
      <c r="G791" s="412"/>
      <c r="H791" s="412"/>
      <c r="I791" s="412"/>
      <c r="J791" s="412"/>
      <c r="K791" s="412"/>
      <c r="L791" s="412"/>
      <c r="M791" s="412"/>
      <c r="N791" s="412"/>
      <c r="O791" s="412"/>
      <c r="P791" s="412"/>
      <c r="Q791" s="412"/>
      <c r="R791" s="412"/>
      <c r="S791" s="412"/>
      <c r="T791" s="412"/>
      <c r="U791" s="412"/>
      <c r="V791" s="412"/>
      <c r="W791" s="412"/>
      <c r="X791" s="412"/>
      <c r="Y791" s="412"/>
      <c r="Z791" s="412"/>
    </row>
    <row r="792" ht="13.5" customHeight="1">
      <c r="A792" s="473"/>
      <c r="B792" s="412"/>
      <c r="C792" s="412"/>
      <c r="D792" s="412"/>
      <c r="E792" s="412"/>
      <c r="F792" s="412"/>
      <c r="G792" s="412"/>
      <c r="H792" s="412"/>
      <c r="I792" s="412"/>
      <c r="J792" s="412"/>
      <c r="K792" s="412"/>
      <c r="L792" s="412"/>
      <c r="M792" s="412"/>
      <c r="N792" s="412"/>
      <c r="O792" s="412"/>
      <c r="P792" s="412"/>
      <c r="Q792" s="412"/>
      <c r="R792" s="412"/>
      <c r="S792" s="412"/>
      <c r="T792" s="412"/>
      <c r="U792" s="412"/>
      <c r="V792" s="412"/>
      <c r="W792" s="412"/>
      <c r="X792" s="412"/>
      <c r="Y792" s="412"/>
      <c r="Z792" s="412"/>
    </row>
    <row r="793" ht="13.5" customHeight="1">
      <c r="A793" s="473"/>
      <c r="B793" s="412"/>
      <c r="C793" s="412"/>
      <c r="D793" s="412"/>
      <c r="E793" s="412"/>
      <c r="F793" s="412"/>
      <c r="G793" s="412"/>
      <c r="H793" s="412"/>
      <c r="I793" s="412"/>
      <c r="J793" s="412"/>
      <c r="K793" s="412"/>
      <c r="L793" s="412"/>
      <c r="M793" s="412"/>
      <c r="N793" s="412"/>
      <c r="O793" s="412"/>
      <c r="P793" s="412"/>
      <c r="Q793" s="412"/>
      <c r="R793" s="412"/>
      <c r="S793" s="412"/>
      <c r="T793" s="412"/>
      <c r="U793" s="412"/>
      <c r="V793" s="412"/>
      <c r="W793" s="412"/>
      <c r="X793" s="412"/>
      <c r="Y793" s="412"/>
      <c r="Z793" s="412"/>
    </row>
    <row r="794" ht="13.5" customHeight="1">
      <c r="A794" s="473"/>
      <c r="B794" s="412"/>
      <c r="C794" s="412"/>
      <c r="D794" s="412"/>
      <c r="E794" s="412"/>
      <c r="F794" s="412"/>
      <c r="G794" s="412"/>
      <c r="H794" s="412"/>
      <c r="I794" s="412"/>
      <c r="J794" s="412"/>
      <c r="K794" s="412"/>
      <c r="L794" s="412"/>
      <c r="M794" s="412"/>
      <c r="N794" s="412"/>
      <c r="O794" s="412"/>
      <c r="P794" s="412"/>
      <c r="Q794" s="412"/>
      <c r="R794" s="412"/>
      <c r="S794" s="412"/>
      <c r="T794" s="412"/>
      <c r="U794" s="412"/>
      <c r="V794" s="412"/>
      <c r="W794" s="412"/>
      <c r="X794" s="412"/>
      <c r="Y794" s="412"/>
      <c r="Z794" s="412"/>
    </row>
    <row r="795" ht="13.5" customHeight="1">
      <c r="A795" s="473"/>
      <c r="B795" s="412"/>
      <c r="C795" s="412"/>
      <c r="D795" s="412"/>
      <c r="E795" s="412"/>
      <c r="F795" s="412"/>
      <c r="G795" s="412"/>
      <c r="H795" s="412"/>
      <c r="I795" s="412"/>
      <c r="J795" s="412"/>
      <c r="K795" s="412"/>
      <c r="L795" s="412"/>
      <c r="M795" s="412"/>
      <c r="N795" s="412"/>
      <c r="O795" s="412"/>
      <c r="P795" s="412"/>
      <c r="Q795" s="412"/>
      <c r="R795" s="412"/>
      <c r="S795" s="412"/>
      <c r="T795" s="412"/>
      <c r="U795" s="412"/>
      <c r="V795" s="412"/>
      <c r="W795" s="412"/>
      <c r="X795" s="412"/>
      <c r="Y795" s="412"/>
      <c r="Z795" s="412"/>
    </row>
    <row r="796" ht="13.5" customHeight="1">
      <c r="A796" s="473"/>
      <c r="B796" s="412"/>
      <c r="C796" s="412"/>
      <c r="D796" s="412"/>
      <c r="E796" s="412"/>
      <c r="F796" s="412"/>
      <c r="G796" s="412"/>
      <c r="H796" s="412"/>
      <c r="I796" s="412"/>
      <c r="J796" s="412"/>
      <c r="K796" s="412"/>
      <c r="L796" s="412"/>
      <c r="M796" s="412"/>
      <c r="N796" s="412"/>
      <c r="O796" s="412"/>
      <c r="P796" s="412"/>
      <c r="Q796" s="412"/>
      <c r="R796" s="412"/>
      <c r="S796" s="412"/>
      <c r="T796" s="412"/>
      <c r="U796" s="412"/>
      <c r="V796" s="412"/>
      <c r="W796" s="412"/>
      <c r="X796" s="412"/>
      <c r="Y796" s="412"/>
      <c r="Z796" s="412"/>
    </row>
    <row r="797" ht="13.5" customHeight="1">
      <c r="A797" s="473"/>
      <c r="B797" s="412"/>
      <c r="C797" s="412"/>
      <c r="D797" s="412"/>
      <c r="E797" s="412"/>
      <c r="F797" s="412"/>
      <c r="G797" s="412"/>
      <c r="H797" s="412"/>
      <c r="I797" s="412"/>
      <c r="J797" s="412"/>
      <c r="K797" s="412"/>
      <c r="L797" s="412"/>
      <c r="M797" s="412"/>
      <c r="N797" s="412"/>
      <c r="O797" s="412"/>
      <c r="P797" s="412"/>
      <c r="Q797" s="412"/>
      <c r="R797" s="412"/>
      <c r="S797" s="412"/>
      <c r="T797" s="412"/>
      <c r="U797" s="412"/>
      <c r="V797" s="412"/>
      <c r="W797" s="412"/>
      <c r="X797" s="412"/>
      <c r="Y797" s="412"/>
      <c r="Z797" s="412"/>
    </row>
    <row r="798" ht="13.5" customHeight="1">
      <c r="A798" s="473"/>
      <c r="B798" s="412"/>
      <c r="C798" s="412"/>
      <c r="D798" s="412"/>
      <c r="E798" s="412"/>
      <c r="F798" s="412"/>
      <c r="G798" s="412"/>
      <c r="H798" s="412"/>
      <c r="I798" s="412"/>
      <c r="J798" s="412"/>
      <c r="K798" s="412"/>
      <c r="L798" s="412"/>
      <c r="M798" s="412"/>
      <c r="N798" s="412"/>
      <c r="O798" s="412"/>
      <c r="P798" s="412"/>
      <c r="Q798" s="412"/>
      <c r="R798" s="412"/>
      <c r="S798" s="412"/>
      <c r="T798" s="412"/>
      <c r="U798" s="412"/>
      <c r="V798" s="412"/>
      <c r="W798" s="412"/>
      <c r="X798" s="412"/>
      <c r="Y798" s="412"/>
      <c r="Z798" s="412"/>
    </row>
    <row r="799" ht="13.5" customHeight="1">
      <c r="A799" s="473"/>
      <c r="B799" s="412"/>
      <c r="C799" s="412"/>
      <c r="D799" s="412"/>
      <c r="E799" s="412"/>
      <c r="F799" s="412"/>
      <c r="G799" s="412"/>
      <c r="H799" s="412"/>
      <c r="I799" s="412"/>
      <c r="J799" s="412"/>
      <c r="K799" s="412"/>
      <c r="L799" s="412"/>
      <c r="M799" s="412"/>
      <c r="N799" s="412"/>
      <c r="O799" s="412"/>
      <c r="P799" s="412"/>
      <c r="Q799" s="412"/>
      <c r="R799" s="412"/>
      <c r="S799" s="412"/>
      <c r="T799" s="412"/>
      <c r="U799" s="412"/>
      <c r="V799" s="412"/>
      <c r="W799" s="412"/>
      <c r="X799" s="412"/>
      <c r="Y799" s="412"/>
      <c r="Z799" s="412"/>
    </row>
    <row r="800" ht="13.5" customHeight="1">
      <c r="A800" s="473"/>
      <c r="B800" s="412"/>
      <c r="C800" s="412"/>
      <c r="D800" s="412"/>
      <c r="E800" s="412"/>
      <c r="F800" s="412"/>
      <c r="G800" s="412"/>
      <c r="H800" s="412"/>
      <c r="I800" s="412"/>
      <c r="J800" s="412"/>
      <c r="K800" s="412"/>
      <c r="L800" s="412"/>
      <c r="M800" s="412"/>
      <c r="N800" s="412"/>
      <c r="O800" s="412"/>
      <c r="P800" s="412"/>
      <c r="Q800" s="412"/>
      <c r="R800" s="412"/>
      <c r="S800" s="412"/>
      <c r="T800" s="412"/>
      <c r="U800" s="412"/>
      <c r="V800" s="412"/>
      <c r="W800" s="412"/>
      <c r="X800" s="412"/>
      <c r="Y800" s="412"/>
      <c r="Z800" s="412"/>
    </row>
    <row r="801" ht="13.5" customHeight="1">
      <c r="A801" s="473"/>
      <c r="B801" s="412"/>
      <c r="C801" s="412"/>
      <c r="D801" s="412"/>
      <c r="E801" s="412"/>
      <c r="F801" s="412"/>
      <c r="G801" s="412"/>
      <c r="H801" s="412"/>
      <c r="I801" s="412"/>
      <c r="J801" s="412"/>
      <c r="K801" s="412"/>
      <c r="L801" s="412"/>
      <c r="M801" s="412"/>
      <c r="N801" s="412"/>
      <c r="O801" s="412"/>
      <c r="P801" s="412"/>
      <c r="Q801" s="412"/>
      <c r="R801" s="412"/>
      <c r="S801" s="412"/>
      <c r="T801" s="412"/>
      <c r="U801" s="412"/>
      <c r="V801" s="412"/>
      <c r="W801" s="412"/>
      <c r="X801" s="412"/>
      <c r="Y801" s="412"/>
      <c r="Z801" s="412"/>
    </row>
    <row r="802" ht="13.5" customHeight="1">
      <c r="A802" s="473"/>
      <c r="B802" s="412"/>
      <c r="C802" s="412"/>
      <c r="D802" s="412"/>
      <c r="E802" s="412"/>
      <c r="F802" s="412"/>
      <c r="G802" s="412"/>
      <c r="H802" s="412"/>
      <c r="I802" s="412"/>
      <c r="J802" s="412"/>
      <c r="K802" s="412"/>
      <c r="L802" s="412"/>
      <c r="M802" s="412"/>
      <c r="N802" s="412"/>
      <c r="O802" s="412"/>
      <c r="P802" s="412"/>
      <c r="Q802" s="412"/>
      <c r="R802" s="412"/>
      <c r="S802" s="412"/>
      <c r="T802" s="412"/>
      <c r="U802" s="412"/>
      <c r="V802" s="412"/>
      <c r="W802" s="412"/>
      <c r="X802" s="412"/>
      <c r="Y802" s="412"/>
      <c r="Z802" s="412"/>
    </row>
    <row r="803" ht="13.5" customHeight="1">
      <c r="A803" s="473"/>
      <c r="B803" s="412"/>
      <c r="C803" s="412"/>
      <c r="D803" s="412"/>
      <c r="E803" s="412"/>
      <c r="F803" s="412"/>
      <c r="G803" s="412"/>
      <c r="H803" s="412"/>
      <c r="I803" s="412"/>
      <c r="J803" s="412"/>
      <c r="K803" s="412"/>
      <c r="L803" s="412"/>
      <c r="M803" s="412"/>
      <c r="N803" s="412"/>
      <c r="O803" s="412"/>
      <c r="P803" s="412"/>
      <c r="Q803" s="412"/>
      <c r="R803" s="412"/>
      <c r="S803" s="412"/>
      <c r="T803" s="412"/>
      <c r="U803" s="412"/>
      <c r="V803" s="412"/>
      <c r="W803" s="412"/>
      <c r="X803" s="412"/>
      <c r="Y803" s="412"/>
      <c r="Z803" s="412"/>
    </row>
    <row r="804" ht="13.5" customHeight="1">
      <c r="A804" s="473"/>
      <c r="B804" s="412"/>
      <c r="C804" s="412"/>
      <c r="D804" s="412"/>
      <c r="E804" s="412"/>
      <c r="F804" s="412"/>
      <c r="G804" s="412"/>
      <c r="H804" s="412"/>
      <c r="I804" s="412"/>
      <c r="J804" s="412"/>
      <c r="K804" s="412"/>
      <c r="L804" s="412"/>
      <c r="M804" s="412"/>
      <c r="N804" s="412"/>
      <c r="O804" s="412"/>
      <c r="P804" s="412"/>
      <c r="Q804" s="412"/>
      <c r="R804" s="412"/>
      <c r="S804" s="412"/>
      <c r="T804" s="412"/>
      <c r="U804" s="412"/>
      <c r="V804" s="412"/>
      <c r="W804" s="412"/>
      <c r="X804" s="412"/>
      <c r="Y804" s="412"/>
      <c r="Z804" s="412"/>
    </row>
    <row r="805" ht="13.5" customHeight="1">
      <c r="A805" s="473"/>
      <c r="B805" s="412"/>
      <c r="C805" s="412"/>
      <c r="D805" s="412"/>
      <c r="E805" s="412"/>
      <c r="F805" s="412"/>
      <c r="G805" s="412"/>
      <c r="H805" s="412"/>
      <c r="I805" s="412"/>
      <c r="J805" s="412"/>
      <c r="K805" s="412"/>
      <c r="L805" s="412"/>
      <c r="M805" s="412"/>
      <c r="N805" s="412"/>
      <c r="O805" s="412"/>
      <c r="P805" s="412"/>
      <c r="Q805" s="412"/>
      <c r="R805" s="412"/>
      <c r="S805" s="412"/>
      <c r="T805" s="412"/>
      <c r="U805" s="412"/>
      <c r="V805" s="412"/>
      <c r="W805" s="412"/>
      <c r="X805" s="412"/>
      <c r="Y805" s="412"/>
      <c r="Z805" s="412"/>
    </row>
    <row r="806" ht="13.5" customHeight="1">
      <c r="A806" s="473"/>
      <c r="B806" s="412"/>
      <c r="C806" s="412"/>
      <c r="D806" s="412"/>
      <c r="E806" s="412"/>
      <c r="F806" s="412"/>
      <c r="G806" s="412"/>
      <c r="H806" s="412"/>
      <c r="I806" s="412"/>
      <c r="J806" s="412"/>
      <c r="K806" s="412"/>
      <c r="L806" s="412"/>
      <c r="M806" s="412"/>
      <c r="N806" s="412"/>
      <c r="O806" s="412"/>
      <c r="P806" s="412"/>
      <c r="Q806" s="412"/>
      <c r="R806" s="412"/>
      <c r="S806" s="412"/>
      <c r="T806" s="412"/>
      <c r="U806" s="412"/>
      <c r="V806" s="412"/>
      <c r="W806" s="412"/>
      <c r="X806" s="412"/>
      <c r="Y806" s="412"/>
      <c r="Z806" s="412"/>
    </row>
    <row r="807" ht="13.5" customHeight="1">
      <c r="A807" s="473"/>
      <c r="B807" s="412"/>
      <c r="C807" s="412"/>
      <c r="D807" s="412"/>
      <c r="E807" s="412"/>
      <c r="F807" s="412"/>
      <c r="G807" s="412"/>
      <c r="H807" s="412"/>
      <c r="I807" s="412"/>
      <c r="J807" s="412"/>
      <c r="K807" s="412"/>
      <c r="L807" s="412"/>
      <c r="M807" s="412"/>
      <c r="N807" s="412"/>
      <c r="O807" s="412"/>
      <c r="P807" s="412"/>
      <c r="Q807" s="412"/>
      <c r="R807" s="412"/>
      <c r="S807" s="412"/>
      <c r="T807" s="412"/>
      <c r="U807" s="412"/>
      <c r="V807" s="412"/>
      <c r="W807" s="412"/>
      <c r="X807" s="412"/>
      <c r="Y807" s="412"/>
      <c r="Z807" s="412"/>
    </row>
    <row r="808" ht="13.5" customHeight="1">
      <c r="A808" s="473"/>
      <c r="B808" s="412"/>
      <c r="C808" s="412"/>
      <c r="D808" s="412"/>
      <c r="E808" s="412"/>
      <c r="F808" s="412"/>
      <c r="G808" s="412"/>
      <c r="H808" s="412"/>
      <c r="I808" s="412"/>
      <c r="J808" s="412"/>
      <c r="K808" s="412"/>
      <c r="L808" s="412"/>
      <c r="M808" s="412"/>
      <c r="N808" s="412"/>
      <c r="O808" s="412"/>
      <c r="P808" s="412"/>
      <c r="Q808" s="412"/>
      <c r="R808" s="412"/>
      <c r="S808" s="412"/>
      <c r="T808" s="412"/>
      <c r="U808" s="412"/>
      <c r="V808" s="412"/>
      <c r="W808" s="412"/>
      <c r="X808" s="412"/>
      <c r="Y808" s="412"/>
      <c r="Z808" s="412"/>
    </row>
    <row r="809" ht="13.5" customHeight="1">
      <c r="A809" s="473"/>
      <c r="B809" s="412"/>
      <c r="C809" s="412"/>
      <c r="D809" s="412"/>
      <c r="E809" s="412"/>
      <c r="F809" s="412"/>
      <c r="G809" s="412"/>
      <c r="H809" s="412"/>
      <c r="I809" s="412"/>
      <c r="J809" s="412"/>
      <c r="K809" s="412"/>
      <c r="L809" s="412"/>
      <c r="M809" s="412"/>
      <c r="N809" s="412"/>
      <c r="O809" s="412"/>
      <c r="P809" s="412"/>
      <c r="Q809" s="412"/>
      <c r="R809" s="412"/>
      <c r="S809" s="412"/>
      <c r="T809" s="412"/>
      <c r="U809" s="412"/>
      <c r="V809" s="412"/>
      <c r="W809" s="412"/>
      <c r="X809" s="412"/>
      <c r="Y809" s="412"/>
      <c r="Z809" s="412"/>
    </row>
    <row r="810" ht="13.5" customHeight="1">
      <c r="A810" s="473"/>
      <c r="B810" s="412"/>
      <c r="C810" s="412"/>
      <c r="D810" s="412"/>
      <c r="E810" s="412"/>
      <c r="F810" s="412"/>
      <c r="G810" s="412"/>
      <c r="H810" s="412"/>
      <c r="I810" s="412"/>
      <c r="J810" s="412"/>
      <c r="K810" s="412"/>
      <c r="L810" s="412"/>
      <c r="M810" s="412"/>
      <c r="N810" s="412"/>
      <c r="O810" s="412"/>
      <c r="P810" s="412"/>
      <c r="Q810" s="412"/>
      <c r="R810" s="412"/>
      <c r="S810" s="412"/>
      <c r="T810" s="412"/>
      <c r="U810" s="412"/>
      <c r="V810" s="412"/>
      <c r="W810" s="412"/>
      <c r="X810" s="412"/>
      <c r="Y810" s="412"/>
      <c r="Z810" s="412"/>
    </row>
    <row r="811" ht="13.5" customHeight="1">
      <c r="A811" s="473"/>
      <c r="B811" s="412"/>
      <c r="C811" s="412"/>
      <c r="D811" s="412"/>
      <c r="E811" s="412"/>
      <c r="F811" s="412"/>
      <c r="G811" s="412"/>
      <c r="H811" s="412"/>
      <c r="I811" s="412"/>
      <c r="J811" s="412"/>
      <c r="K811" s="412"/>
      <c r="L811" s="412"/>
      <c r="M811" s="412"/>
      <c r="N811" s="412"/>
      <c r="O811" s="412"/>
      <c r="P811" s="412"/>
      <c r="Q811" s="412"/>
      <c r="R811" s="412"/>
      <c r="S811" s="412"/>
      <c r="T811" s="412"/>
      <c r="U811" s="412"/>
      <c r="V811" s="412"/>
      <c r="W811" s="412"/>
      <c r="X811" s="412"/>
      <c r="Y811" s="412"/>
      <c r="Z811" s="412"/>
    </row>
    <row r="812" ht="13.5" customHeight="1">
      <c r="A812" s="473"/>
      <c r="B812" s="412"/>
      <c r="C812" s="412"/>
      <c r="D812" s="412"/>
      <c r="E812" s="412"/>
      <c r="F812" s="412"/>
      <c r="G812" s="412"/>
      <c r="H812" s="412"/>
      <c r="I812" s="412"/>
      <c r="J812" s="412"/>
      <c r="K812" s="412"/>
      <c r="L812" s="412"/>
      <c r="M812" s="412"/>
      <c r="N812" s="412"/>
      <c r="O812" s="412"/>
      <c r="P812" s="412"/>
      <c r="Q812" s="412"/>
      <c r="R812" s="412"/>
      <c r="S812" s="412"/>
      <c r="T812" s="412"/>
      <c r="U812" s="412"/>
      <c r="V812" s="412"/>
      <c r="W812" s="412"/>
      <c r="X812" s="412"/>
      <c r="Y812" s="412"/>
      <c r="Z812" s="412"/>
    </row>
    <row r="813" ht="13.5" customHeight="1">
      <c r="A813" s="473"/>
      <c r="B813" s="412"/>
      <c r="C813" s="412"/>
      <c r="D813" s="412"/>
      <c r="E813" s="412"/>
      <c r="F813" s="412"/>
      <c r="G813" s="412"/>
      <c r="H813" s="412"/>
      <c r="I813" s="412"/>
      <c r="J813" s="412"/>
      <c r="K813" s="412"/>
      <c r="L813" s="412"/>
      <c r="M813" s="412"/>
      <c r="N813" s="412"/>
      <c r="O813" s="412"/>
      <c r="P813" s="412"/>
      <c r="Q813" s="412"/>
      <c r="R813" s="412"/>
      <c r="S813" s="412"/>
      <c r="T813" s="412"/>
      <c r="U813" s="412"/>
      <c r="V813" s="412"/>
      <c r="W813" s="412"/>
      <c r="X813" s="412"/>
      <c r="Y813" s="412"/>
      <c r="Z813" s="412"/>
    </row>
    <row r="814" ht="13.5" customHeight="1">
      <c r="A814" s="473"/>
      <c r="B814" s="412"/>
      <c r="C814" s="412"/>
      <c r="D814" s="412"/>
      <c r="E814" s="412"/>
      <c r="F814" s="412"/>
      <c r="G814" s="412"/>
      <c r="H814" s="412"/>
      <c r="I814" s="412"/>
      <c r="J814" s="412"/>
      <c r="K814" s="412"/>
      <c r="L814" s="412"/>
      <c r="M814" s="412"/>
      <c r="N814" s="412"/>
      <c r="O814" s="412"/>
      <c r="P814" s="412"/>
      <c r="Q814" s="412"/>
      <c r="R814" s="412"/>
      <c r="S814" s="412"/>
      <c r="T814" s="412"/>
      <c r="U814" s="412"/>
      <c r="V814" s="412"/>
      <c r="W814" s="412"/>
      <c r="X814" s="412"/>
      <c r="Y814" s="412"/>
      <c r="Z814" s="412"/>
    </row>
    <row r="815" ht="13.5" customHeight="1">
      <c r="A815" s="473"/>
      <c r="B815" s="412"/>
      <c r="C815" s="412"/>
      <c r="D815" s="412"/>
      <c r="E815" s="412"/>
      <c r="F815" s="412"/>
      <c r="G815" s="412"/>
      <c r="H815" s="412"/>
      <c r="I815" s="412"/>
      <c r="J815" s="412"/>
      <c r="K815" s="412"/>
      <c r="L815" s="412"/>
      <c r="M815" s="412"/>
      <c r="N815" s="412"/>
      <c r="O815" s="412"/>
      <c r="P815" s="412"/>
      <c r="Q815" s="412"/>
      <c r="R815" s="412"/>
      <c r="S815" s="412"/>
      <c r="T815" s="412"/>
      <c r="U815" s="412"/>
      <c r="V815" s="412"/>
      <c r="W815" s="412"/>
      <c r="X815" s="412"/>
      <c r="Y815" s="412"/>
      <c r="Z815" s="412"/>
    </row>
    <row r="816" ht="13.5" customHeight="1">
      <c r="A816" s="473"/>
      <c r="B816" s="412"/>
      <c r="C816" s="412"/>
      <c r="D816" s="412"/>
      <c r="E816" s="412"/>
      <c r="F816" s="412"/>
      <c r="G816" s="412"/>
      <c r="H816" s="412"/>
      <c r="I816" s="412"/>
      <c r="J816" s="412"/>
      <c r="K816" s="412"/>
      <c r="L816" s="412"/>
      <c r="M816" s="412"/>
      <c r="N816" s="412"/>
      <c r="O816" s="412"/>
      <c r="P816" s="412"/>
      <c r="Q816" s="412"/>
      <c r="R816" s="412"/>
      <c r="S816" s="412"/>
      <c r="T816" s="412"/>
      <c r="U816" s="412"/>
      <c r="V816" s="412"/>
      <c r="W816" s="412"/>
      <c r="X816" s="412"/>
      <c r="Y816" s="412"/>
      <c r="Z816" s="412"/>
    </row>
    <row r="817" ht="13.5" customHeight="1">
      <c r="A817" s="473"/>
      <c r="B817" s="412"/>
      <c r="C817" s="412"/>
      <c r="D817" s="412"/>
      <c r="E817" s="412"/>
      <c r="F817" s="412"/>
      <c r="G817" s="412"/>
      <c r="H817" s="412"/>
      <c r="I817" s="412"/>
      <c r="J817" s="412"/>
      <c r="K817" s="412"/>
      <c r="L817" s="412"/>
      <c r="M817" s="412"/>
      <c r="N817" s="412"/>
      <c r="O817" s="412"/>
      <c r="P817" s="412"/>
      <c r="Q817" s="412"/>
      <c r="R817" s="412"/>
      <c r="S817" s="412"/>
      <c r="T817" s="412"/>
      <c r="U817" s="412"/>
      <c r="V817" s="412"/>
      <c r="W817" s="412"/>
      <c r="X817" s="412"/>
      <c r="Y817" s="412"/>
      <c r="Z817" s="412"/>
    </row>
    <row r="818" ht="13.5" customHeight="1">
      <c r="A818" s="473"/>
      <c r="B818" s="412"/>
      <c r="C818" s="412"/>
      <c r="D818" s="412"/>
      <c r="E818" s="412"/>
      <c r="F818" s="412"/>
      <c r="G818" s="412"/>
      <c r="H818" s="412"/>
      <c r="I818" s="412"/>
      <c r="J818" s="412"/>
      <c r="K818" s="412"/>
      <c r="L818" s="412"/>
      <c r="M818" s="412"/>
      <c r="N818" s="412"/>
      <c r="O818" s="412"/>
      <c r="P818" s="412"/>
      <c r="Q818" s="412"/>
      <c r="R818" s="412"/>
      <c r="S818" s="412"/>
      <c r="T818" s="412"/>
      <c r="U818" s="412"/>
      <c r="V818" s="412"/>
      <c r="W818" s="412"/>
      <c r="X818" s="412"/>
      <c r="Y818" s="412"/>
      <c r="Z818" s="412"/>
    </row>
    <row r="819" ht="13.5" customHeight="1">
      <c r="A819" s="473"/>
      <c r="B819" s="412"/>
      <c r="C819" s="412"/>
      <c r="D819" s="412"/>
      <c r="E819" s="412"/>
      <c r="F819" s="412"/>
      <c r="G819" s="412"/>
      <c r="H819" s="412"/>
      <c r="I819" s="412"/>
      <c r="J819" s="412"/>
      <c r="K819" s="412"/>
      <c r="L819" s="412"/>
      <c r="M819" s="412"/>
      <c r="N819" s="412"/>
      <c r="O819" s="412"/>
      <c r="P819" s="412"/>
      <c r="Q819" s="412"/>
      <c r="R819" s="412"/>
      <c r="S819" s="412"/>
      <c r="T819" s="412"/>
      <c r="U819" s="412"/>
      <c r="V819" s="412"/>
      <c r="W819" s="412"/>
      <c r="X819" s="412"/>
      <c r="Y819" s="412"/>
      <c r="Z819" s="412"/>
    </row>
    <row r="820" ht="13.5" customHeight="1">
      <c r="A820" s="473"/>
      <c r="B820" s="412"/>
      <c r="C820" s="412"/>
      <c r="D820" s="412"/>
      <c r="E820" s="412"/>
      <c r="F820" s="412"/>
      <c r="G820" s="412"/>
      <c r="H820" s="412"/>
      <c r="I820" s="412"/>
      <c r="J820" s="412"/>
      <c r="K820" s="412"/>
      <c r="L820" s="412"/>
      <c r="M820" s="412"/>
      <c r="N820" s="412"/>
      <c r="O820" s="412"/>
      <c r="P820" s="412"/>
      <c r="Q820" s="412"/>
      <c r="R820" s="412"/>
      <c r="S820" s="412"/>
      <c r="T820" s="412"/>
      <c r="U820" s="412"/>
      <c r="V820" s="412"/>
      <c r="W820" s="412"/>
      <c r="X820" s="412"/>
      <c r="Y820" s="412"/>
      <c r="Z820" s="412"/>
    </row>
    <row r="821" ht="13.5" customHeight="1">
      <c r="A821" s="473"/>
      <c r="B821" s="412"/>
      <c r="C821" s="412"/>
      <c r="D821" s="412"/>
      <c r="E821" s="412"/>
      <c r="F821" s="412"/>
      <c r="G821" s="412"/>
      <c r="H821" s="412"/>
      <c r="I821" s="412"/>
      <c r="J821" s="412"/>
      <c r="K821" s="412"/>
      <c r="L821" s="412"/>
      <c r="M821" s="412"/>
      <c r="N821" s="412"/>
      <c r="O821" s="412"/>
      <c r="P821" s="412"/>
      <c r="Q821" s="412"/>
      <c r="R821" s="412"/>
      <c r="S821" s="412"/>
      <c r="T821" s="412"/>
      <c r="U821" s="412"/>
      <c r="V821" s="412"/>
      <c r="W821" s="412"/>
      <c r="X821" s="412"/>
      <c r="Y821" s="412"/>
      <c r="Z821" s="412"/>
    </row>
    <row r="822" ht="13.5" customHeight="1">
      <c r="A822" s="473"/>
      <c r="B822" s="412"/>
      <c r="C822" s="412"/>
      <c r="D822" s="412"/>
      <c r="E822" s="412"/>
      <c r="F822" s="412"/>
      <c r="G822" s="412"/>
      <c r="H822" s="412"/>
      <c r="I822" s="412"/>
      <c r="J822" s="412"/>
      <c r="K822" s="412"/>
      <c r="L822" s="412"/>
      <c r="M822" s="412"/>
      <c r="N822" s="412"/>
      <c r="O822" s="412"/>
      <c r="P822" s="412"/>
      <c r="Q822" s="412"/>
      <c r="R822" s="412"/>
      <c r="S822" s="412"/>
      <c r="T822" s="412"/>
      <c r="U822" s="412"/>
      <c r="V822" s="412"/>
      <c r="W822" s="412"/>
      <c r="X822" s="412"/>
      <c r="Y822" s="412"/>
      <c r="Z822" s="412"/>
    </row>
    <row r="823" ht="13.5" customHeight="1">
      <c r="A823" s="473"/>
      <c r="B823" s="412"/>
      <c r="C823" s="412"/>
      <c r="D823" s="412"/>
      <c r="E823" s="412"/>
      <c r="F823" s="412"/>
      <c r="G823" s="412"/>
      <c r="H823" s="412"/>
      <c r="I823" s="412"/>
      <c r="J823" s="412"/>
      <c r="K823" s="412"/>
      <c r="L823" s="412"/>
      <c r="M823" s="412"/>
      <c r="N823" s="412"/>
      <c r="O823" s="412"/>
      <c r="P823" s="412"/>
      <c r="Q823" s="412"/>
      <c r="R823" s="412"/>
      <c r="S823" s="412"/>
      <c r="T823" s="412"/>
      <c r="U823" s="412"/>
      <c r="V823" s="412"/>
      <c r="W823" s="412"/>
      <c r="X823" s="412"/>
      <c r="Y823" s="412"/>
      <c r="Z823" s="412"/>
    </row>
    <row r="824" ht="13.5" customHeight="1">
      <c r="A824" s="473"/>
      <c r="B824" s="412"/>
      <c r="C824" s="412"/>
      <c r="D824" s="412"/>
      <c r="E824" s="412"/>
      <c r="F824" s="412"/>
      <c r="G824" s="412"/>
      <c r="H824" s="412"/>
      <c r="I824" s="412"/>
      <c r="J824" s="412"/>
      <c r="K824" s="412"/>
      <c r="L824" s="412"/>
      <c r="M824" s="412"/>
      <c r="N824" s="412"/>
      <c r="O824" s="412"/>
      <c r="P824" s="412"/>
      <c r="Q824" s="412"/>
      <c r="R824" s="412"/>
      <c r="S824" s="412"/>
      <c r="T824" s="412"/>
      <c r="U824" s="412"/>
      <c r="V824" s="412"/>
      <c r="W824" s="412"/>
      <c r="X824" s="412"/>
      <c r="Y824" s="412"/>
      <c r="Z824" s="412"/>
    </row>
    <row r="825" ht="13.5" customHeight="1">
      <c r="A825" s="473"/>
      <c r="B825" s="412"/>
      <c r="C825" s="412"/>
      <c r="D825" s="412"/>
      <c r="E825" s="412"/>
      <c r="F825" s="412"/>
      <c r="G825" s="412"/>
      <c r="H825" s="412"/>
      <c r="I825" s="412"/>
      <c r="J825" s="412"/>
      <c r="K825" s="412"/>
      <c r="L825" s="412"/>
      <c r="M825" s="412"/>
      <c r="N825" s="412"/>
      <c r="O825" s="412"/>
      <c r="P825" s="412"/>
      <c r="Q825" s="412"/>
      <c r="R825" s="412"/>
      <c r="S825" s="412"/>
      <c r="T825" s="412"/>
      <c r="U825" s="412"/>
      <c r="V825" s="412"/>
      <c r="W825" s="412"/>
      <c r="X825" s="412"/>
      <c r="Y825" s="412"/>
      <c r="Z825" s="412"/>
    </row>
    <row r="826" ht="13.5" customHeight="1">
      <c r="A826" s="473"/>
      <c r="B826" s="412"/>
      <c r="C826" s="412"/>
      <c r="D826" s="412"/>
      <c r="E826" s="412"/>
      <c r="F826" s="412"/>
      <c r="G826" s="412"/>
      <c r="H826" s="412"/>
      <c r="I826" s="412"/>
      <c r="J826" s="412"/>
      <c r="K826" s="412"/>
      <c r="L826" s="412"/>
      <c r="M826" s="412"/>
      <c r="N826" s="412"/>
      <c r="O826" s="412"/>
      <c r="P826" s="412"/>
      <c r="Q826" s="412"/>
      <c r="R826" s="412"/>
      <c r="S826" s="412"/>
      <c r="T826" s="412"/>
      <c r="U826" s="412"/>
      <c r="V826" s="412"/>
      <c r="W826" s="412"/>
      <c r="X826" s="412"/>
      <c r="Y826" s="412"/>
      <c r="Z826" s="412"/>
    </row>
    <row r="827" ht="13.5" customHeight="1">
      <c r="A827" s="473"/>
      <c r="B827" s="412"/>
      <c r="C827" s="412"/>
      <c r="D827" s="412"/>
      <c r="E827" s="412"/>
      <c r="F827" s="412"/>
      <c r="G827" s="412"/>
      <c r="H827" s="412"/>
      <c r="I827" s="412"/>
      <c r="J827" s="412"/>
      <c r="K827" s="412"/>
      <c r="L827" s="412"/>
      <c r="M827" s="412"/>
      <c r="N827" s="412"/>
      <c r="O827" s="412"/>
      <c r="P827" s="412"/>
      <c r="Q827" s="412"/>
      <c r="R827" s="412"/>
      <c r="S827" s="412"/>
      <c r="T827" s="412"/>
      <c r="U827" s="412"/>
      <c r="V827" s="412"/>
      <c r="W827" s="412"/>
      <c r="X827" s="412"/>
      <c r="Y827" s="412"/>
      <c r="Z827" s="412"/>
    </row>
    <row r="828" ht="13.5" customHeight="1">
      <c r="A828" s="473"/>
      <c r="B828" s="412"/>
      <c r="C828" s="412"/>
      <c r="D828" s="412"/>
      <c r="E828" s="412"/>
      <c r="F828" s="412"/>
      <c r="G828" s="412"/>
      <c r="H828" s="412"/>
      <c r="I828" s="412"/>
      <c r="J828" s="412"/>
      <c r="K828" s="412"/>
      <c r="L828" s="412"/>
      <c r="M828" s="412"/>
      <c r="N828" s="412"/>
      <c r="O828" s="412"/>
      <c r="P828" s="412"/>
      <c r="Q828" s="412"/>
      <c r="R828" s="412"/>
      <c r="S828" s="412"/>
      <c r="T828" s="412"/>
      <c r="U828" s="412"/>
      <c r="V828" s="412"/>
      <c r="W828" s="412"/>
      <c r="X828" s="412"/>
      <c r="Y828" s="412"/>
      <c r="Z828" s="412"/>
    </row>
    <row r="829" ht="13.5" customHeight="1">
      <c r="A829" s="473"/>
      <c r="B829" s="412"/>
      <c r="C829" s="412"/>
      <c r="D829" s="412"/>
      <c r="E829" s="412"/>
      <c r="F829" s="412"/>
      <c r="G829" s="412"/>
      <c r="H829" s="412"/>
      <c r="I829" s="412"/>
      <c r="J829" s="412"/>
      <c r="K829" s="412"/>
      <c r="L829" s="412"/>
      <c r="M829" s="412"/>
      <c r="N829" s="412"/>
      <c r="O829" s="412"/>
      <c r="P829" s="412"/>
      <c r="Q829" s="412"/>
      <c r="R829" s="412"/>
      <c r="S829" s="412"/>
      <c r="T829" s="412"/>
      <c r="U829" s="412"/>
      <c r="V829" s="412"/>
      <c r="W829" s="412"/>
      <c r="X829" s="412"/>
      <c r="Y829" s="412"/>
      <c r="Z829" s="412"/>
    </row>
    <row r="830" ht="13.5" customHeight="1">
      <c r="A830" s="473"/>
      <c r="B830" s="412"/>
      <c r="C830" s="412"/>
      <c r="D830" s="412"/>
      <c r="E830" s="412"/>
      <c r="F830" s="412"/>
      <c r="G830" s="412"/>
      <c r="H830" s="412"/>
      <c r="I830" s="412"/>
      <c r="J830" s="412"/>
      <c r="K830" s="412"/>
      <c r="L830" s="412"/>
      <c r="M830" s="412"/>
      <c r="N830" s="412"/>
      <c r="O830" s="412"/>
      <c r="P830" s="412"/>
      <c r="Q830" s="412"/>
      <c r="R830" s="412"/>
      <c r="S830" s="412"/>
      <c r="T830" s="412"/>
      <c r="U830" s="412"/>
      <c r="V830" s="412"/>
      <c r="W830" s="412"/>
      <c r="X830" s="412"/>
      <c r="Y830" s="412"/>
      <c r="Z830" s="412"/>
    </row>
    <row r="831" ht="13.5" customHeight="1">
      <c r="A831" s="473"/>
      <c r="B831" s="412"/>
      <c r="C831" s="412"/>
      <c r="D831" s="412"/>
      <c r="E831" s="412"/>
      <c r="F831" s="412"/>
      <c r="G831" s="412"/>
      <c r="H831" s="412"/>
      <c r="I831" s="412"/>
      <c r="J831" s="412"/>
      <c r="K831" s="412"/>
      <c r="L831" s="412"/>
      <c r="M831" s="412"/>
      <c r="N831" s="412"/>
      <c r="O831" s="412"/>
      <c r="P831" s="412"/>
      <c r="Q831" s="412"/>
      <c r="R831" s="412"/>
      <c r="S831" s="412"/>
      <c r="T831" s="412"/>
      <c r="U831" s="412"/>
      <c r="V831" s="412"/>
      <c r="W831" s="412"/>
      <c r="X831" s="412"/>
      <c r="Y831" s="412"/>
      <c r="Z831" s="412"/>
    </row>
    <row r="832" ht="13.5" customHeight="1">
      <c r="A832" s="473"/>
      <c r="B832" s="412"/>
      <c r="C832" s="412"/>
      <c r="D832" s="412"/>
      <c r="E832" s="412"/>
      <c r="F832" s="412"/>
      <c r="G832" s="412"/>
      <c r="H832" s="412"/>
      <c r="I832" s="412"/>
      <c r="J832" s="412"/>
      <c r="K832" s="412"/>
      <c r="L832" s="412"/>
      <c r="M832" s="412"/>
      <c r="N832" s="412"/>
      <c r="O832" s="412"/>
      <c r="P832" s="412"/>
      <c r="Q832" s="412"/>
      <c r="R832" s="412"/>
      <c r="S832" s="412"/>
      <c r="T832" s="412"/>
      <c r="U832" s="412"/>
      <c r="V832" s="412"/>
      <c r="W832" s="412"/>
      <c r="X832" s="412"/>
      <c r="Y832" s="412"/>
      <c r="Z832" s="412"/>
    </row>
    <row r="833" ht="13.5" customHeight="1">
      <c r="A833" s="473"/>
      <c r="B833" s="412"/>
      <c r="C833" s="412"/>
      <c r="D833" s="412"/>
      <c r="E833" s="412"/>
      <c r="F833" s="412"/>
      <c r="G833" s="412"/>
      <c r="H833" s="412"/>
      <c r="I833" s="412"/>
      <c r="J833" s="412"/>
      <c r="K833" s="412"/>
      <c r="L833" s="412"/>
      <c r="M833" s="412"/>
      <c r="N833" s="412"/>
      <c r="O833" s="412"/>
      <c r="P833" s="412"/>
      <c r="Q833" s="412"/>
      <c r="R833" s="412"/>
      <c r="S833" s="412"/>
      <c r="T833" s="412"/>
      <c r="U833" s="412"/>
      <c r="V833" s="412"/>
      <c r="W833" s="412"/>
      <c r="X833" s="412"/>
      <c r="Y833" s="412"/>
      <c r="Z833" s="412"/>
    </row>
    <row r="834" ht="13.5" customHeight="1">
      <c r="A834" s="473"/>
      <c r="B834" s="412"/>
      <c r="C834" s="412"/>
      <c r="D834" s="412"/>
      <c r="E834" s="412"/>
      <c r="F834" s="412"/>
      <c r="G834" s="412"/>
      <c r="H834" s="412"/>
      <c r="I834" s="412"/>
      <c r="J834" s="412"/>
      <c r="K834" s="412"/>
      <c r="L834" s="412"/>
      <c r="M834" s="412"/>
      <c r="N834" s="412"/>
      <c r="O834" s="412"/>
      <c r="P834" s="412"/>
      <c r="Q834" s="412"/>
      <c r="R834" s="412"/>
      <c r="S834" s="412"/>
      <c r="T834" s="412"/>
      <c r="U834" s="412"/>
      <c r="V834" s="412"/>
      <c r="W834" s="412"/>
      <c r="X834" s="412"/>
      <c r="Y834" s="412"/>
      <c r="Z834" s="412"/>
    </row>
    <row r="835" ht="13.5" customHeight="1">
      <c r="A835" s="473"/>
      <c r="B835" s="412"/>
      <c r="C835" s="412"/>
      <c r="D835" s="412"/>
      <c r="E835" s="412"/>
      <c r="F835" s="412"/>
      <c r="G835" s="412"/>
      <c r="H835" s="412"/>
      <c r="I835" s="412"/>
      <c r="J835" s="412"/>
      <c r="K835" s="412"/>
      <c r="L835" s="412"/>
      <c r="M835" s="412"/>
      <c r="N835" s="412"/>
      <c r="O835" s="412"/>
      <c r="P835" s="412"/>
      <c r="Q835" s="412"/>
      <c r="R835" s="412"/>
      <c r="S835" s="412"/>
      <c r="T835" s="412"/>
      <c r="U835" s="412"/>
      <c r="V835" s="412"/>
      <c r="W835" s="412"/>
      <c r="X835" s="412"/>
      <c r="Y835" s="412"/>
      <c r="Z835" s="412"/>
    </row>
    <row r="836" ht="13.5" customHeight="1">
      <c r="A836" s="473"/>
      <c r="B836" s="412"/>
      <c r="C836" s="412"/>
      <c r="D836" s="412"/>
      <c r="E836" s="412"/>
      <c r="F836" s="412"/>
      <c r="G836" s="412"/>
      <c r="H836" s="412"/>
      <c r="I836" s="412"/>
      <c r="J836" s="412"/>
      <c r="K836" s="412"/>
      <c r="L836" s="412"/>
      <c r="M836" s="412"/>
      <c r="N836" s="412"/>
      <c r="O836" s="412"/>
      <c r="P836" s="412"/>
      <c r="Q836" s="412"/>
      <c r="R836" s="412"/>
      <c r="S836" s="412"/>
      <c r="T836" s="412"/>
      <c r="U836" s="412"/>
      <c r="V836" s="412"/>
      <c r="W836" s="412"/>
      <c r="X836" s="412"/>
      <c r="Y836" s="412"/>
      <c r="Z836" s="412"/>
    </row>
    <row r="837" ht="13.5" customHeight="1">
      <c r="A837" s="473"/>
      <c r="B837" s="412"/>
      <c r="C837" s="412"/>
      <c r="D837" s="412"/>
      <c r="E837" s="412"/>
      <c r="F837" s="412"/>
      <c r="G837" s="412"/>
      <c r="H837" s="412"/>
      <c r="I837" s="412"/>
      <c r="J837" s="412"/>
      <c r="K837" s="412"/>
      <c r="L837" s="412"/>
      <c r="M837" s="412"/>
      <c r="N837" s="412"/>
      <c r="O837" s="412"/>
      <c r="P837" s="412"/>
      <c r="Q837" s="412"/>
      <c r="R837" s="412"/>
      <c r="S837" s="412"/>
      <c r="T837" s="412"/>
      <c r="U837" s="412"/>
      <c r="V837" s="412"/>
      <c r="W837" s="412"/>
      <c r="X837" s="412"/>
      <c r="Y837" s="412"/>
      <c r="Z837" s="412"/>
    </row>
    <row r="838" ht="13.5" customHeight="1">
      <c r="A838" s="473"/>
      <c r="B838" s="412"/>
      <c r="C838" s="412"/>
      <c r="D838" s="412"/>
      <c r="E838" s="412"/>
      <c r="F838" s="412"/>
      <c r="G838" s="412"/>
      <c r="H838" s="412"/>
      <c r="I838" s="412"/>
      <c r="J838" s="412"/>
      <c r="K838" s="412"/>
      <c r="L838" s="412"/>
      <c r="M838" s="412"/>
      <c r="N838" s="412"/>
      <c r="O838" s="412"/>
      <c r="P838" s="412"/>
      <c r="Q838" s="412"/>
      <c r="R838" s="412"/>
      <c r="S838" s="412"/>
      <c r="T838" s="412"/>
      <c r="U838" s="412"/>
      <c r="V838" s="412"/>
      <c r="W838" s="412"/>
      <c r="X838" s="412"/>
      <c r="Y838" s="412"/>
      <c r="Z838" s="412"/>
    </row>
    <row r="839" ht="13.5" customHeight="1">
      <c r="A839" s="473"/>
      <c r="B839" s="412"/>
      <c r="C839" s="412"/>
      <c r="D839" s="412"/>
      <c r="E839" s="412"/>
      <c r="F839" s="412"/>
      <c r="G839" s="412"/>
      <c r="H839" s="412"/>
      <c r="I839" s="412"/>
      <c r="J839" s="412"/>
      <c r="K839" s="412"/>
      <c r="L839" s="412"/>
      <c r="M839" s="412"/>
      <c r="N839" s="412"/>
      <c r="O839" s="412"/>
      <c r="P839" s="412"/>
      <c r="Q839" s="412"/>
      <c r="R839" s="412"/>
      <c r="S839" s="412"/>
      <c r="T839" s="412"/>
      <c r="U839" s="412"/>
      <c r="V839" s="412"/>
      <c r="W839" s="412"/>
      <c r="X839" s="412"/>
      <c r="Y839" s="412"/>
      <c r="Z839" s="412"/>
    </row>
    <row r="840" ht="13.5" customHeight="1">
      <c r="A840" s="473"/>
      <c r="B840" s="412"/>
      <c r="C840" s="412"/>
      <c r="D840" s="412"/>
      <c r="E840" s="412"/>
      <c r="F840" s="412"/>
      <c r="G840" s="412"/>
      <c r="H840" s="412"/>
      <c r="I840" s="412"/>
      <c r="J840" s="412"/>
      <c r="K840" s="412"/>
      <c r="L840" s="412"/>
      <c r="M840" s="412"/>
      <c r="N840" s="412"/>
      <c r="O840" s="412"/>
      <c r="P840" s="412"/>
      <c r="Q840" s="412"/>
      <c r="R840" s="412"/>
      <c r="S840" s="412"/>
      <c r="T840" s="412"/>
      <c r="U840" s="412"/>
      <c r="V840" s="412"/>
      <c r="W840" s="412"/>
      <c r="X840" s="412"/>
      <c r="Y840" s="412"/>
      <c r="Z840" s="412"/>
    </row>
    <row r="841" ht="13.5" customHeight="1">
      <c r="A841" s="473"/>
      <c r="B841" s="412"/>
      <c r="C841" s="412"/>
      <c r="D841" s="412"/>
      <c r="E841" s="412"/>
      <c r="F841" s="412"/>
      <c r="G841" s="412"/>
      <c r="H841" s="412"/>
      <c r="I841" s="412"/>
      <c r="J841" s="412"/>
      <c r="K841" s="412"/>
      <c r="L841" s="412"/>
      <c r="M841" s="412"/>
      <c r="N841" s="412"/>
      <c r="O841" s="412"/>
      <c r="P841" s="412"/>
      <c r="Q841" s="412"/>
      <c r="R841" s="412"/>
      <c r="S841" s="412"/>
      <c r="T841" s="412"/>
      <c r="U841" s="412"/>
      <c r="V841" s="412"/>
      <c r="W841" s="412"/>
      <c r="X841" s="412"/>
      <c r="Y841" s="412"/>
      <c r="Z841" s="412"/>
    </row>
    <row r="842" ht="13.5" customHeight="1">
      <c r="A842" s="473"/>
      <c r="B842" s="412"/>
      <c r="C842" s="412"/>
      <c r="D842" s="412"/>
      <c r="E842" s="412"/>
      <c r="F842" s="412"/>
      <c r="G842" s="412"/>
      <c r="H842" s="412"/>
      <c r="I842" s="412"/>
      <c r="J842" s="412"/>
      <c r="K842" s="412"/>
      <c r="L842" s="412"/>
      <c r="M842" s="412"/>
      <c r="N842" s="412"/>
      <c r="O842" s="412"/>
      <c r="P842" s="412"/>
      <c r="Q842" s="412"/>
      <c r="R842" s="412"/>
      <c r="S842" s="412"/>
      <c r="T842" s="412"/>
      <c r="U842" s="412"/>
      <c r="V842" s="412"/>
      <c r="W842" s="412"/>
      <c r="X842" s="412"/>
      <c r="Y842" s="412"/>
      <c r="Z842" s="412"/>
    </row>
    <row r="843" ht="13.5" customHeight="1">
      <c r="A843" s="473"/>
      <c r="B843" s="412"/>
      <c r="C843" s="412"/>
      <c r="D843" s="412"/>
      <c r="E843" s="412"/>
      <c r="F843" s="412"/>
      <c r="G843" s="412"/>
      <c r="H843" s="412"/>
      <c r="I843" s="412"/>
      <c r="J843" s="412"/>
      <c r="K843" s="412"/>
      <c r="L843" s="412"/>
      <c r="M843" s="412"/>
      <c r="N843" s="412"/>
      <c r="O843" s="412"/>
      <c r="P843" s="412"/>
      <c r="Q843" s="412"/>
      <c r="R843" s="412"/>
      <c r="S843" s="412"/>
      <c r="T843" s="412"/>
      <c r="U843" s="412"/>
      <c r="V843" s="412"/>
      <c r="W843" s="412"/>
      <c r="X843" s="412"/>
      <c r="Y843" s="412"/>
      <c r="Z843" s="412"/>
    </row>
    <row r="844" ht="13.5" customHeight="1">
      <c r="A844" s="473"/>
      <c r="B844" s="412"/>
      <c r="C844" s="412"/>
      <c r="D844" s="412"/>
      <c r="E844" s="412"/>
      <c r="F844" s="412"/>
      <c r="G844" s="412"/>
      <c r="H844" s="412"/>
      <c r="I844" s="412"/>
      <c r="J844" s="412"/>
      <c r="K844" s="412"/>
      <c r="L844" s="412"/>
      <c r="M844" s="412"/>
      <c r="N844" s="412"/>
      <c r="O844" s="412"/>
      <c r="P844" s="412"/>
      <c r="Q844" s="412"/>
      <c r="R844" s="412"/>
      <c r="S844" s="412"/>
      <c r="T844" s="412"/>
      <c r="U844" s="412"/>
      <c r="V844" s="412"/>
      <c r="W844" s="412"/>
      <c r="X844" s="412"/>
      <c r="Y844" s="412"/>
      <c r="Z844" s="412"/>
    </row>
    <row r="845" ht="13.5" customHeight="1">
      <c r="A845" s="473"/>
      <c r="B845" s="412"/>
      <c r="C845" s="412"/>
      <c r="D845" s="412"/>
      <c r="E845" s="412"/>
      <c r="F845" s="412"/>
      <c r="G845" s="412"/>
      <c r="H845" s="412"/>
      <c r="I845" s="412"/>
      <c r="J845" s="412"/>
      <c r="K845" s="412"/>
      <c r="L845" s="412"/>
      <c r="M845" s="412"/>
      <c r="N845" s="412"/>
      <c r="O845" s="412"/>
      <c r="P845" s="412"/>
      <c r="Q845" s="412"/>
      <c r="R845" s="412"/>
      <c r="S845" s="412"/>
      <c r="T845" s="412"/>
      <c r="U845" s="412"/>
      <c r="V845" s="412"/>
      <c r="W845" s="412"/>
      <c r="X845" s="412"/>
      <c r="Y845" s="412"/>
      <c r="Z845" s="412"/>
    </row>
    <row r="846" ht="13.5" customHeight="1">
      <c r="A846" s="473"/>
      <c r="B846" s="412"/>
      <c r="C846" s="412"/>
      <c r="D846" s="412"/>
      <c r="E846" s="412"/>
      <c r="F846" s="412"/>
      <c r="G846" s="412"/>
      <c r="H846" s="412"/>
      <c r="I846" s="412"/>
      <c r="J846" s="412"/>
      <c r="K846" s="412"/>
      <c r="L846" s="412"/>
      <c r="M846" s="412"/>
      <c r="N846" s="412"/>
      <c r="O846" s="412"/>
      <c r="P846" s="412"/>
      <c r="Q846" s="412"/>
      <c r="R846" s="412"/>
      <c r="S846" s="412"/>
      <c r="T846" s="412"/>
      <c r="U846" s="412"/>
      <c r="V846" s="412"/>
      <c r="W846" s="412"/>
      <c r="X846" s="412"/>
      <c r="Y846" s="412"/>
      <c r="Z846" s="412"/>
    </row>
    <row r="847" ht="13.5" customHeight="1">
      <c r="A847" s="473"/>
      <c r="B847" s="412"/>
      <c r="C847" s="412"/>
      <c r="D847" s="412"/>
      <c r="E847" s="412"/>
      <c r="F847" s="412"/>
      <c r="G847" s="412"/>
      <c r="H847" s="412"/>
      <c r="I847" s="412"/>
      <c r="J847" s="412"/>
      <c r="K847" s="412"/>
      <c r="L847" s="412"/>
      <c r="M847" s="412"/>
      <c r="N847" s="412"/>
      <c r="O847" s="412"/>
      <c r="P847" s="412"/>
      <c r="Q847" s="412"/>
      <c r="R847" s="412"/>
      <c r="S847" s="412"/>
      <c r="T847" s="412"/>
      <c r="U847" s="412"/>
      <c r="V847" s="412"/>
      <c r="W847" s="412"/>
      <c r="X847" s="412"/>
      <c r="Y847" s="412"/>
      <c r="Z847" s="412"/>
    </row>
    <row r="848" ht="13.5" customHeight="1">
      <c r="A848" s="473"/>
      <c r="B848" s="412"/>
      <c r="C848" s="412"/>
      <c r="D848" s="412"/>
      <c r="E848" s="412"/>
      <c r="F848" s="412"/>
      <c r="G848" s="412"/>
      <c r="H848" s="412"/>
      <c r="I848" s="412"/>
      <c r="J848" s="412"/>
      <c r="K848" s="412"/>
      <c r="L848" s="412"/>
      <c r="M848" s="412"/>
      <c r="N848" s="412"/>
      <c r="O848" s="412"/>
      <c r="P848" s="412"/>
      <c r="Q848" s="412"/>
      <c r="R848" s="412"/>
      <c r="S848" s="412"/>
      <c r="T848" s="412"/>
      <c r="U848" s="412"/>
      <c r="V848" s="412"/>
      <c r="W848" s="412"/>
      <c r="X848" s="412"/>
      <c r="Y848" s="412"/>
      <c r="Z848" s="412"/>
    </row>
    <row r="849" ht="13.5" customHeight="1">
      <c r="A849" s="473"/>
      <c r="B849" s="412"/>
      <c r="C849" s="412"/>
      <c r="D849" s="412"/>
      <c r="E849" s="412"/>
      <c r="F849" s="412"/>
      <c r="G849" s="412"/>
      <c r="H849" s="412"/>
      <c r="I849" s="412"/>
      <c r="J849" s="412"/>
      <c r="K849" s="412"/>
      <c r="L849" s="412"/>
      <c r="M849" s="412"/>
      <c r="N849" s="412"/>
      <c r="O849" s="412"/>
      <c r="P849" s="412"/>
      <c r="Q849" s="412"/>
      <c r="R849" s="412"/>
      <c r="S849" s="412"/>
      <c r="T849" s="412"/>
      <c r="U849" s="412"/>
      <c r="V849" s="412"/>
      <c r="W849" s="412"/>
      <c r="X849" s="412"/>
      <c r="Y849" s="412"/>
      <c r="Z849" s="412"/>
    </row>
    <row r="850" ht="13.5" customHeight="1">
      <c r="A850" s="473"/>
      <c r="B850" s="412"/>
      <c r="C850" s="412"/>
      <c r="D850" s="412"/>
      <c r="E850" s="412"/>
      <c r="F850" s="412"/>
      <c r="G850" s="412"/>
      <c r="H850" s="412"/>
      <c r="I850" s="412"/>
      <c r="J850" s="412"/>
      <c r="K850" s="412"/>
      <c r="L850" s="412"/>
      <c r="M850" s="412"/>
      <c r="N850" s="412"/>
      <c r="O850" s="412"/>
      <c r="P850" s="412"/>
      <c r="Q850" s="412"/>
      <c r="R850" s="412"/>
      <c r="S850" s="412"/>
      <c r="T850" s="412"/>
      <c r="U850" s="412"/>
      <c r="V850" s="412"/>
      <c r="W850" s="412"/>
      <c r="X850" s="412"/>
      <c r="Y850" s="412"/>
      <c r="Z850" s="412"/>
    </row>
    <row r="851" ht="13.5" customHeight="1">
      <c r="A851" s="473"/>
      <c r="B851" s="412"/>
      <c r="C851" s="412"/>
      <c r="D851" s="412"/>
      <c r="E851" s="412"/>
      <c r="F851" s="412"/>
      <c r="G851" s="412"/>
      <c r="H851" s="412"/>
      <c r="I851" s="412"/>
      <c r="J851" s="412"/>
      <c r="K851" s="412"/>
      <c r="L851" s="412"/>
      <c r="M851" s="412"/>
      <c r="N851" s="412"/>
      <c r="O851" s="412"/>
      <c r="P851" s="412"/>
      <c r="Q851" s="412"/>
      <c r="R851" s="412"/>
      <c r="S851" s="412"/>
      <c r="T851" s="412"/>
      <c r="U851" s="412"/>
      <c r="V851" s="412"/>
      <c r="W851" s="412"/>
      <c r="X851" s="412"/>
      <c r="Y851" s="412"/>
      <c r="Z851" s="412"/>
    </row>
    <row r="852" ht="13.5" customHeight="1">
      <c r="A852" s="473"/>
      <c r="B852" s="412"/>
      <c r="C852" s="412"/>
      <c r="D852" s="412"/>
      <c r="E852" s="412"/>
      <c r="F852" s="412"/>
      <c r="G852" s="412"/>
      <c r="H852" s="412"/>
      <c r="I852" s="412"/>
      <c r="J852" s="412"/>
      <c r="K852" s="412"/>
      <c r="L852" s="412"/>
      <c r="M852" s="412"/>
      <c r="N852" s="412"/>
      <c r="O852" s="412"/>
      <c r="P852" s="412"/>
      <c r="Q852" s="412"/>
      <c r="R852" s="412"/>
      <c r="S852" s="412"/>
      <c r="T852" s="412"/>
      <c r="U852" s="412"/>
      <c r="V852" s="412"/>
      <c r="W852" s="412"/>
      <c r="X852" s="412"/>
      <c r="Y852" s="412"/>
      <c r="Z852" s="412"/>
    </row>
    <row r="853" ht="13.5" customHeight="1">
      <c r="A853" s="473"/>
      <c r="B853" s="412"/>
      <c r="C853" s="412"/>
      <c r="D853" s="412"/>
      <c r="E853" s="412"/>
      <c r="F853" s="412"/>
      <c r="G853" s="412"/>
      <c r="H853" s="412"/>
      <c r="I853" s="412"/>
      <c r="J853" s="412"/>
      <c r="K853" s="412"/>
      <c r="L853" s="412"/>
      <c r="M853" s="412"/>
      <c r="N853" s="412"/>
      <c r="O853" s="412"/>
      <c r="P853" s="412"/>
      <c r="Q853" s="412"/>
      <c r="R853" s="412"/>
      <c r="S853" s="412"/>
      <c r="T853" s="412"/>
      <c r="U853" s="412"/>
      <c r="V853" s="412"/>
      <c r="W853" s="412"/>
      <c r="X853" s="412"/>
      <c r="Y853" s="412"/>
      <c r="Z853" s="412"/>
    </row>
    <row r="854" ht="13.5" customHeight="1">
      <c r="A854" s="473"/>
      <c r="B854" s="412"/>
      <c r="C854" s="412"/>
      <c r="D854" s="412"/>
      <c r="E854" s="412"/>
      <c r="F854" s="412"/>
      <c r="G854" s="412"/>
      <c r="H854" s="412"/>
      <c r="I854" s="412"/>
      <c r="J854" s="412"/>
      <c r="K854" s="412"/>
      <c r="L854" s="412"/>
      <c r="M854" s="412"/>
      <c r="N854" s="412"/>
      <c r="O854" s="412"/>
      <c r="P854" s="412"/>
      <c r="Q854" s="412"/>
      <c r="R854" s="412"/>
      <c r="S854" s="412"/>
      <c r="T854" s="412"/>
      <c r="U854" s="412"/>
      <c r="V854" s="412"/>
      <c r="W854" s="412"/>
      <c r="X854" s="412"/>
      <c r="Y854" s="412"/>
      <c r="Z854" s="412"/>
    </row>
    <row r="855" ht="13.5" customHeight="1">
      <c r="A855" s="473"/>
      <c r="B855" s="412"/>
      <c r="C855" s="412"/>
      <c r="D855" s="412"/>
      <c r="E855" s="412"/>
      <c r="F855" s="412"/>
      <c r="G855" s="412"/>
      <c r="H855" s="412"/>
      <c r="I855" s="412"/>
      <c r="J855" s="412"/>
      <c r="K855" s="412"/>
      <c r="L855" s="412"/>
      <c r="M855" s="412"/>
      <c r="N855" s="412"/>
      <c r="O855" s="412"/>
      <c r="P855" s="412"/>
      <c r="Q855" s="412"/>
      <c r="R855" s="412"/>
      <c r="S855" s="412"/>
      <c r="T855" s="412"/>
      <c r="U855" s="412"/>
      <c r="V855" s="412"/>
      <c r="W855" s="412"/>
      <c r="X855" s="412"/>
      <c r="Y855" s="412"/>
      <c r="Z855" s="412"/>
    </row>
    <row r="856" ht="13.5" customHeight="1">
      <c r="A856" s="473"/>
      <c r="B856" s="412"/>
      <c r="C856" s="412"/>
      <c r="D856" s="412"/>
      <c r="E856" s="412"/>
      <c r="F856" s="412"/>
      <c r="G856" s="412"/>
      <c r="H856" s="412"/>
      <c r="I856" s="412"/>
      <c r="J856" s="412"/>
      <c r="K856" s="412"/>
      <c r="L856" s="412"/>
      <c r="M856" s="412"/>
      <c r="N856" s="412"/>
      <c r="O856" s="412"/>
      <c r="P856" s="412"/>
      <c r="Q856" s="412"/>
      <c r="R856" s="412"/>
      <c r="S856" s="412"/>
      <c r="T856" s="412"/>
      <c r="U856" s="412"/>
      <c r="V856" s="412"/>
      <c r="W856" s="412"/>
      <c r="X856" s="412"/>
      <c r="Y856" s="412"/>
      <c r="Z856" s="412"/>
    </row>
    <row r="857" ht="13.5" customHeight="1">
      <c r="A857" s="473"/>
      <c r="B857" s="412"/>
      <c r="C857" s="412"/>
      <c r="D857" s="412"/>
      <c r="E857" s="412"/>
      <c r="F857" s="412"/>
      <c r="G857" s="412"/>
      <c r="H857" s="412"/>
      <c r="I857" s="412"/>
      <c r="J857" s="412"/>
      <c r="K857" s="412"/>
      <c r="L857" s="412"/>
      <c r="M857" s="412"/>
      <c r="N857" s="412"/>
      <c r="O857" s="412"/>
      <c r="P857" s="412"/>
      <c r="Q857" s="412"/>
      <c r="R857" s="412"/>
      <c r="S857" s="412"/>
      <c r="T857" s="412"/>
      <c r="U857" s="412"/>
      <c r="V857" s="412"/>
      <c r="W857" s="412"/>
      <c r="X857" s="412"/>
      <c r="Y857" s="412"/>
      <c r="Z857" s="412"/>
    </row>
    <row r="858" ht="13.5" customHeight="1">
      <c r="A858" s="473"/>
      <c r="B858" s="412"/>
      <c r="C858" s="412"/>
      <c r="D858" s="412"/>
      <c r="E858" s="412"/>
      <c r="F858" s="412"/>
      <c r="G858" s="412"/>
      <c r="H858" s="412"/>
      <c r="I858" s="412"/>
      <c r="J858" s="412"/>
      <c r="K858" s="412"/>
      <c r="L858" s="412"/>
      <c r="M858" s="412"/>
      <c r="N858" s="412"/>
      <c r="O858" s="412"/>
      <c r="P858" s="412"/>
      <c r="Q858" s="412"/>
      <c r="R858" s="412"/>
      <c r="S858" s="412"/>
      <c r="T858" s="412"/>
      <c r="U858" s="412"/>
      <c r="V858" s="412"/>
      <c r="W858" s="412"/>
      <c r="X858" s="412"/>
      <c r="Y858" s="412"/>
      <c r="Z858" s="412"/>
    </row>
    <row r="859" ht="13.5" customHeight="1">
      <c r="A859" s="473"/>
      <c r="B859" s="412"/>
      <c r="C859" s="412"/>
      <c r="D859" s="412"/>
      <c r="E859" s="412"/>
      <c r="F859" s="412"/>
      <c r="G859" s="412"/>
      <c r="H859" s="412"/>
      <c r="I859" s="412"/>
      <c r="J859" s="412"/>
      <c r="K859" s="412"/>
      <c r="L859" s="412"/>
      <c r="M859" s="412"/>
      <c r="N859" s="412"/>
      <c r="O859" s="412"/>
      <c r="P859" s="412"/>
      <c r="Q859" s="412"/>
      <c r="R859" s="412"/>
      <c r="S859" s="412"/>
      <c r="T859" s="412"/>
      <c r="U859" s="412"/>
      <c r="V859" s="412"/>
      <c r="W859" s="412"/>
      <c r="X859" s="412"/>
      <c r="Y859" s="412"/>
      <c r="Z859" s="412"/>
    </row>
    <row r="860" ht="13.5" customHeight="1">
      <c r="A860" s="473"/>
      <c r="B860" s="412"/>
      <c r="C860" s="412"/>
      <c r="D860" s="412"/>
      <c r="E860" s="412"/>
      <c r="F860" s="412"/>
      <c r="G860" s="412"/>
      <c r="H860" s="412"/>
      <c r="I860" s="412"/>
      <c r="J860" s="412"/>
      <c r="K860" s="412"/>
      <c r="L860" s="412"/>
      <c r="M860" s="412"/>
      <c r="N860" s="412"/>
      <c r="O860" s="412"/>
      <c r="P860" s="412"/>
      <c r="Q860" s="412"/>
      <c r="R860" s="412"/>
      <c r="S860" s="412"/>
      <c r="T860" s="412"/>
      <c r="U860" s="412"/>
      <c r="V860" s="412"/>
      <c r="W860" s="412"/>
      <c r="X860" s="412"/>
      <c r="Y860" s="412"/>
      <c r="Z860" s="412"/>
    </row>
    <row r="861" ht="13.5" customHeight="1">
      <c r="A861" s="473"/>
      <c r="B861" s="412"/>
      <c r="C861" s="412"/>
      <c r="D861" s="412"/>
      <c r="E861" s="412"/>
      <c r="F861" s="412"/>
      <c r="G861" s="412"/>
      <c r="H861" s="412"/>
      <c r="I861" s="412"/>
      <c r="J861" s="412"/>
      <c r="K861" s="412"/>
      <c r="L861" s="412"/>
      <c r="M861" s="412"/>
      <c r="N861" s="412"/>
      <c r="O861" s="412"/>
      <c r="P861" s="412"/>
      <c r="Q861" s="412"/>
      <c r="R861" s="412"/>
      <c r="S861" s="412"/>
      <c r="T861" s="412"/>
      <c r="U861" s="412"/>
      <c r="V861" s="412"/>
      <c r="W861" s="412"/>
      <c r="X861" s="412"/>
      <c r="Y861" s="412"/>
      <c r="Z861" s="412"/>
    </row>
    <row r="862" ht="13.5" customHeight="1">
      <c r="A862" s="473"/>
      <c r="B862" s="412"/>
      <c r="C862" s="412"/>
      <c r="D862" s="412"/>
      <c r="E862" s="412"/>
      <c r="F862" s="412"/>
      <c r="G862" s="412"/>
      <c r="H862" s="412"/>
      <c r="I862" s="412"/>
      <c r="J862" s="412"/>
      <c r="K862" s="412"/>
      <c r="L862" s="412"/>
      <c r="M862" s="412"/>
      <c r="N862" s="412"/>
      <c r="O862" s="412"/>
      <c r="P862" s="412"/>
      <c r="Q862" s="412"/>
      <c r="R862" s="412"/>
      <c r="S862" s="412"/>
      <c r="T862" s="412"/>
      <c r="U862" s="412"/>
      <c r="V862" s="412"/>
      <c r="W862" s="412"/>
      <c r="X862" s="412"/>
      <c r="Y862" s="412"/>
      <c r="Z862" s="412"/>
    </row>
    <row r="863" ht="13.5" customHeight="1">
      <c r="A863" s="473"/>
      <c r="B863" s="412"/>
      <c r="C863" s="412"/>
      <c r="D863" s="412"/>
      <c r="E863" s="412"/>
      <c r="F863" s="412"/>
      <c r="G863" s="412"/>
      <c r="H863" s="412"/>
      <c r="I863" s="412"/>
      <c r="J863" s="412"/>
      <c r="K863" s="412"/>
      <c r="L863" s="412"/>
      <c r="M863" s="412"/>
      <c r="N863" s="412"/>
      <c r="O863" s="412"/>
      <c r="P863" s="412"/>
      <c r="Q863" s="412"/>
      <c r="R863" s="412"/>
      <c r="S863" s="412"/>
      <c r="T863" s="412"/>
      <c r="U863" s="412"/>
      <c r="V863" s="412"/>
      <c r="W863" s="412"/>
      <c r="X863" s="412"/>
      <c r="Y863" s="412"/>
      <c r="Z863" s="412"/>
    </row>
    <row r="864" ht="13.5" customHeight="1">
      <c r="A864" s="473"/>
      <c r="B864" s="412"/>
      <c r="C864" s="412"/>
      <c r="D864" s="412"/>
      <c r="E864" s="412"/>
      <c r="F864" s="412"/>
      <c r="G864" s="412"/>
      <c r="H864" s="412"/>
      <c r="I864" s="412"/>
      <c r="J864" s="412"/>
      <c r="K864" s="412"/>
      <c r="L864" s="412"/>
      <c r="M864" s="412"/>
      <c r="N864" s="412"/>
      <c r="O864" s="412"/>
      <c r="P864" s="412"/>
      <c r="Q864" s="412"/>
      <c r="R864" s="412"/>
      <c r="S864" s="412"/>
      <c r="T864" s="412"/>
      <c r="U864" s="412"/>
      <c r="V864" s="412"/>
      <c r="W864" s="412"/>
      <c r="X864" s="412"/>
      <c r="Y864" s="412"/>
      <c r="Z864" s="412"/>
    </row>
    <row r="865" ht="13.5" customHeight="1">
      <c r="A865" s="473"/>
      <c r="B865" s="412"/>
      <c r="C865" s="412"/>
      <c r="D865" s="412"/>
      <c r="E865" s="412"/>
      <c r="F865" s="412"/>
      <c r="G865" s="412"/>
      <c r="H865" s="412"/>
      <c r="I865" s="412"/>
      <c r="J865" s="412"/>
      <c r="K865" s="412"/>
      <c r="L865" s="412"/>
      <c r="M865" s="412"/>
      <c r="N865" s="412"/>
      <c r="O865" s="412"/>
      <c r="P865" s="412"/>
      <c r="Q865" s="412"/>
      <c r="R865" s="412"/>
      <c r="S865" s="412"/>
      <c r="T865" s="412"/>
      <c r="U865" s="412"/>
      <c r="V865" s="412"/>
      <c r="W865" s="412"/>
      <c r="X865" s="412"/>
      <c r="Y865" s="412"/>
      <c r="Z865" s="412"/>
    </row>
    <row r="866" ht="13.5" customHeight="1">
      <c r="A866" s="473"/>
      <c r="B866" s="412"/>
      <c r="C866" s="412"/>
      <c r="D866" s="412"/>
      <c r="E866" s="412"/>
      <c r="F866" s="412"/>
      <c r="G866" s="412"/>
      <c r="H866" s="412"/>
      <c r="I866" s="412"/>
      <c r="J866" s="412"/>
      <c r="K866" s="412"/>
      <c r="L866" s="412"/>
      <c r="M866" s="412"/>
      <c r="N866" s="412"/>
      <c r="O866" s="412"/>
      <c r="P866" s="412"/>
      <c r="Q866" s="412"/>
      <c r="R866" s="412"/>
      <c r="S866" s="412"/>
      <c r="T866" s="412"/>
      <c r="U866" s="412"/>
      <c r="V866" s="412"/>
      <c r="W866" s="412"/>
      <c r="X866" s="412"/>
      <c r="Y866" s="412"/>
      <c r="Z866" s="412"/>
    </row>
    <row r="867" ht="13.5" customHeight="1">
      <c r="A867" s="473"/>
      <c r="B867" s="412"/>
      <c r="C867" s="412"/>
      <c r="D867" s="412"/>
      <c r="E867" s="412"/>
      <c r="F867" s="412"/>
      <c r="G867" s="412"/>
      <c r="H867" s="412"/>
      <c r="I867" s="412"/>
      <c r="J867" s="412"/>
      <c r="K867" s="412"/>
      <c r="L867" s="412"/>
      <c r="M867" s="412"/>
      <c r="N867" s="412"/>
      <c r="O867" s="412"/>
      <c r="P867" s="412"/>
      <c r="Q867" s="412"/>
      <c r="R867" s="412"/>
      <c r="S867" s="412"/>
      <c r="T867" s="412"/>
      <c r="U867" s="412"/>
      <c r="V867" s="412"/>
      <c r="W867" s="412"/>
      <c r="X867" s="412"/>
      <c r="Y867" s="412"/>
      <c r="Z867" s="412"/>
    </row>
    <row r="868" ht="13.5" customHeight="1">
      <c r="A868" s="473"/>
      <c r="B868" s="412"/>
      <c r="C868" s="412"/>
      <c r="D868" s="412"/>
      <c r="E868" s="412"/>
      <c r="F868" s="412"/>
      <c r="G868" s="412"/>
      <c r="H868" s="412"/>
      <c r="I868" s="412"/>
      <c r="J868" s="412"/>
      <c r="K868" s="412"/>
      <c r="L868" s="412"/>
      <c r="M868" s="412"/>
      <c r="N868" s="412"/>
      <c r="O868" s="412"/>
      <c r="P868" s="412"/>
      <c r="Q868" s="412"/>
      <c r="R868" s="412"/>
      <c r="S868" s="412"/>
      <c r="T868" s="412"/>
      <c r="U868" s="412"/>
      <c r="V868" s="412"/>
      <c r="W868" s="412"/>
      <c r="X868" s="412"/>
      <c r="Y868" s="412"/>
      <c r="Z868" s="412"/>
    </row>
    <row r="869" ht="13.5" customHeight="1">
      <c r="A869" s="473"/>
      <c r="B869" s="412"/>
      <c r="C869" s="412"/>
      <c r="D869" s="412"/>
      <c r="E869" s="412"/>
      <c r="F869" s="412"/>
      <c r="G869" s="412"/>
      <c r="H869" s="412"/>
      <c r="I869" s="412"/>
      <c r="J869" s="412"/>
      <c r="K869" s="412"/>
      <c r="L869" s="412"/>
      <c r="M869" s="412"/>
      <c r="N869" s="412"/>
      <c r="O869" s="412"/>
      <c r="P869" s="412"/>
      <c r="Q869" s="412"/>
      <c r="R869" s="412"/>
      <c r="S869" s="412"/>
      <c r="T869" s="412"/>
      <c r="U869" s="412"/>
      <c r="V869" s="412"/>
      <c r="W869" s="412"/>
      <c r="X869" s="412"/>
      <c r="Y869" s="412"/>
      <c r="Z869" s="412"/>
    </row>
    <row r="870" ht="13.5" customHeight="1">
      <c r="A870" s="473"/>
      <c r="B870" s="412"/>
      <c r="C870" s="412"/>
      <c r="D870" s="412"/>
      <c r="E870" s="412"/>
      <c r="F870" s="412"/>
      <c r="G870" s="412"/>
      <c r="H870" s="412"/>
      <c r="I870" s="412"/>
      <c r="J870" s="412"/>
      <c r="K870" s="412"/>
      <c r="L870" s="412"/>
      <c r="M870" s="412"/>
      <c r="N870" s="412"/>
      <c r="O870" s="412"/>
      <c r="P870" s="412"/>
      <c r="Q870" s="412"/>
      <c r="R870" s="412"/>
      <c r="S870" s="412"/>
      <c r="T870" s="412"/>
      <c r="U870" s="412"/>
      <c r="V870" s="412"/>
      <c r="W870" s="412"/>
      <c r="X870" s="412"/>
      <c r="Y870" s="412"/>
      <c r="Z870" s="412"/>
    </row>
    <row r="871" ht="13.5" customHeight="1">
      <c r="A871" s="473"/>
      <c r="B871" s="412"/>
      <c r="C871" s="412"/>
      <c r="D871" s="412"/>
      <c r="E871" s="412"/>
      <c r="F871" s="412"/>
      <c r="G871" s="412"/>
      <c r="H871" s="412"/>
      <c r="I871" s="412"/>
      <c r="J871" s="412"/>
      <c r="K871" s="412"/>
      <c r="L871" s="412"/>
      <c r="M871" s="412"/>
      <c r="N871" s="412"/>
      <c r="O871" s="412"/>
      <c r="P871" s="412"/>
      <c r="Q871" s="412"/>
      <c r="R871" s="412"/>
      <c r="S871" s="412"/>
      <c r="T871" s="412"/>
      <c r="U871" s="412"/>
      <c r="V871" s="412"/>
      <c r="W871" s="412"/>
      <c r="X871" s="412"/>
      <c r="Y871" s="412"/>
      <c r="Z871" s="412"/>
    </row>
    <row r="872" ht="13.5" customHeight="1">
      <c r="A872" s="473"/>
      <c r="B872" s="412"/>
      <c r="C872" s="412"/>
      <c r="D872" s="412"/>
      <c r="E872" s="412"/>
      <c r="F872" s="412"/>
      <c r="G872" s="412"/>
      <c r="H872" s="412"/>
      <c r="I872" s="412"/>
      <c r="J872" s="412"/>
      <c r="K872" s="412"/>
      <c r="L872" s="412"/>
      <c r="M872" s="412"/>
      <c r="N872" s="412"/>
      <c r="O872" s="412"/>
      <c r="P872" s="412"/>
      <c r="Q872" s="412"/>
      <c r="R872" s="412"/>
      <c r="S872" s="412"/>
      <c r="T872" s="412"/>
      <c r="U872" s="412"/>
      <c r="V872" s="412"/>
      <c r="W872" s="412"/>
      <c r="X872" s="412"/>
      <c r="Y872" s="412"/>
      <c r="Z872" s="412"/>
    </row>
    <row r="873" ht="13.5" customHeight="1">
      <c r="A873" s="473"/>
      <c r="B873" s="412"/>
      <c r="C873" s="412"/>
      <c r="D873" s="412"/>
      <c r="E873" s="412"/>
      <c r="F873" s="412"/>
      <c r="G873" s="412"/>
      <c r="H873" s="412"/>
      <c r="I873" s="412"/>
      <c r="J873" s="412"/>
      <c r="K873" s="412"/>
      <c r="L873" s="412"/>
      <c r="M873" s="412"/>
      <c r="N873" s="412"/>
      <c r="O873" s="412"/>
      <c r="P873" s="412"/>
      <c r="Q873" s="412"/>
      <c r="R873" s="412"/>
      <c r="S873" s="412"/>
      <c r="T873" s="412"/>
      <c r="U873" s="412"/>
      <c r="V873" s="412"/>
      <c r="W873" s="412"/>
      <c r="X873" s="412"/>
      <c r="Y873" s="412"/>
      <c r="Z873" s="412"/>
    </row>
    <row r="874" ht="13.5" customHeight="1">
      <c r="A874" s="473"/>
      <c r="B874" s="412"/>
      <c r="C874" s="412"/>
      <c r="D874" s="412"/>
      <c r="E874" s="412"/>
      <c r="F874" s="412"/>
      <c r="G874" s="412"/>
      <c r="H874" s="412"/>
      <c r="I874" s="412"/>
      <c r="J874" s="412"/>
      <c r="K874" s="412"/>
      <c r="L874" s="412"/>
      <c r="M874" s="412"/>
      <c r="N874" s="412"/>
      <c r="O874" s="412"/>
      <c r="P874" s="412"/>
      <c r="Q874" s="412"/>
      <c r="R874" s="412"/>
      <c r="S874" s="412"/>
      <c r="T874" s="412"/>
      <c r="U874" s="412"/>
      <c r="V874" s="412"/>
      <c r="W874" s="412"/>
      <c r="X874" s="412"/>
      <c r="Y874" s="412"/>
      <c r="Z874" s="412"/>
    </row>
    <row r="875" ht="13.5" customHeight="1">
      <c r="A875" s="473"/>
      <c r="B875" s="412"/>
      <c r="C875" s="412"/>
      <c r="D875" s="412"/>
      <c r="E875" s="412"/>
      <c r="F875" s="412"/>
      <c r="G875" s="412"/>
      <c r="H875" s="412"/>
      <c r="I875" s="412"/>
      <c r="J875" s="412"/>
      <c r="K875" s="412"/>
      <c r="L875" s="412"/>
      <c r="M875" s="412"/>
      <c r="N875" s="412"/>
      <c r="O875" s="412"/>
      <c r="P875" s="412"/>
      <c r="Q875" s="412"/>
      <c r="R875" s="412"/>
      <c r="S875" s="412"/>
      <c r="T875" s="412"/>
      <c r="U875" s="412"/>
      <c r="V875" s="412"/>
      <c r="W875" s="412"/>
      <c r="X875" s="412"/>
      <c r="Y875" s="412"/>
      <c r="Z875" s="412"/>
    </row>
    <row r="876" ht="13.5" customHeight="1">
      <c r="A876" s="473"/>
      <c r="B876" s="412"/>
      <c r="C876" s="412"/>
      <c r="D876" s="412"/>
      <c r="E876" s="412"/>
      <c r="F876" s="412"/>
      <c r="G876" s="412"/>
      <c r="H876" s="412"/>
      <c r="I876" s="412"/>
      <c r="J876" s="412"/>
      <c r="K876" s="412"/>
      <c r="L876" s="412"/>
      <c r="M876" s="412"/>
      <c r="N876" s="412"/>
      <c r="O876" s="412"/>
      <c r="P876" s="412"/>
      <c r="Q876" s="412"/>
      <c r="R876" s="412"/>
      <c r="S876" s="412"/>
      <c r="T876" s="412"/>
      <c r="U876" s="412"/>
      <c r="V876" s="412"/>
      <c r="W876" s="412"/>
      <c r="X876" s="412"/>
      <c r="Y876" s="412"/>
      <c r="Z876" s="412"/>
    </row>
    <row r="877" ht="13.5" customHeight="1">
      <c r="A877" s="473"/>
      <c r="B877" s="412"/>
      <c r="C877" s="412"/>
      <c r="D877" s="412"/>
      <c r="E877" s="412"/>
      <c r="F877" s="412"/>
      <c r="G877" s="412"/>
      <c r="H877" s="412"/>
      <c r="I877" s="412"/>
      <c r="J877" s="412"/>
      <c r="K877" s="412"/>
      <c r="L877" s="412"/>
      <c r="M877" s="412"/>
      <c r="N877" s="412"/>
      <c r="O877" s="412"/>
      <c r="P877" s="412"/>
      <c r="Q877" s="412"/>
      <c r="R877" s="412"/>
      <c r="S877" s="412"/>
      <c r="T877" s="412"/>
      <c r="U877" s="412"/>
      <c r="V877" s="412"/>
      <c r="W877" s="412"/>
      <c r="X877" s="412"/>
      <c r="Y877" s="412"/>
      <c r="Z877" s="412"/>
    </row>
    <row r="878" ht="13.5" customHeight="1">
      <c r="A878" s="473"/>
      <c r="B878" s="412"/>
      <c r="C878" s="412"/>
      <c r="D878" s="412"/>
      <c r="E878" s="412"/>
      <c r="F878" s="412"/>
      <c r="G878" s="412"/>
      <c r="H878" s="412"/>
      <c r="I878" s="412"/>
      <c r="J878" s="412"/>
      <c r="K878" s="412"/>
      <c r="L878" s="412"/>
      <c r="M878" s="412"/>
      <c r="N878" s="412"/>
      <c r="O878" s="412"/>
      <c r="P878" s="412"/>
      <c r="Q878" s="412"/>
      <c r="R878" s="412"/>
      <c r="S878" s="412"/>
      <c r="T878" s="412"/>
      <c r="U878" s="412"/>
      <c r="V878" s="412"/>
      <c r="W878" s="412"/>
      <c r="X878" s="412"/>
      <c r="Y878" s="412"/>
      <c r="Z878" s="412"/>
    </row>
    <row r="879" ht="13.5" customHeight="1">
      <c r="A879" s="473"/>
      <c r="B879" s="412"/>
      <c r="C879" s="412"/>
      <c r="D879" s="412"/>
      <c r="E879" s="412"/>
      <c r="F879" s="412"/>
      <c r="G879" s="412"/>
      <c r="H879" s="412"/>
      <c r="I879" s="412"/>
      <c r="J879" s="412"/>
      <c r="K879" s="412"/>
      <c r="L879" s="412"/>
      <c r="M879" s="412"/>
      <c r="N879" s="412"/>
      <c r="O879" s="412"/>
      <c r="P879" s="412"/>
      <c r="Q879" s="412"/>
      <c r="R879" s="412"/>
      <c r="S879" s="412"/>
      <c r="T879" s="412"/>
      <c r="U879" s="412"/>
      <c r="V879" s="412"/>
      <c r="W879" s="412"/>
      <c r="X879" s="412"/>
      <c r="Y879" s="412"/>
      <c r="Z879" s="412"/>
    </row>
    <row r="880" ht="13.5" customHeight="1">
      <c r="A880" s="473"/>
      <c r="B880" s="412"/>
      <c r="C880" s="412"/>
      <c r="D880" s="412"/>
      <c r="E880" s="412"/>
      <c r="F880" s="412"/>
      <c r="G880" s="412"/>
      <c r="H880" s="412"/>
      <c r="I880" s="412"/>
      <c r="J880" s="412"/>
      <c r="K880" s="412"/>
      <c r="L880" s="412"/>
      <c r="M880" s="412"/>
      <c r="N880" s="412"/>
      <c r="O880" s="412"/>
      <c r="P880" s="412"/>
      <c r="Q880" s="412"/>
      <c r="R880" s="412"/>
      <c r="S880" s="412"/>
      <c r="T880" s="412"/>
      <c r="U880" s="412"/>
      <c r="V880" s="412"/>
      <c r="W880" s="412"/>
      <c r="X880" s="412"/>
      <c r="Y880" s="412"/>
      <c r="Z880" s="412"/>
    </row>
    <row r="881" ht="13.5" customHeight="1">
      <c r="A881" s="473"/>
      <c r="B881" s="412"/>
      <c r="C881" s="412"/>
      <c r="D881" s="412"/>
      <c r="E881" s="412"/>
      <c r="F881" s="412"/>
      <c r="G881" s="412"/>
      <c r="H881" s="412"/>
      <c r="I881" s="412"/>
      <c r="J881" s="412"/>
      <c r="K881" s="412"/>
      <c r="L881" s="412"/>
      <c r="M881" s="412"/>
      <c r="N881" s="412"/>
      <c r="O881" s="412"/>
      <c r="P881" s="412"/>
      <c r="Q881" s="412"/>
      <c r="R881" s="412"/>
      <c r="S881" s="412"/>
      <c r="T881" s="412"/>
      <c r="U881" s="412"/>
      <c r="V881" s="412"/>
      <c r="W881" s="412"/>
      <c r="X881" s="412"/>
      <c r="Y881" s="412"/>
      <c r="Z881" s="412"/>
    </row>
    <row r="882" ht="13.5" customHeight="1">
      <c r="A882" s="473"/>
      <c r="B882" s="412"/>
      <c r="C882" s="412"/>
      <c r="D882" s="412"/>
      <c r="E882" s="412"/>
      <c r="F882" s="412"/>
      <c r="G882" s="412"/>
      <c r="H882" s="412"/>
      <c r="I882" s="412"/>
      <c r="J882" s="412"/>
      <c r="K882" s="412"/>
      <c r="L882" s="412"/>
      <c r="M882" s="412"/>
      <c r="N882" s="412"/>
      <c r="O882" s="412"/>
      <c r="P882" s="412"/>
      <c r="Q882" s="412"/>
      <c r="R882" s="412"/>
      <c r="S882" s="412"/>
      <c r="T882" s="412"/>
      <c r="U882" s="412"/>
      <c r="V882" s="412"/>
      <c r="W882" s="412"/>
      <c r="X882" s="412"/>
      <c r="Y882" s="412"/>
      <c r="Z882" s="412"/>
    </row>
    <row r="883" ht="13.5" customHeight="1">
      <c r="A883" s="473"/>
      <c r="B883" s="412"/>
      <c r="C883" s="412"/>
      <c r="D883" s="412"/>
      <c r="E883" s="412"/>
      <c r="F883" s="412"/>
      <c r="G883" s="412"/>
      <c r="H883" s="412"/>
      <c r="I883" s="412"/>
      <c r="J883" s="412"/>
      <c r="K883" s="412"/>
      <c r="L883" s="412"/>
      <c r="M883" s="412"/>
      <c r="N883" s="412"/>
      <c r="O883" s="412"/>
      <c r="P883" s="412"/>
      <c r="Q883" s="412"/>
      <c r="R883" s="412"/>
      <c r="S883" s="412"/>
      <c r="T883" s="412"/>
      <c r="U883" s="412"/>
      <c r="V883" s="412"/>
      <c r="W883" s="412"/>
      <c r="X883" s="412"/>
      <c r="Y883" s="412"/>
      <c r="Z883" s="412"/>
    </row>
    <row r="884" ht="13.5" customHeight="1">
      <c r="A884" s="473"/>
      <c r="B884" s="412"/>
      <c r="C884" s="412"/>
      <c r="D884" s="412"/>
      <c r="E884" s="412"/>
      <c r="F884" s="412"/>
      <c r="G884" s="412"/>
      <c r="H884" s="412"/>
      <c r="I884" s="412"/>
      <c r="J884" s="412"/>
      <c r="K884" s="412"/>
      <c r="L884" s="412"/>
      <c r="M884" s="412"/>
      <c r="N884" s="412"/>
      <c r="O884" s="412"/>
      <c r="P884" s="412"/>
      <c r="Q884" s="412"/>
      <c r="R884" s="412"/>
      <c r="S884" s="412"/>
      <c r="T884" s="412"/>
      <c r="U884" s="412"/>
      <c r="V884" s="412"/>
      <c r="W884" s="412"/>
      <c r="X884" s="412"/>
      <c r="Y884" s="412"/>
      <c r="Z884" s="412"/>
    </row>
    <row r="885" ht="13.5" customHeight="1">
      <c r="A885" s="473"/>
      <c r="B885" s="412"/>
      <c r="C885" s="412"/>
      <c r="D885" s="412"/>
      <c r="E885" s="412"/>
      <c r="F885" s="412"/>
      <c r="G885" s="412"/>
      <c r="H885" s="412"/>
      <c r="I885" s="412"/>
      <c r="J885" s="412"/>
      <c r="K885" s="412"/>
      <c r="L885" s="412"/>
      <c r="M885" s="412"/>
      <c r="N885" s="412"/>
      <c r="O885" s="412"/>
      <c r="P885" s="412"/>
      <c r="Q885" s="412"/>
      <c r="R885" s="412"/>
      <c r="S885" s="412"/>
      <c r="T885" s="412"/>
      <c r="U885" s="412"/>
      <c r="V885" s="412"/>
      <c r="W885" s="412"/>
      <c r="X885" s="412"/>
      <c r="Y885" s="412"/>
      <c r="Z885" s="412"/>
    </row>
    <row r="886" ht="13.5" customHeight="1">
      <c r="A886" s="473"/>
      <c r="B886" s="412"/>
      <c r="C886" s="412"/>
      <c r="D886" s="412"/>
      <c r="E886" s="412"/>
      <c r="F886" s="412"/>
      <c r="G886" s="412"/>
      <c r="H886" s="412"/>
      <c r="I886" s="412"/>
      <c r="J886" s="412"/>
      <c r="K886" s="412"/>
      <c r="L886" s="412"/>
      <c r="M886" s="412"/>
      <c r="N886" s="412"/>
      <c r="O886" s="412"/>
      <c r="P886" s="412"/>
      <c r="Q886" s="412"/>
      <c r="R886" s="412"/>
      <c r="S886" s="412"/>
      <c r="T886" s="412"/>
      <c r="U886" s="412"/>
      <c r="V886" s="412"/>
      <c r="W886" s="412"/>
      <c r="X886" s="412"/>
      <c r="Y886" s="412"/>
      <c r="Z886" s="412"/>
    </row>
    <row r="887" ht="13.5" customHeight="1">
      <c r="A887" s="473"/>
      <c r="B887" s="412"/>
      <c r="C887" s="412"/>
      <c r="D887" s="412"/>
      <c r="E887" s="412"/>
      <c r="F887" s="412"/>
      <c r="G887" s="412"/>
      <c r="H887" s="412"/>
      <c r="I887" s="412"/>
      <c r="J887" s="412"/>
      <c r="K887" s="412"/>
      <c r="L887" s="412"/>
      <c r="M887" s="412"/>
      <c r="N887" s="412"/>
      <c r="O887" s="412"/>
      <c r="P887" s="412"/>
      <c r="Q887" s="412"/>
      <c r="R887" s="412"/>
      <c r="S887" s="412"/>
      <c r="T887" s="412"/>
      <c r="U887" s="412"/>
      <c r="V887" s="412"/>
      <c r="W887" s="412"/>
      <c r="X887" s="412"/>
      <c r="Y887" s="412"/>
      <c r="Z887" s="412"/>
    </row>
    <row r="888" ht="13.5" customHeight="1">
      <c r="A888" s="473"/>
      <c r="B888" s="412"/>
      <c r="C888" s="412"/>
      <c r="D888" s="412"/>
      <c r="E888" s="412"/>
      <c r="F888" s="412"/>
      <c r="G888" s="412"/>
      <c r="H888" s="412"/>
      <c r="I888" s="412"/>
      <c r="J888" s="412"/>
      <c r="K888" s="412"/>
      <c r="L888" s="412"/>
      <c r="M888" s="412"/>
      <c r="N888" s="412"/>
      <c r="O888" s="412"/>
      <c r="P888" s="412"/>
      <c r="Q888" s="412"/>
      <c r="R888" s="412"/>
      <c r="S888" s="412"/>
      <c r="T888" s="412"/>
      <c r="U888" s="412"/>
      <c r="V888" s="412"/>
      <c r="W888" s="412"/>
      <c r="X888" s="412"/>
      <c r="Y888" s="412"/>
      <c r="Z888" s="412"/>
    </row>
    <row r="889" ht="13.5" customHeight="1">
      <c r="A889" s="473"/>
      <c r="B889" s="412"/>
      <c r="C889" s="412"/>
      <c r="D889" s="412"/>
      <c r="E889" s="412"/>
      <c r="F889" s="412"/>
      <c r="G889" s="412"/>
      <c r="H889" s="412"/>
      <c r="I889" s="412"/>
      <c r="J889" s="412"/>
      <c r="K889" s="412"/>
      <c r="L889" s="412"/>
      <c r="M889" s="412"/>
      <c r="N889" s="412"/>
      <c r="O889" s="412"/>
      <c r="P889" s="412"/>
      <c r="Q889" s="412"/>
      <c r="R889" s="412"/>
      <c r="S889" s="412"/>
      <c r="T889" s="412"/>
      <c r="U889" s="412"/>
      <c r="V889" s="412"/>
      <c r="W889" s="412"/>
      <c r="X889" s="412"/>
      <c r="Y889" s="412"/>
      <c r="Z889" s="412"/>
    </row>
    <row r="890" ht="13.5" customHeight="1">
      <c r="A890" s="473"/>
      <c r="B890" s="412"/>
      <c r="C890" s="412"/>
      <c r="D890" s="412"/>
      <c r="E890" s="412"/>
      <c r="F890" s="412"/>
      <c r="G890" s="412"/>
      <c r="H890" s="412"/>
      <c r="I890" s="412"/>
      <c r="J890" s="412"/>
      <c r="K890" s="412"/>
      <c r="L890" s="412"/>
      <c r="M890" s="412"/>
      <c r="N890" s="412"/>
      <c r="O890" s="412"/>
      <c r="P890" s="412"/>
      <c r="Q890" s="412"/>
      <c r="R890" s="412"/>
      <c r="S890" s="412"/>
      <c r="T890" s="412"/>
      <c r="U890" s="412"/>
      <c r="V890" s="412"/>
      <c r="W890" s="412"/>
      <c r="X890" s="412"/>
      <c r="Y890" s="412"/>
      <c r="Z890" s="412"/>
    </row>
    <row r="891" ht="13.5" customHeight="1">
      <c r="A891" s="473"/>
      <c r="B891" s="412"/>
      <c r="C891" s="412"/>
      <c r="D891" s="412"/>
      <c r="E891" s="412"/>
      <c r="F891" s="412"/>
      <c r="G891" s="412"/>
      <c r="H891" s="412"/>
      <c r="I891" s="412"/>
      <c r="J891" s="412"/>
      <c r="K891" s="412"/>
      <c r="L891" s="412"/>
      <c r="M891" s="412"/>
      <c r="N891" s="412"/>
      <c r="O891" s="412"/>
      <c r="P891" s="412"/>
      <c r="Q891" s="412"/>
      <c r="R891" s="412"/>
      <c r="S891" s="412"/>
      <c r="T891" s="412"/>
      <c r="U891" s="412"/>
      <c r="V891" s="412"/>
      <c r="W891" s="412"/>
      <c r="X891" s="412"/>
      <c r="Y891" s="412"/>
      <c r="Z891" s="412"/>
    </row>
    <row r="892" ht="13.5" customHeight="1">
      <c r="A892" s="473"/>
      <c r="B892" s="412"/>
      <c r="C892" s="412"/>
      <c r="D892" s="412"/>
      <c r="E892" s="412"/>
      <c r="F892" s="412"/>
      <c r="G892" s="412"/>
      <c r="H892" s="412"/>
      <c r="I892" s="412"/>
      <c r="J892" s="412"/>
      <c r="K892" s="412"/>
      <c r="L892" s="412"/>
      <c r="M892" s="412"/>
      <c r="N892" s="412"/>
      <c r="O892" s="412"/>
      <c r="P892" s="412"/>
      <c r="Q892" s="412"/>
      <c r="R892" s="412"/>
      <c r="S892" s="412"/>
      <c r="T892" s="412"/>
      <c r="U892" s="412"/>
      <c r="V892" s="412"/>
      <c r="W892" s="412"/>
      <c r="X892" s="412"/>
      <c r="Y892" s="412"/>
      <c r="Z892" s="412"/>
    </row>
    <row r="893" ht="13.5" customHeight="1">
      <c r="A893" s="473"/>
      <c r="B893" s="412"/>
      <c r="C893" s="412"/>
      <c r="D893" s="412"/>
      <c r="E893" s="412"/>
      <c r="F893" s="412"/>
      <c r="G893" s="412"/>
      <c r="H893" s="412"/>
      <c r="I893" s="412"/>
      <c r="J893" s="412"/>
      <c r="K893" s="412"/>
      <c r="L893" s="412"/>
      <c r="M893" s="412"/>
      <c r="N893" s="412"/>
      <c r="O893" s="412"/>
      <c r="P893" s="412"/>
      <c r="Q893" s="412"/>
      <c r="R893" s="412"/>
      <c r="S893" s="412"/>
      <c r="T893" s="412"/>
      <c r="U893" s="412"/>
      <c r="V893" s="412"/>
      <c r="W893" s="412"/>
      <c r="X893" s="412"/>
      <c r="Y893" s="412"/>
      <c r="Z893" s="412"/>
    </row>
    <row r="894" ht="13.5" customHeight="1">
      <c r="A894" s="473"/>
      <c r="B894" s="412"/>
      <c r="C894" s="412"/>
      <c r="D894" s="412"/>
      <c r="E894" s="412"/>
      <c r="F894" s="412"/>
      <c r="G894" s="412"/>
      <c r="H894" s="412"/>
      <c r="I894" s="412"/>
      <c r="J894" s="412"/>
      <c r="K894" s="412"/>
      <c r="L894" s="412"/>
      <c r="M894" s="412"/>
      <c r="N894" s="412"/>
      <c r="O894" s="412"/>
      <c r="P894" s="412"/>
      <c r="Q894" s="412"/>
      <c r="R894" s="412"/>
      <c r="S894" s="412"/>
      <c r="T894" s="412"/>
      <c r="U894" s="412"/>
      <c r="V894" s="412"/>
      <c r="W894" s="412"/>
      <c r="X894" s="412"/>
      <c r="Y894" s="412"/>
      <c r="Z894" s="412"/>
    </row>
    <row r="895" ht="13.5" customHeight="1">
      <c r="A895" s="473"/>
      <c r="B895" s="412"/>
      <c r="C895" s="412"/>
      <c r="D895" s="412"/>
      <c r="E895" s="412"/>
      <c r="F895" s="412"/>
      <c r="G895" s="412"/>
      <c r="H895" s="412"/>
      <c r="I895" s="412"/>
      <c r="J895" s="412"/>
      <c r="K895" s="412"/>
      <c r="L895" s="412"/>
      <c r="M895" s="412"/>
      <c r="N895" s="412"/>
      <c r="O895" s="412"/>
      <c r="P895" s="412"/>
      <c r="Q895" s="412"/>
      <c r="R895" s="412"/>
      <c r="S895" s="412"/>
      <c r="T895" s="412"/>
      <c r="U895" s="412"/>
      <c r="V895" s="412"/>
      <c r="W895" s="412"/>
      <c r="X895" s="412"/>
      <c r="Y895" s="412"/>
      <c r="Z895" s="412"/>
    </row>
    <row r="896" ht="13.5" customHeight="1">
      <c r="A896" s="473"/>
      <c r="B896" s="412"/>
      <c r="C896" s="412"/>
      <c r="D896" s="412"/>
      <c r="E896" s="412"/>
      <c r="F896" s="412"/>
      <c r="G896" s="412"/>
      <c r="H896" s="412"/>
      <c r="I896" s="412"/>
      <c r="J896" s="412"/>
      <c r="K896" s="412"/>
      <c r="L896" s="412"/>
      <c r="M896" s="412"/>
      <c r="N896" s="412"/>
      <c r="O896" s="412"/>
      <c r="P896" s="412"/>
      <c r="Q896" s="412"/>
      <c r="R896" s="412"/>
      <c r="S896" s="412"/>
      <c r="T896" s="412"/>
      <c r="U896" s="412"/>
      <c r="V896" s="412"/>
      <c r="W896" s="412"/>
      <c r="X896" s="412"/>
      <c r="Y896" s="412"/>
      <c r="Z896" s="412"/>
    </row>
    <row r="897" ht="13.5" customHeight="1">
      <c r="A897" s="473"/>
      <c r="B897" s="412"/>
      <c r="C897" s="412"/>
      <c r="D897" s="412"/>
      <c r="E897" s="412"/>
      <c r="F897" s="412"/>
      <c r="G897" s="412"/>
      <c r="H897" s="412"/>
      <c r="I897" s="412"/>
      <c r="J897" s="412"/>
      <c r="K897" s="412"/>
      <c r="L897" s="412"/>
      <c r="M897" s="412"/>
      <c r="N897" s="412"/>
      <c r="O897" s="412"/>
      <c r="P897" s="412"/>
      <c r="Q897" s="412"/>
      <c r="R897" s="412"/>
      <c r="S897" s="412"/>
      <c r="T897" s="412"/>
      <c r="U897" s="412"/>
      <c r="V897" s="412"/>
      <c r="W897" s="412"/>
      <c r="X897" s="412"/>
      <c r="Y897" s="412"/>
      <c r="Z897" s="412"/>
    </row>
    <row r="898" ht="13.5" customHeight="1">
      <c r="A898" s="473"/>
      <c r="B898" s="412"/>
      <c r="C898" s="412"/>
      <c r="D898" s="412"/>
      <c r="E898" s="412"/>
      <c r="F898" s="412"/>
      <c r="G898" s="412"/>
      <c r="H898" s="412"/>
      <c r="I898" s="412"/>
      <c r="J898" s="412"/>
      <c r="K898" s="412"/>
      <c r="L898" s="412"/>
      <c r="M898" s="412"/>
      <c r="N898" s="412"/>
      <c r="O898" s="412"/>
      <c r="P898" s="412"/>
      <c r="Q898" s="412"/>
      <c r="R898" s="412"/>
      <c r="S898" s="412"/>
      <c r="T898" s="412"/>
      <c r="U898" s="412"/>
      <c r="V898" s="412"/>
      <c r="W898" s="412"/>
      <c r="X898" s="412"/>
      <c r="Y898" s="412"/>
      <c r="Z898" s="412"/>
    </row>
    <row r="899" ht="13.5" customHeight="1">
      <c r="A899" s="473"/>
      <c r="B899" s="412"/>
      <c r="C899" s="412"/>
      <c r="D899" s="412"/>
      <c r="E899" s="412"/>
      <c r="F899" s="412"/>
      <c r="G899" s="412"/>
      <c r="H899" s="412"/>
      <c r="I899" s="412"/>
      <c r="J899" s="412"/>
      <c r="K899" s="412"/>
      <c r="L899" s="412"/>
      <c r="M899" s="412"/>
      <c r="N899" s="412"/>
      <c r="O899" s="412"/>
      <c r="P899" s="412"/>
      <c r="Q899" s="412"/>
      <c r="R899" s="412"/>
      <c r="S899" s="412"/>
      <c r="T899" s="412"/>
      <c r="U899" s="412"/>
      <c r="V899" s="412"/>
      <c r="W899" s="412"/>
      <c r="X899" s="412"/>
      <c r="Y899" s="412"/>
      <c r="Z899" s="412"/>
    </row>
    <row r="900" ht="13.5" customHeight="1">
      <c r="A900" s="473"/>
      <c r="B900" s="412"/>
      <c r="C900" s="412"/>
      <c r="D900" s="412"/>
      <c r="E900" s="412"/>
      <c r="F900" s="412"/>
      <c r="G900" s="412"/>
      <c r="H900" s="412"/>
      <c r="I900" s="412"/>
      <c r="J900" s="412"/>
      <c r="K900" s="412"/>
      <c r="L900" s="412"/>
      <c r="M900" s="412"/>
      <c r="N900" s="412"/>
      <c r="O900" s="412"/>
      <c r="P900" s="412"/>
      <c r="Q900" s="412"/>
      <c r="R900" s="412"/>
      <c r="S900" s="412"/>
      <c r="T900" s="412"/>
      <c r="U900" s="412"/>
      <c r="V900" s="412"/>
      <c r="W900" s="412"/>
      <c r="X900" s="412"/>
      <c r="Y900" s="412"/>
      <c r="Z900" s="412"/>
    </row>
    <row r="901" ht="13.5" customHeight="1">
      <c r="A901" s="473"/>
      <c r="B901" s="412"/>
      <c r="C901" s="412"/>
      <c r="D901" s="412"/>
      <c r="E901" s="412"/>
      <c r="F901" s="412"/>
      <c r="G901" s="412"/>
      <c r="H901" s="412"/>
      <c r="I901" s="412"/>
      <c r="J901" s="412"/>
      <c r="K901" s="412"/>
      <c r="L901" s="412"/>
      <c r="M901" s="412"/>
      <c r="N901" s="412"/>
      <c r="O901" s="412"/>
      <c r="P901" s="412"/>
      <c r="Q901" s="412"/>
      <c r="R901" s="412"/>
      <c r="S901" s="412"/>
      <c r="T901" s="412"/>
      <c r="U901" s="412"/>
      <c r="V901" s="412"/>
      <c r="W901" s="412"/>
      <c r="X901" s="412"/>
      <c r="Y901" s="412"/>
      <c r="Z901" s="412"/>
    </row>
    <row r="902" ht="13.5" customHeight="1">
      <c r="A902" s="473"/>
      <c r="B902" s="412"/>
      <c r="C902" s="412"/>
      <c r="D902" s="412"/>
      <c r="E902" s="412"/>
      <c r="F902" s="412"/>
      <c r="G902" s="412"/>
      <c r="H902" s="412"/>
      <c r="I902" s="412"/>
      <c r="J902" s="412"/>
      <c r="K902" s="412"/>
      <c r="L902" s="412"/>
      <c r="M902" s="412"/>
      <c r="N902" s="412"/>
      <c r="O902" s="412"/>
      <c r="P902" s="412"/>
      <c r="Q902" s="412"/>
      <c r="R902" s="412"/>
      <c r="S902" s="412"/>
      <c r="T902" s="412"/>
      <c r="U902" s="412"/>
      <c r="V902" s="412"/>
      <c r="W902" s="412"/>
      <c r="X902" s="412"/>
      <c r="Y902" s="412"/>
      <c r="Z902" s="412"/>
    </row>
    <row r="903" ht="13.5" customHeight="1">
      <c r="A903" s="473"/>
      <c r="B903" s="412"/>
      <c r="C903" s="412"/>
      <c r="D903" s="412"/>
      <c r="E903" s="412"/>
      <c r="F903" s="412"/>
      <c r="G903" s="412"/>
      <c r="H903" s="412"/>
      <c r="I903" s="412"/>
      <c r="J903" s="412"/>
      <c r="K903" s="412"/>
      <c r="L903" s="412"/>
      <c r="M903" s="412"/>
      <c r="N903" s="412"/>
      <c r="O903" s="412"/>
      <c r="P903" s="412"/>
      <c r="Q903" s="412"/>
      <c r="R903" s="412"/>
      <c r="S903" s="412"/>
      <c r="T903" s="412"/>
      <c r="U903" s="412"/>
      <c r="V903" s="412"/>
      <c r="W903" s="412"/>
      <c r="X903" s="412"/>
      <c r="Y903" s="412"/>
      <c r="Z903" s="412"/>
    </row>
    <row r="904" ht="13.5" customHeight="1">
      <c r="A904" s="473"/>
      <c r="B904" s="412"/>
      <c r="C904" s="412"/>
      <c r="D904" s="412"/>
      <c r="E904" s="412"/>
      <c r="F904" s="412"/>
      <c r="G904" s="412"/>
      <c r="H904" s="412"/>
      <c r="I904" s="412"/>
      <c r="J904" s="412"/>
      <c r="K904" s="412"/>
      <c r="L904" s="412"/>
      <c r="M904" s="412"/>
      <c r="N904" s="412"/>
      <c r="O904" s="412"/>
      <c r="P904" s="412"/>
      <c r="Q904" s="412"/>
      <c r="R904" s="412"/>
      <c r="S904" s="412"/>
      <c r="T904" s="412"/>
      <c r="U904" s="412"/>
      <c r="V904" s="412"/>
      <c r="W904" s="412"/>
      <c r="X904" s="412"/>
      <c r="Y904" s="412"/>
      <c r="Z904" s="412"/>
    </row>
    <row r="905" ht="13.5" customHeight="1">
      <c r="A905" s="473"/>
      <c r="B905" s="412"/>
      <c r="C905" s="412"/>
      <c r="D905" s="412"/>
      <c r="E905" s="412"/>
      <c r="F905" s="412"/>
      <c r="G905" s="412"/>
      <c r="H905" s="412"/>
      <c r="I905" s="412"/>
      <c r="J905" s="412"/>
      <c r="K905" s="412"/>
      <c r="L905" s="412"/>
      <c r="M905" s="412"/>
      <c r="N905" s="412"/>
      <c r="O905" s="412"/>
      <c r="P905" s="412"/>
      <c r="Q905" s="412"/>
      <c r="R905" s="412"/>
      <c r="S905" s="412"/>
      <c r="T905" s="412"/>
      <c r="U905" s="412"/>
      <c r="V905" s="412"/>
      <c r="W905" s="412"/>
      <c r="X905" s="412"/>
      <c r="Y905" s="412"/>
      <c r="Z905" s="412"/>
    </row>
    <row r="906" ht="13.5" customHeight="1">
      <c r="A906" s="473"/>
      <c r="B906" s="412"/>
      <c r="C906" s="412"/>
      <c r="D906" s="412"/>
      <c r="E906" s="412"/>
      <c r="F906" s="412"/>
      <c r="G906" s="412"/>
      <c r="H906" s="412"/>
      <c r="I906" s="412"/>
      <c r="J906" s="412"/>
      <c r="K906" s="412"/>
      <c r="L906" s="412"/>
      <c r="M906" s="412"/>
      <c r="N906" s="412"/>
      <c r="O906" s="412"/>
      <c r="P906" s="412"/>
      <c r="Q906" s="412"/>
      <c r="R906" s="412"/>
      <c r="S906" s="412"/>
      <c r="T906" s="412"/>
      <c r="U906" s="412"/>
      <c r="V906" s="412"/>
      <c r="W906" s="412"/>
      <c r="X906" s="412"/>
      <c r="Y906" s="412"/>
      <c r="Z906" s="412"/>
    </row>
    <row r="907" ht="13.5" customHeight="1">
      <c r="A907" s="473"/>
      <c r="B907" s="412"/>
      <c r="C907" s="412"/>
      <c r="D907" s="412"/>
      <c r="E907" s="412"/>
      <c r="F907" s="412"/>
      <c r="G907" s="412"/>
      <c r="H907" s="412"/>
      <c r="I907" s="412"/>
      <c r="J907" s="412"/>
      <c r="K907" s="412"/>
      <c r="L907" s="412"/>
      <c r="M907" s="412"/>
      <c r="N907" s="412"/>
      <c r="O907" s="412"/>
      <c r="P907" s="412"/>
      <c r="Q907" s="412"/>
      <c r="R907" s="412"/>
      <c r="S907" s="412"/>
      <c r="T907" s="412"/>
      <c r="U907" s="412"/>
      <c r="V907" s="412"/>
      <c r="W907" s="412"/>
      <c r="X907" s="412"/>
      <c r="Y907" s="412"/>
      <c r="Z907" s="412"/>
    </row>
    <row r="908" ht="13.5" customHeight="1">
      <c r="A908" s="473"/>
      <c r="B908" s="412"/>
      <c r="C908" s="412"/>
      <c r="D908" s="412"/>
      <c r="E908" s="412"/>
      <c r="F908" s="412"/>
      <c r="G908" s="412"/>
      <c r="H908" s="412"/>
      <c r="I908" s="412"/>
      <c r="J908" s="412"/>
      <c r="K908" s="412"/>
      <c r="L908" s="412"/>
      <c r="M908" s="412"/>
      <c r="N908" s="412"/>
      <c r="O908" s="412"/>
      <c r="P908" s="412"/>
      <c r="Q908" s="412"/>
      <c r="R908" s="412"/>
      <c r="S908" s="412"/>
      <c r="T908" s="412"/>
      <c r="U908" s="412"/>
      <c r="V908" s="412"/>
      <c r="W908" s="412"/>
      <c r="X908" s="412"/>
      <c r="Y908" s="412"/>
      <c r="Z908" s="412"/>
    </row>
    <row r="909" ht="13.5" customHeight="1">
      <c r="A909" s="473"/>
      <c r="B909" s="412"/>
      <c r="C909" s="412"/>
      <c r="D909" s="412"/>
      <c r="E909" s="412"/>
      <c r="F909" s="412"/>
      <c r="G909" s="412"/>
      <c r="H909" s="412"/>
      <c r="I909" s="412"/>
      <c r="J909" s="412"/>
      <c r="K909" s="412"/>
      <c r="L909" s="412"/>
      <c r="M909" s="412"/>
      <c r="N909" s="412"/>
      <c r="O909" s="412"/>
      <c r="P909" s="412"/>
      <c r="Q909" s="412"/>
      <c r="R909" s="412"/>
      <c r="S909" s="412"/>
      <c r="T909" s="412"/>
      <c r="U909" s="412"/>
      <c r="V909" s="412"/>
      <c r="W909" s="412"/>
      <c r="X909" s="412"/>
      <c r="Y909" s="412"/>
      <c r="Z909" s="412"/>
    </row>
    <row r="910" ht="13.5" customHeight="1">
      <c r="A910" s="473"/>
      <c r="B910" s="412"/>
      <c r="C910" s="412"/>
      <c r="D910" s="412"/>
      <c r="E910" s="412"/>
      <c r="F910" s="412"/>
      <c r="G910" s="412"/>
      <c r="H910" s="412"/>
      <c r="I910" s="412"/>
      <c r="J910" s="412"/>
      <c r="K910" s="412"/>
      <c r="L910" s="412"/>
      <c r="M910" s="412"/>
      <c r="N910" s="412"/>
      <c r="O910" s="412"/>
      <c r="P910" s="412"/>
      <c r="Q910" s="412"/>
      <c r="R910" s="412"/>
      <c r="S910" s="412"/>
      <c r="T910" s="412"/>
      <c r="U910" s="412"/>
      <c r="V910" s="412"/>
      <c r="W910" s="412"/>
      <c r="X910" s="412"/>
      <c r="Y910" s="412"/>
      <c r="Z910" s="412"/>
    </row>
    <row r="911" ht="13.5" customHeight="1">
      <c r="A911" s="473"/>
      <c r="B911" s="412"/>
      <c r="C911" s="412"/>
      <c r="D911" s="412"/>
      <c r="E911" s="412"/>
      <c r="F911" s="412"/>
      <c r="G911" s="412"/>
      <c r="H911" s="412"/>
      <c r="I911" s="412"/>
      <c r="J911" s="412"/>
      <c r="K911" s="412"/>
      <c r="L911" s="412"/>
      <c r="M911" s="412"/>
      <c r="N911" s="412"/>
      <c r="O911" s="412"/>
      <c r="P911" s="412"/>
      <c r="Q911" s="412"/>
      <c r="R911" s="412"/>
      <c r="S911" s="412"/>
      <c r="T911" s="412"/>
      <c r="U911" s="412"/>
      <c r="V911" s="412"/>
      <c r="W911" s="412"/>
      <c r="X911" s="412"/>
      <c r="Y911" s="412"/>
      <c r="Z911" s="412"/>
    </row>
    <row r="912" ht="13.5" customHeight="1">
      <c r="A912" s="473"/>
      <c r="B912" s="412"/>
      <c r="C912" s="412"/>
      <c r="D912" s="412"/>
      <c r="E912" s="412"/>
      <c r="F912" s="412"/>
      <c r="G912" s="412"/>
      <c r="H912" s="412"/>
      <c r="I912" s="412"/>
      <c r="J912" s="412"/>
      <c r="K912" s="412"/>
      <c r="L912" s="412"/>
      <c r="M912" s="412"/>
      <c r="N912" s="412"/>
      <c r="O912" s="412"/>
      <c r="P912" s="412"/>
      <c r="Q912" s="412"/>
      <c r="R912" s="412"/>
      <c r="S912" s="412"/>
      <c r="T912" s="412"/>
      <c r="U912" s="412"/>
      <c r="V912" s="412"/>
      <c r="W912" s="412"/>
      <c r="X912" s="412"/>
      <c r="Y912" s="412"/>
      <c r="Z912" s="412"/>
    </row>
    <row r="913" ht="13.5" customHeight="1">
      <c r="A913" s="473"/>
      <c r="B913" s="412"/>
      <c r="C913" s="412"/>
      <c r="D913" s="412"/>
      <c r="E913" s="412"/>
      <c r="F913" s="412"/>
      <c r="G913" s="412"/>
      <c r="H913" s="412"/>
      <c r="I913" s="412"/>
      <c r="J913" s="412"/>
      <c r="K913" s="412"/>
      <c r="L913" s="412"/>
      <c r="M913" s="412"/>
      <c r="N913" s="412"/>
      <c r="O913" s="412"/>
      <c r="P913" s="412"/>
      <c r="Q913" s="412"/>
      <c r="R913" s="412"/>
      <c r="S913" s="412"/>
      <c r="T913" s="412"/>
      <c r="U913" s="412"/>
      <c r="V913" s="412"/>
      <c r="W913" s="412"/>
      <c r="X913" s="412"/>
      <c r="Y913" s="412"/>
      <c r="Z913" s="412"/>
    </row>
    <row r="914" ht="13.5" customHeight="1">
      <c r="A914" s="473"/>
      <c r="B914" s="412"/>
      <c r="C914" s="412"/>
      <c r="D914" s="412"/>
      <c r="E914" s="412"/>
      <c r="F914" s="412"/>
      <c r="G914" s="412"/>
      <c r="H914" s="412"/>
      <c r="I914" s="412"/>
      <c r="J914" s="412"/>
      <c r="K914" s="412"/>
      <c r="L914" s="412"/>
      <c r="M914" s="412"/>
      <c r="N914" s="412"/>
      <c r="O914" s="412"/>
      <c r="P914" s="412"/>
      <c r="Q914" s="412"/>
      <c r="R914" s="412"/>
      <c r="S914" s="412"/>
      <c r="T914" s="412"/>
      <c r="U914" s="412"/>
      <c r="V914" s="412"/>
      <c r="W914" s="412"/>
      <c r="X914" s="412"/>
      <c r="Y914" s="412"/>
      <c r="Z914" s="412"/>
    </row>
    <row r="915" ht="13.5" customHeight="1">
      <c r="A915" s="473"/>
      <c r="B915" s="412"/>
      <c r="C915" s="412"/>
      <c r="D915" s="412"/>
      <c r="E915" s="412"/>
      <c r="F915" s="412"/>
      <c r="G915" s="412"/>
      <c r="H915" s="412"/>
      <c r="I915" s="412"/>
      <c r="J915" s="412"/>
      <c r="K915" s="412"/>
      <c r="L915" s="412"/>
      <c r="M915" s="412"/>
      <c r="N915" s="412"/>
      <c r="O915" s="412"/>
      <c r="P915" s="412"/>
      <c r="Q915" s="412"/>
      <c r="R915" s="412"/>
      <c r="S915" s="412"/>
      <c r="T915" s="412"/>
      <c r="U915" s="412"/>
      <c r="V915" s="412"/>
      <c r="W915" s="412"/>
      <c r="X915" s="412"/>
      <c r="Y915" s="412"/>
      <c r="Z915" s="412"/>
    </row>
    <row r="916" ht="13.5" customHeight="1">
      <c r="A916" s="473"/>
      <c r="B916" s="412"/>
      <c r="C916" s="412"/>
      <c r="D916" s="412"/>
      <c r="E916" s="412"/>
      <c r="F916" s="412"/>
      <c r="G916" s="412"/>
      <c r="H916" s="412"/>
      <c r="I916" s="412"/>
      <c r="J916" s="412"/>
      <c r="K916" s="412"/>
      <c r="L916" s="412"/>
      <c r="M916" s="412"/>
      <c r="N916" s="412"/>
      <c r="O916" s="412"/>
      <c r="P916" s="412"/>
      <c r="Q916" s="412"/>
      <c r="R916" s="412"/>
      <c r="S916" s="412"/>
      <c r="T916" s="412"/>
      <c r="U916" s="412"/>
      <c r="V916" s="412"/>
      <c r="W916" s="412"/>
      <c r="X916" s="412"/>
      <c r="Y916" s="412"/>
      <c r="Z916" s="412"/>
    </row>
    <row r="917" ht="13.5" customHeight="1">
      <c r="A917" s="473"/>
      <c r="B917" s="412"/>
      <c r="C917" s="412"/>
      <c r="D917" s="412"/>
      <c r="E917" s="412"/>
      <c r="F917" s="412"/>
      <c r="G917" s="412"/>
      <c r="H917" s="412"/>
      <c r="I917" s="412"/>
      <c r="J917" s="412"/>
      <c r="K917" s="412"/>
      <c r="L917" s="412"/>
      <c r="M917" s="412"/>
      <c r="N917" s="412"/>
      <c r="O917" s="412"/>
      <c r="P917" s="412"/>
      <c r="Q917" s="412"/>
      <c r="R917" s="412"/>
      <c r="S917" s="412"/>
      <c r="T917" s="412"/>
      <c r="U917" s="412"/>
      <c r="V917" s="412"/>
      <c r="W917" s="412"/>
      <c r="X917" s="412"/>
      <c r="Y917" s="412"/>
      <c r="Z917" s="412"/>
    </row>
    <row r="918" ht="13.5" customHeight="1">
      <c r="A918" s="473"/>
      <c r="B918" s="412"/>
      <c r="C918" s="412"/>
      <c r="D918" s="412"/>
      <c r="E918" s="412"/>
      <c r="F918" s="412"/>
      <c r="G918" s="412"/>
      <c r="H918" s="412"/>
      <c r="I918" s="412"/>
      <c r="J918" s="412"/>
      <c r="K918" s="412"/>
      <c r="L918" s="412"/>
      <c r="M918" s="412"/>
      <c r="N918" s="412"/>
      <c r="O918" s="412"/>
      <c r="P918" s="412"/>
      <c r="Q918" s="412"/>
      <c r="R918" s="412"/>
      <c r="S918" s="412"/>
      <c r="T918" s="412"/>
      <c r="U918" s="412"/>
      <c r="V918" s="412"/>
      <c r="W918" s="412"/>
      <c r="X918" s="412"/>
      <c r="Y918" s="412"/>
      <c r="Z918" s="412"/>
    </row>
    <row r="919" ht="13.5" customHeight="1">
      <c r="A919" s="473"/>
      <c r="B919" s="412"/>
      <c r="C919" s="412"/>
      <c r="D919" s="412"/>
      <c r="E919" s="412"/>
      <c r="F919" s="412"/>
      <c r="G919" s="412"/>
      <c r="H919" s="412"/>
      <c r="I919" s="412"/>
      <c r="J919" s="412"/>
      <c r="K919" s="412"/>
      <c r="L919" s="412"/>
      <c r="M919" s="412"/>
      <c r="N919" s="412"/>
      <c r="O919" s="412"/>
      <c r="P919" s="412"/>
      <c r="Q919" s="412"/>
      <c r="R919" s="412"/>
      <c r="S919" s="412"/>
      <c r="T919" s="412"/>
      <c r="U919" s="412"/>
      <c r="V919" s="412"/>
      <c r="W919" s="412"/>
      <c r="X919" s="412"/>
      <c r="Y919" s="412"/>
      <c r="Z919" s="412"/>
    </row>
    <row r="920" ht="13.5" customHeight="1">
      <c r="A920" s="473"/>
      <c r="B920" s="412"/>
      <c r="C920" s="412"/>
      <c r="D920" s="412"/>
      <c r="E920" s="412"/>
      <c r="F920" s="412"/>
      <c r="G920" s="412"/>
      <c r="H920" s="412"/>
      <c r="I920" s="412"/>
      <c r="J920" s="412"/>
      <c r="K920" s="412"/>
      <c r="L920" s="412"/>
      <c r="M920" s="412"/>
      <c r="N920" s="412"/>
      <c r="O920" s="412"/>
      <c r="P920" s="412"/>
      <c r="Q920" s="412"/>
      <c r="R920" s="412"/>
      <c r="S920" s="412"/>
      <c r="T920" s="412"/>
      <c r="U920" s="412"/>
      <c r="V920" s="412"/>
      <c r="W920" s="412"/>
      <c r="X920" s="412"/>
      <c r="Y920" s="412"/>
      <c r="Z920" s="412"/>
    </row>
    <row r="921" ht="13.5" customHeight="1">
      <c r="A921" s="473"/>
      <c r="B921" s="412"/>
      <c r="C921" s="412"/>
      <c r="D921" s="412"/>
      <c r="E921" s="412"/>
      <c r="F921" s="412"/>
      <c r="G921" s="412"/>
      <c r="H921" s="412"/>
      <c r="I921" s="412"/>
      <c r="J921" s="412"/>
      <c r="K921" s="412"/>
      <c r="L921" s="412"/>
      <c r="M921" s="412"/>
      <c r="N921" s="412"/>
      <c r="O921" s="412"/>
      <c r="P921" s="412"/>
      <c r="Q921" s="412"/>
      <c r="R921" s="412"/>
      <c r="S921" s="412"/>
      <c r="T921" s="412"/>
      <c r="U921" s="412"/>
      <c r="V921" s="412"/>
      <c r="W921" s="412"/>
      <c r="X921" s="412"/>
      <c r="Y921" s="412"/>
      <c r="Z921" s="412"/>
    </row>
    <row r="922" ht="13.5" customHeight="1">
      <c r="A922" s="473"/>
      <c r="B922" s="412"/>
      <c r="C922" s="412"/>
      <c r="D922" s="412"/>
      <c r="E922" s="412"/>
      <c r="F922" s="412"/>
      <c r="G922" s="412"/>
      <c r="H922" s="412"/>
      <c r="I922" s="412"/>
      <c r="J922" s="412"/>
      <c r="K922" s="412"/>
      <c r="L922" s="412"/>
      <c r="M922" s="412"/>
      <c r="N922" s="412"/>
      <c r="O922" s="412"/>
      <c r="P922" s="412"/>
      <c r="Q922" s="412"/>
      <c r="R922" s="412"/>
      <c r="S922" s="412"/>
      <c r="T922" s="412"/>
      <c r="U922" s="412"/>
      <c r="V922" s="412"/>
      <c r="W922" s="412"/>
      <c r="X922" s="412"/>
      <c r="Y922" s="412"/>
      <c r="Z922" s="412"/>
    </row>
    <row r="923" ht="13.5" customHeight="1">
      <c r="A923" s="473"/>
      <c r="B923" s="412"/>
      <c r="C923" s="412"/>
      <c r="D923" s="412"/>
      <c r="E923" s="412"/>
      <c r="F923" s="412"/>
      <c r="G923" s="412"/>
      <c r="H923" s="412"/>
      <c r="I923" s="412"/>
      <c r="J923" s="412"/>
      <c r="K923" s="412"/>
      <c r="L923" s="412"/>
      <c r="M923" s="412"/>
      <c r="N923" s="412"/>
      <c r="O923" s="412"/>
      <c r="P923" s="412"/>
      <c r="Q923" s="412"/>
      <c r="R923" s="412"/>
      <c r="S923" s="412"/>
      <c r="T923" s="412"/>
      <c r="U923" s="412"/>
      <c r="V923" s="412"/>
      <c r="W923" s="412"/>
      <c r="X923" s="412"/>
      <c r="Y923" s="412"/>
      <c r="Z923" s="412"/>
    </row>
    <row r="924" ht="13.5" customHeight="1">
      <c r="A924" s="473"/>
      <c r="B924" s="412"/>
      <c r="C924" s="412"/>
      <c r="D924" s="412"/>
      <c r="E924" s="412"/>
      <c r="F924" s="412"/>
      <c r="G924" s="412"/>
      <c r="H924" s="412"/>
      <c r="I924" s="412"/>
      <c r="J924" s="412"/>
      <c r="K924" s="412"/>
      <c r="L924" s="412"/>
      <c r="M924" s="412"/>
      <c r="N924" s="412"/>
      <c r="O924" s="412"/>
      <c r="P924" s="412"/>
      <c r="Q924" s="412"/>
      <c r="R924" s="412"/>
      <c r="S924" s="412"/>
      <c r="T924" s="412"/>
      <c r="U924" s="412"/>
      <c r="V924" s="412"/>
      <c r="W924" s="412"/>
      <c r="X924" s="412"/>
      <c r="Y924" s="412"/>
      <c r="Z924" s="412"/>
    </row>
    <row r="925" ht="13.5" customHeight="1">
      <c r="A925" s="473"/>
      <c r="B925" s="412"/>
      <c r="C925" s="412"/>
      <c r="D925" s="412"/>
      <c r="E925" s="412"/>
      <c r="F925" s="412"/>
      <c r="G925" s="412"/>
      <c r="H925" s="412"/>
      <c r="I925" s="412"/>
      <c r="J925" s="412"/>
      <c r="K925" s="412"/>
      <c r="L925" s="412"/>
      <c r="M925" s="412"/>
      <c r="N925" s="412"/>
      <c r="O925" s="412"/>
      <c r="P925" s="412"/>
      <c r="Q925" s="412"/>
      <c r="R925" s="412"/>
      <c r="S925" s="412"/>
      <c r="T925" s="412"/>
      <c r="U925" s="412"/>
      <c r="V925" s="412"/>
      <c r="W925" s="412"/>
      <c r="X925" s="412"/>
      <c r="Y925" s="412"/>
      <c r="Z925" s="412"/>
    </row>
    <row r="926" ht="13.5" customHeight="1">
      <c r="A926" s="473"/>
      <c r="B926" s="412"/>
      <c r="C926" s="412"/>
      <c r="D926" s="412"/>
      <c r="E926" s="412"/>
      <c r="F926" s="412"/>
      <c r="G926" s="412"/>
      <c r="H926" s="412"/>
      <c r="I926" s="412"/>
      <c r="J926" s="412"/>
      <c r="K926" s="412"/>
      <c r="L926" s="412"/>
      <c r="M926" s="412"/>
      <c r="N926" s="412"/>
      <c r="O926" s="412"/>
      <c r="P926" s="412"/>
      <c r="Q926" s="412"/>
      <c r="R926" s="412"/>
      <c r="S926" s="412"/>
      <c r="T926" s="412"/>
      <c r="U926" s="412"/>
      <c r="V926" s="412"/>
      <c r="W926" s="412"/>
      <c r="X926" s="412"/>
      <c r="Y926" s="412"/>
      <c r="Z926" s="412"/>
    </row>
    <row r="927" ht="13.5" customHeight="1">
      <c r="A927" s="473"/>
      <c r="B927" s="412"/>
      <c r="C927" s="412"/>
      <c r="D927" s="412"/>
      <c r="E927" s="412"/>
      <c r="F927" s="412"/>
      <c r="G927" s="412"/>
      <c r="H927" s="412"/>
      <c r="I927" s="412"/>
      <c r="J927" s="412"/>
      <c r="K927" s="412"/>
      <c r="L927" s="412"/>
      <c r="M927" s="412"/>
      <c r="N927" s="412"/>
      <c r="O927" s="412"/>
      <c r="P927" s="412"/>
      <c r="Q927" s="412"/>
      <c r="R927" s="412"/>
      <c r="S927" s="412"/>
      <c r="T927" s="412"/>
      <c r="U927" s="412"/>
      <c r="V927" s="412"/>
      <c r="W927" s="412"/>
      <c r="X927" s="412"/>
      <c r="Y927" s="412"/>
      <c r="Z927" s="412"/>
    </row>
    <row r="928" ht="13.5" customHeight="1">
      <c r="A928" s="473"/>
      <c r="B928" s="412"/>
      <c r="C928" s="412"/>
      <c r="D928" s="412"/>
      <c r="E928" s="412"/>
      <c r="F928" s="412"/>
      <c r="G928" s="412"/>
      <c r="H928" s="412"/>
      <c r="I928" s="412"/>
      <c r="J928" s="412"/>
      <c r="K928" s="412"/>
      <c r="L928" s="412"/>
      <c r="M928" s="412"/>
      <c r="N928" s="412"/>
      <c r="O928" s="412"/>
      <c r="P928" s="412"/>
      <c r="Q928" s="412"/>
      <c r="R928" s="412"/>
      <c r="S928" s="412"/>
      <c r="T928" s="412"/>
      <c r="U928" s="412"/>
      <c r="V928" s="412"/>
      <c r="W928" s="412"/>
      <c r="X928" s="412"/>
      <c r="Y928" s="412"/>
      <c r="Z928" s="412"/>
    </row>
    <row r="929" ht="13.5" customHeight="1">
      <c r="A929" s="473"/>
      <c r="B929" s="412"/>
      <c r="C929" s="412"/>
      <c r="D929" s="412"/>
      <c r="E929" s="412"/>
      <c r="F929" s="412"/>
      <c r="G929" s="412"/>
      <c r="H929" s="412"/>
      <c r="I929" s="412"/>
      <c r="J929" s="412"/>
      <c r="K929" s="412"/>
      <c r="L929" s="412"/>
      <c r="M929" s="412"/>
      <c r="N929" s="412"/>
      <c r="O929" s="412"/>
      <c r="P929" s="412"/>
      <c r="Q929" s="412"/>
      <c r="R929" s="412"/>
      <c r="S929" s="412"/>
      <c r="T929" s="412"/>
      <c r="U929" s="412"/>
      <c r="V929" s="412"/>
      <c r="W929" s="412"/>
      <c r="X929" s="412"/>
      <c r="Y929" s="412"/>
      <c r="Z929" s="412"/>
    </row>
    <row r="930" ht="13.5" customHeight="1">
      <c r="A930" s="473"/>
      <c r="B930" s="412"/>
      <c r="C930" s="412"/>
      <c r="D930" s="412"/>
      <c r="E930" s="412"/>
      <c r="F930" s="412"/>
      <c r="G930" s="412"/>
      <c r="H930" s="412"/>
      <c r="I930" s="412"/>
      <c r="J930" s="412"/>
      <c r="K930" s="412"/>
      <c r="L930" s="412"/>
      <c r="M930" s="412"/>
      <c r="N930" s="412"/>
      <c r="O930" s="412"/>
      <c r="P930" s="412"/>
      <c r="Q930" s="412"/>
      <c r="R930" s="412"/>
      <c r="S930" s="412"/>
      <c r="T930" s="412"/>
      <c r="U930" s="412"/>
      <c r="V930" s="412"/>
      <c r="W930" s="412"/>
      <c r="X930" s="412"/>
      <c r="Y930" s="412"/>
      <c r="Z930" s="412"/>
    </row>
    <row r="931" ht="13.5" customHeight="1">
      <c r="A931" s="473"/>
      <c r="B931" s="412"/>
      <c r="C931" s="412"/>
      <c r="D931" s="412"/>
      <c r="E931" s="412"/>
      <c r="F931" s="412"/>
      <c r="G931" s="412"/>
      <c r="H931" s="412"/>
      <c r="I931" s="412"/>
      <c r="J931" s="412"/>
      <c r="K931" s="412"/>
      <c r="L931" s="412"/>
      <c r="M931" s="412"/>
      <c r="N931" s="412"/>
      <c r="O931" s="412"/>
      <c r="P931" s="412"/>
      <c r="Q931" s="412"/>
      <c r="R931" s="412"/>
      <c r="S931" s="412"/>
      <c r="T931" s="412"/>
      <c r="U931" s="412"/>
      <c r="V931" s="412"/>
      <c r="W931" s="412"/>
      <c r="X931" s="412"/>
      <c r="Y931" s="412"/>
      <c r="Z931" s="412"/>
    </row>
    <row r="932" ht="13.5" customHeight="1">
      <c r="A932" s="473"/>
      <c r="B932" s="412"/>
      <c r="C932" s="412"/>
      <c r="D932" s="412"/>
      <c r="E932" s="412"/>
      <c r="F932" s="412"/>
      <c r="G932" s="412"/>
      <c r="H932" s="412"/>
      <c r="I932" s="412"/>
      <c r="J932" s="412"/>
      <c r="K932" s="412"/>
      <c r="L932" s="412"/>
      <c r="M932" s="412"/>
      <c r="N932" s="412"/>
      <c r="O932" s="412"/>
      <c r="P932" s="412"/>
      <c r="Q932" s="412"/>
      <c r="R932" s="412"/>
      <c r="S932" s="412"/>
      <c r="T932" s="412"/>
      <c r="U932" s="412"/>
      <c r="V932" s="412"/>
      <c r="W932" s="412"/>
      <c r="X932" s="412"/>
      <c r="Y932" s="412"/>
      <c r="Z932" s="412"/>
    </row>
    <row r="933" ht="13.5" customHeight="1">
      <c r="A933" s="473"/>
      <c r="B933" s="412"/>
      <c r="C933" s="412"/>
      <c r="D933" s="412"/>
      <c r="E933" s="412"/>
      <c r="F933" s="412"/>
      <c r="G933" s="412"/>
      <c r="H933" s="412"/>
      <c r="I933" s="412"/>
      <c r="J933" s="412"/>
      <c r="K933" s="412"/>
      <c r="L933" s="412"/>
      <c r="M933" s="412"/>
      <c r="N933" s="412"/>
      <c r="O933" s="412"/>
      <c r="P933" s="412"/>
      <c r="Q933" s="412"/>
      <c r="R933" s="412"/>
      <c r="S933" s="412"/>
      <c r="T933" s="412"/>
      <c r="U933" s="412"/>
      <c r="V933" s="412"/>
      <c r="W933" s="412"/>
      <c r="X933" s="412"/>
      <c r="Y933" s="412"/>
      <c r="Z933" s="412"/>
    </row>
    <row r="934" ht="13.5" customHeight="1">
      <c r="A934" s="473"/>
      <c r="B934" s="412"/>
      <c r="C934" s="412"/>
      <c r="D934" s="412"/>
      <c r="E934" s="412"/>
      <c r="F934" s="412"/>
      <c r="G934" s="412"/>
      <c r="H934" s="412"/>
      <c r="I934" s="412"/>
      <c r="J934" s="412"/>
      <c r="K934" s="412"/>
      <c r="L934" s="412"/>
      <c r="M934" s="412"/>
      <c r="N934" s="412"/>
      <c r="O934" s="412"/>
      <c r="P934" s="412"/>
      <c r="Q934" s="412"/>
      <c r="R934" s="412"/>
      <c r="S934" s="412"/>
      <c r="T934" s="412"/>
      <c r="U934" s="412"/>
      <c r="V934" s="412"/>
      <c r="W934" s="412"/>
      <c r="X934" s="412"/>
      <c r="Y934" s="412"/>
      <c r="Z934" s="412"/>
    </row>
    <row r="935" ht="13.5" customHeight="1">
      <c r="A935" s="473"/>
      <c r="B935" s="412"/>
      <c r="C935" s="412"/>
      <c r="D935" s="412"/>
      <c r="E935" s="412"/>
      <c r="F935" s="412"/>
      <c r="G935" s="412"/>
      <c r="H935" s="412"/>
      <c r="I935" s="412"/>
      <c r="J935" s="412"/>
      <c r="K935" s="412"/>
      <c r="L935" s="412"/>
      <c r="M935" s="412"/>
      <c r="N935" s="412"/>
      <c r="O935" s="412"/>
      <c r="P935" s="412"/>
      <c r="Q935" s="412"/>
      <c r="R935" s="412"/>
      <c r="S935" s="412"/>
      <c r="T935" s="412"/>
      <c r="U935" s="412"/>
      <c r="V935" s="412"/>
      <c r="W935" s="412"/>
      <c r="X935" s="412"/>
      <c r="Y935" s="412"/>
      <c r="Z935" s="412"/>
    </row>
    <row r="936" ht="13.5" customHeight="1">
      <c r="A936" s="473"/>
      <c r="B936" s="412"/>
      <c r="C936" s="412"/>
      <c r="D936" s="412"/>
      <c r="E936" s="412"/>
      <c r="F936" s="412"/>
      <c r="G936" s="412"/>
      <c r="H936" s="412"/>
      <c r="I936" s="412"/>
      <c r="J936" s="412"/>
      <c r="K936" s="412"/>
      <c r="L936" s="412"/>
      <c r="M936" s="412"/>
      <c r="N936" s="412"/>
      <c r="O936" s="412"/>
      <c r="P936" s="412"/>
      <c r="Q936" s="412"/>
      <c r="R936" s="412"/>
      <c r="S936" s="412"/>
      <c r="T936" s="412"/>
      <c r="U936" s="412"/>
      <c r="V936" s="412"/>
      <c r="W936" s="412"/>
      <c r="X936" s="412"/>
      <c r="Y936" s="412"/>
      <c r="Z936" s="412"/>
    </row>
    <row r="937" ht="13.5" customHeight="1">
      <c r="A937" s="473"/>
      <c r="B937" s="412"/>
      <c r="C937" s="412"/>
      <c r="D937" s="412"/>
      <c r="E937" s="412"/>
      <c r="F937" s="412"/>
      <c r="G937" s="412"/>
      <c r="H937" s="412"/>
      <c r="I937" s="412"/>
      <c r="J937" s="412"/>
      <c r="K937" s="412"/>
      <c r="L937" s="412"/>
      <c r="M937" s="412"/>
      <c r="N937" s="412"/>
      <c r="O937" s="412"/>
      <c r="P937" s="412"/>
      <c r="Q937" s="412"/>
      <c r="R937" s="412"/>
      <c r="S937" s="412"/>
      <c r="T937" s="412"/>
      <c r="U937" s="412"/>
      <c r="V937" s="412"/>
      <c r="W937" s="412"/>
      <c r="X937" s="412"/>
      <c r="Y937" s="412"/>
      <c r="Z937" s="412"/>
    </row>
    <row r="938" ht="13.5" customHeight="1">
      <c r="A938" s="473"/>
      <c r="B938" s="412"/>
      <c r="C938" s="412"/>
      <c r="D938" s="412"/>
      <c r="E938" s="412"/>
      <c r="F938" s="412"/>
      <c r="G938" s="412"/>
      <c r="H938" s="412"/>
      <c r="I938" s="412"/>
      <c r="J938" s="412"/>
      <c r="K938" s="412"/>
      <c r="L938" s="412"/>
      <c r="M938" s="412"/>
      <c r="N938" s="412"/>
      <c r="O938" s="412"/>
      <c r="P938" s="412"/>
      <c r="Q938" s="412"/>
      <c r="R938" s="412"/>
      <c r="S938" s="412"/>
      <c r="T938" s="412"/>
      <c r="U938" s="412"/>
      <c r="V938" s="412"/>
      <c r="W938" s="412"/>
      <c r="X938" s="412"/>
      <c r="Y938" s="412"/>
      <c r="Z938" s="412"/>
    </row>
    <row r="939" ht="13.5" customHeight="1">
      <c r="A939" s="473"/>
      <c r="B939" s="412"/>
      <c r="C939" s="412"/>
      <c r="D939" s="412"/>
      <c r="E939" s="412"/>
      <c r="F939" s="412"/>
      <c r="G939" s="412"/>
      <c r="H939" s="412"/>
      <c r="I939" s="412"/>
      <c r="J939" s="412"/>
      <c r="K939" s="412"/>
      <c r="L939" s="412"/>
      <c r="M939" s="412"/>
      <c r="N939" s="412"/>
      <c r="O939" s="412"/>
      <c r="P939" s="412"/>
      <c r="Q939" s="412"/>
      <c r="R939" s="412"/>
      <c r="S939" s="412"/>
      <c r="T939" s="412"/>
      <c r="U939" s="412"/>
      <c r="V939" s="412"/>
      <c r="W939" s="412"/>
      <c r="X939" s="412"/>
      <c r="Y939" s="412"/>
      <c r="Z939" s="412"/>
    </row>
    <row r="940" ht="13.5" customHeight="1">
      <c r="A940" s="473"/>
      <c r="B940" s="412"/>
      <c r="C940" s="412"/>
      <c r="D940" s="412"/>
      <c r="E940" s="412"/>
      <c r="F940" s="412"/>
      <c r="G940" s="412"/>
      <c r="H940" s="412"/>
      <c r="I940" s="412"/>
      <c r="J940" s="412"/>
      <c r="K940" s="412"/>
      <c r="L940" s="412"/>
      <c r="M940" s="412"/>
      <c r="N940" s="412"/>
      <c r="O940" s="412"/>
      <c r="P940" s="412"/>
      <c r="Q940" s="412"/>
      <c r="R940" s="412"/>
      <c r="S940" s="412"/>
      <c r="T940" s="412"/>
      <c r="U940" s="412"/>
      <c r="V940" s="412"/>
      <c r="W940" s="412"/>
      <c r="X940" s="412"/>
      <c r="Y940" s="412"/>
      <c r="Z940" s="412"/>
    </row>
    <row r="941" ht="13.5" customHeight="1">
      <c r="A941" s="473"/>
      <c r="B941" s="412"/>
      <c r="C941" s="412"/>
      <c r="D941" s="412"/>
      <c r="E941" s="412"/>
      <c r="F941" s="412"/>
      <c r="G941" s="412"/>
      <c r="H941" s="412"/>
      <c r="I941" s="412"/>
      <c r="J941" s="412"/>
      <c r="K941" s="412"/>
      <c r="L941" s="412"/>
      <c r="M941" s="412"/>
      <c r="N941" s="412"/>
      <c r="O941" s="412"/>
      <c r="P941" s="412"/>
      <c r="Q941" s="412"/>
      <c r="R941" s="412"/>
      <c r="S941" s="412"/>
      <c r="T941" s="412"/>
      <c r="U941" s="412"/>
      <c r="V941" s="412"/>
      <c r="W941" s="412"/>
      <c r="X941" s="412"/>
      <c r="Y941" s="412"/>
      <c r="Z941" s="412"/>
    </row>
    <row r="942" ht="13.5" customHeight="1">
      <c r="A942" s="473"/>
      <c r="B942" s="412"/>
      <c r="C942" s="412"/>
      <c r="D942" s="412"/>
      <c r="E942" s="412"/>
      <c r="F942" s="412"/>
      <c r="G942" s="412"/>
      <c r="H942" s="412"/>
      <c r="I942" s="412"/>
      <c r="J942" s="412"/>
      <c r="K942" s="412"/>
      <c r="L942" s="412"/>
      <c r="M942" s="412"/>
      <c r="N942" s="412"/>
      <c r="O942" s="412"/>
      <c r="P942" s="412"/>
      <c r="Q942" s="412"/>
      <c r="R942" s="412"/>
      <c r="S942" s="412"/>
      <c r="T942" s="412"/>
      <c r="U942" s="412"/>
      <c r="V942" s="412"/>
      <c r="W942" s="412"/>
      <c r="X942" s="412"/>
      <c r="Y942" s="412"/>
      <c r="Z942" s="412"/>
    </row>
    <row r="943" ht="13.5" customHeight="1">
      <c r="A943" s="473"/>
      <c r="B943" s="412"/>
      <c r="C943" s="412"/>
      <c r="D943" s="412"/>
      <c r="E943" s="412"/>
      <c r="F943" s="412"/>
      <c r="G943" s="412"/>
      <c r="H943" s="412"/>
      <c r="I943" s="412"/>
      <c r="J943" s="412"/>
      <c r="K943" s="412"/>
      <c r="L943" s="412"/>
      <c r="M943" s="412"/>
      <c r="N943" s="412"/>
      <c r="O943" s="412"/>
      <c r="P943" s="412"/>
      <c r="Q943" s="412"/>
      <c r="R943" s="412"/>
      <c r="S943" s="412"/>
      <c r="T943" s="412"/>
      <c r="U943" s="412"/>
      <c r="V943" s="412"/>
      <c r="W943" s="412"/>
      <c r="X943" s="412"/>
      <c r="Y943" s="412"/>
      <c r="Z943" s="412"/>
    </row>
    <row r="944" ht="13.5" customHeight="1">
      <c r="A944" s="473"/>
      <c r="B944" s="412"/>
      <c r="C944" s="412"/>
      <c r="D944" s="412"/>
      <c r="E944" s="412"/>
      <c r="F944" s="412"/>
      <c r="G944" s="412"/>
      <c r="H944" s="412"/>
      <c r="I944" s="412"/>
      <c r="J944" s="412"/>
      <c r="K944" s="412"/>
      <c r="L944" s="412"/>
      <c r="M944" s="412"/>
      <c r="N944" s="412"/>
      <c r="O944" s="412"/>
      <c r="P944" s="412"/>
      <c r="Q944" s="412"/>
      <c r="R944" s="412"/>
      <c r="S944" s="412"/>
      <c r="T944" s="412"/>
      <c r="U944" s="412"/>
      <c r="V944" s="412"/>
      <c r="W944" s="412"/>
      <c r="X944" s="412"/>
      <c r="Y944" s="412"/>
      <c r="Z944" s="412"/>
    </row>
    <row r="945" ht="13.5" customHeight="1">
      <c r="A945" s="473"/>
      <c r="B945" s="412"/>
      <c r="C945" s="412"/>
      <c r="D945" s="412"/>
      <c r="E945" s="412"/>
      <c r="F945" s="412"/>
      <c r="G945" s="412"/>
      <c r="H945" s="412"/>
      <c r="I945" s="412"/>
      <c r="J945" s="412"/>
      <c r="K945" s="412"/>
      <c r="L945" s="412"/>
      <c r="M945" s="412"/>
      <c r="N945" s="412"/>
      <c r="O945" s="412"/>
      <c r="P945" s="412"/>
      <c r="Q945" s="412"/>
      <c r="R945" s="412"/>
      <c r="S945" s="412"/>
      <c r="T945" s="412"/>
      <c r="U945" s="412"/>
      <c r="V945" s="412"/>
      <c r="W945" s="412"/>
      <c r="X945" s="412"/>
      <c r="Y945" s="412"/>
      <c r="Z945" s="412"/>
    </row>
    <row r="946" ht="13.5" customHeight="1">
      <c r="A946" s="473"/>
      <c r="B946" s="412"/>
      <c r="C946" s="412"/>
      <c r="D946" s="412"/>
      <c r="E946" s="412"/>
      <c r="F946" s="412"/>
      <c r="G946" s="412"/>
      <c r="H946" s="412"/>
      <c r="I946" s="412"/>
      <c r="J946" s="412"/>
      <c r="K946" s="412"/>
      <c r="L946" s="412"/>
      <c r="M946" s="412"/>
      <c r="N946" s="412"/>
      <c r="O946" s="412"/>
      <c r="P946" s="412"/>
      <c r="Q946" s="412"/>
      <c r="R946" s="412"/>
      <c r="S946" s="412"/>
      <c r="T946" s="412"/>
      <c r="U946" s="412"/>
      <c r="V946" s="412"/>
      <c r="W946" s="412"/>
      <c r="X946" s="412"/>
      <c r="Y946" s="412"/>
      <c r="Z946" s="412"/>
    </row>
    <row r="947" ht="13.5" customHeight="1">
      <c r="A947" s="473"/>
      <c r="B947" s="412"/>
      <c r="C947" s="412"/>
      <c r="D947" s="412"/>
      <c r="E947" s="412"/>
      <c r="F947" s="412"/>
      <c r="G947" s="412"/>
      <c r="H947" s="412"/>
      <c r="I947" s="412"/>
      <c r="J947" s="412"/>
      <c r="K947" s="412"/>
      <c r="L947" s="412"/>
      <c r="M947" s="412"/>
      <c r="N947" s="412"/>
      <c r="O947" s="412"/>
      <c r="P947" s="412"/>
      <c r="Q947" s="412"/>
      <c r="R947" s="412"/>
      <c r="S947" s="412"/>
      <c r="T947" s="412"/>
      <c r="U947" s="412"/>
      <c r="V947" s="412"/>
      <c r="W947" s="412"/>
      <c r="X947" s="412"/>
      <c r="Y947" s="412"/>
      <c r="Z947" s="412"/>
    </row>
    <row r="948" ht="13.5" customHeight="1">
      <c r="A948" s="473"/>
      <c r="B948" s="412"/>
      <c r="C948" s="412"/>
      <c r="D948" s="412"/>
      <c r="E948" s="412"/>
      <c r="F948" s="412"/>
      <c r="G948" s="412"/>
      <c r="H948" s="412"/>
      <c r="I948" s="412"/>
      <c r="J948" s="412"/>
      <c r="K948" s="412"/>
      <c r="L948" s="412"/>
      <c r="M948" s="412"/>
      <c r="N948" s="412"/>
      <c r="O948" s="412"/>
      <c r="P948" s="412"/>
      <c r="Q948" s="412"/>
      <c r="R948" s="412"/>
      <c r="S948" s="412"/>
      <c r="T948" s="412"/>
      <c r="U948" s="412"/>
      <c r="V948" s="412"/>
      <c r="W948" s="412"/>
      <c r="X948" s="412"/>
      <c r="Y948" s="412"/>
      <c r="Z948" s="412"/>
    </row>
    <row r="949" ht="13.5" customHeight="1">
      <c r="A949" s="473"/>
      <c r="B949" s="412"/>
      <c r="C949" s="412"/>
      <c r="D949" s="412"/>
      <c r="E949" s="412"/>
      <c r="F949" s="412"/>
      <c r="G949" s="412"/>
      <c r="H949" s="412"/>
      <c r="I949" s="412"/>
      <c r="J949" s="412"/>
      <c r="K949" s="412"/>
      <c r="L949" s="412"/>
      <c r="M949" s="412"/>
      <c r="N949" s="412"/>
      <c r="O949" s="412"/>
      <c r="P949" s="412"/>
      <c r="Q949" s="412"/>
      <c r="R949" s="412"/>
      <c r="S949" s="412"/>
      <c r="T949" s="412"/>
      <c r="U949" s="412"/>
      <c r="V949" s="412"/>
      <c r="W949" s="412"/>
      <c r="X949" s="412"/>
      <c r="Y949" s="412"/>
      <c r="Z949" s="412"/>
    </row>
    <row r="950" ht="13.5" customHeight="1">
      <c r="A950" s="473"/>
      <c r="B950" s="412"/>
      <c r="C950" s="412"/>
      <c r="D950" s="412"/>
      <c r="E950" s="412"/>
      <c r="F950" s="412"/>
      <c r="G950" s="412"/>
      <c r="H950" s="412"/>
      <c r="I950" s="412"/>
      <c r="J950" s="412"/>
      <c r="K950" s="412"/>
      <c r="L950" s="412"/>
      <c r="M950" s="412"/>
      <c r="N950" s="412"/>
      <c r="O950" s="412"/>
      <c r="P950" s="412"/>
      <c r="Q950" s="412"/>
      <c r="R950" s="412"/>
      <c r="S950" s="412"/>
      <c r="T950" s="412"/>
      <c r="U950" s="412"/>
      <c r="V950" s="412"/>
      <c r="W950" s="412"/>
      <c r="X950" s="412"/>
      <c r="Y950" s="412"/>
      <c r="Z950" s="412"/>
    </row>
    <row r="951" ht="13.5" customHeight="1">
      <c r="A951" s="473"/>
      <c r="B951" s="412"/>
      <c r="C951" s="412"/>
      <c r="D951" s="412"/>
      <c r="E951" s="412"/>
      <c r="F951" s="412"/>
      <c r="G951" s="412"/>
      <c r="H951" s="412"/>
      <c r="I951" s="412"/>
      <c r="J951" s="412"/>
      <c r="K951" s="412"/>
      <c r="L951" s="412"/>
      <c r="M951" s="412"/>
      <c r="N951" s="412"/>
      <c r="O951" s="412"/>
      <c r="P951" s="412"/>
      <c r="Q951" s="412"/>
      <c r="R951" s="412"/>
      <c r="S951" s="412"/>
      <c r="T951" s="412"/>
      <c r="U951" s="412"/>
      <c r="V951" s="412"/>
      <c r="W951" s="412"/>
      <c r="X951" s="412"/>
      <c r="Y951" s="412"/>
      <c r="Z951" s="412"/>
    </row>
    <row r="952" ht="13.5" customHeight="1">
      <c r="A952" s="473"/>
      <c r="B952" s="412"/>
      <c r="C952" s="412"/>
      <c r="D952" s="412"/>
      <c r="E952" s="412"/>
      <c r="F952" s="412"/>
      <c r="G952" s="412"/>
      <c r="H952" s="412"/>
      <c r="I952" s="412"/>
      <c r="J952" s="412"/>
      <c r="K952" s="412"/>
      <c r="L952" s="412"/>
      <c r="M952" s="412"/>
      <c r="N952" s="412"/>
      <c r="O952" s="412"/>
      <c r="P952" s="412"/>
      <c r="Q952" s="412"/>
      <c r="R952" s="412"/>
      <c r="S952" s="412"/>
      <c r="T952" s="412"/>
      <c r="U952" s="412"/>
      <c r="V952" s="412"/>
      <c r="W952" s="412"/>
      <c r="X952" s="412"/>
      <c r="Y952" s="412"/>
      <c r="Z952" s="412"/>
    </row>
    <row r="953" ht="13.5" customHeight="1">
      <c r="A953" s="473"/>
      <c r="B953" s="412"/>
      <c r="C953" s="412"/>
      <c r="D953" s="412"/>
      <c r="E953" s="412"/>
      <c r="F953" s="412"/>
      <c r="G953" s="412"/>
      <c r="H953" s="412"/>
      <c r="I953" s="412"/>
      <c r="J953" s="412"/>
      <c r="K953" s="412"/>
      <c r="L953" s="412"/>
      <c r="M953" s="412"/>
      <c r="N953" s="412"/>
      <c r="O953" s="412"/>
      <c r="P953" s="412"/>
      <c r="Q953" s="412"/>
      <c r="R953" s="412"/>
      <c r="S953" s="412"/>
      <c r="T953" s="412"/>
      <c r="U953" s="412"/>
      <c r="V953" s="412"/>
      <c r="W953" s="412"/>
      <c r="X953" s="412"/>
      <c r="Y953" s="412"/>
      <c r="Z953" s="412"/>
    </row>
    <row r="954" ht="13.5" customHeight="1">
      <c r="A954" s="473"/>
      <c r="B954" s="412"/>
      <c r="C954" s="412"/>
      <c r="D954" s="412"/>
      <c r="E954" s="412"/>
      <c r="F954" s="412"/>
      <c r="G954" s="412"/>
      <c r="H954" s="412"/>
      <c r="I954" s="412"/>
      <c r="J954" s="412"/>
      <c r="K954" s="412"/>
      <c r="L954" s="412"/>
      <c r="M954" s="412"/>
      <c r="N954" s="412"/>
      <c r="O954" s="412"/>
      <c r="P954" s="412"/>
      <c r="Q954" s="412"/>
      <c r="R954" s="412"/>
      <c r="S954" s="412"/>
      <c r="T954" s="412"/>
      <c r="U954" s="412"/>
      <c r="V954" s="412"/>
      <c r="W954" s="412"/>
      <c r="X954" s="412"/>
      <c r="Y954" s="412"/>
      <c r="Z954" s="412"/>
    </row>
    <row r="955" ht="13.5" customHeight="1">
      <c r="A955" s="473"/>
      <c r="B955" s="412"/>
      <c r="C955" s="412"/>
      <c r="D955" s="412"/>
      <c r="E955" s="412"/>
      <c r="F955" s="412"/>
      <c r="G955" s="412"/>
      <c r="H955" s="412"/>
      <c r="I955" s="412"/>
      <c r="J955" s="412"/>
      <c r="K955" s="412"/>
      <c r="L955" s="412"/>
      <c r="M955" s="412"/>
      <c r="N955" s="412"/>
      <c r="O955" s="412"/>
      <c r="P955" s="412"/>
      <c r="Q955" s="412"/>
      <c r="R955" s="412"/>
      <c r="S955" s="412"/>
      <c r="T955" s="412"/>
      <c r="U955" s="412"/>
      <c r="V955" s="412"/>
      <c r="W955" s="412"/>
      <c r="X955" s="412"/>
      <c r="Y955" s="412"/>
      <c r="Z955" s="412"/>
    </row>
    <row r="956" ht="13.5" customHeight="1">
      <c r="A956" s="473"/>
      <c r="B956" s="412"/>
      <c r="C956" s="412"/>
      <c r="D956" s="412"/>
      <c r="E956" s="412"/>
      <c r="F956" s="412"/>
      <c r="G956" s="412"/>
      <c r="H956" s="412"/>
      <c r="I956" s="412"/>
      <c r="J956" s="412"/>
      <c r="K956" s="412"/>
      <c r="L956" s="412"/>
      <c r="M956" s="412"/>
      <c r="N956" s="412"/>
      <c r="O956" s="412"/>
      <c r="P956" s="412"/>
      <c r="Q956" s="412"/>
      <c r="R956" s="412"/>
      <c r="S956" s="412"/>
      <c r="T956" s="412"/>
      <c r="U956" s="412"/>
      <c r="V956" s="412"/>
      <c r="W956" s="412"/>
      <c r="X956" s="412"/>
      <c r="Y956" s="412"/>
      <c r="Z956" s="412"/>
    </row>
    <row r="957" ht="13.5" customHeight="1">
      <c r="A957" s="473"/>
      <c r="B957" s="412"/>
      <c r="C957" s="412"/>
      <c r="D957" s="412"/>
      <c r="E957" s="412"/>
      <c r="F957" s="412"/>
      <c r="G957" s="412"/>
      <c r="H957" s="412"/>
      <c r="I957" s="412"/>
      <c r="J957" s="412"/>
      <c r="K957" s="412"/>
      <c r="L957" s="412"/>
      <c r="M957" s="412"/>
      <c r="N957" s="412"/>
      <c r="O957" s="412"/>
      <c r="P957" s="412"/>
      <c r="Q957" s="412"/>
      <c r="R957" s="412"/>
      <c r="S957" s="412"/>
      <c r="T957" s="412"/>
      <c r="U957" s="412"/>
      <c r="V957" s="412"/>
      <c r="W957" s="412"/>
      <c r="X957" s="412"/>
      <c r="Y957" s="412"/>
      <c r="Z957" s="412"/>
    </row>
    <row r="958" ht="13.5" customHeight="1">
      <c r="A958" s="473"/>
      <c r="B958" s="412"/>
      <c r="C958" s="412"/>
      <c r="D958" s="412"/>
      <c r="E958" s="412"/>
      <c r="F958" s="412"/>
      <c r="G958" s="412"/>
      <c r="H958" s="412"/>
      <c r="I958" s="412"/>
      <c r="J958" s="412"/>
      <c r="K958" s="412"/>
      <c r="L958" s="412"/>
      <c r="M958" s="412"/>
      <c r="N958" s="412"/>
      <c r="O958" s="412"/>
      <c r="P958" s="412"/>
      <c r="Q958" s="412"/>
      <c r="R958" s="412"/>
      <c r="S958" s="412"/>
      <c r="T958" s="412"/>
      <c r="U958" s="412"/>
      <c r="V958" s="412"/>
      <c r="W958" s="412"/>
      <c r="X958" s="412"/>
      <c r="Y958" s="412"/>
      <c r="Z958" s="412"/>
    </row>
    <row r="959" ht="13.5" customHeight="1">
      <c r="A959" s="473"/>
      <c r="B959" s="412"/>
      <c r="C959" s="412"/>
      <c r="D959" s="412"/>
      <c r="E959" s="412"/>
      <c r="F959" s="412"/>
      <c r="G959" s="412"/>
      <c r="H959" s="412"/>
      <c r="I959" s="412"/>
      <c r="J959" s="412"/>
      <c r="K959" s="412"/>
      <c r="L959" s="412"/>
      <c r="M959" s="412"/>
      <c r="N959" s="412"/>
      <c r="O959" s="412"/>
      <c r="P959" s="412"/>
      <c r="Q959" s="412"/>
      <c r="R959" s="412"/>
      <c r="S959" s="412"/>
      <c r="T959" s="412"/>
      <c r="U959" s="412"/>
      <c r="V959" s="412"/>
      <c r="W959" s="412"/>
      <c r="X959" s="412"/>
      <c r="Y959" s="412"/>
      <c r="Z959" s="412"/>
    </row>
    <row r="960" ht="13.5" customHeight="1">
      <c r="A960" s="473"/>
      <c r="B960" s="412"/>
      <c r="C960" s="412"/>
      <c r="D960" s="412"/>
      <c r="E960" s="412"/>
      <c r="F960" s="412"/>
      <c r="G960" s="412"/>
      <c r="H960" s="412"/>
      <c r="I960" s="412"/>
      <c r="J960" s="412"/>
      <c r="K960" s="412"/>
      <c r="L960" s="412"/>
      <c r="M960" s="412"/>
      <c r="N960" s="412"/>
      <c r="O960" s="412"/>
      <c r="P960" s="412"/>
      <c r="Q960" s="412"/>
      <c r="R960" s="412"/>
      <c r="S960" s="412"/>
      <c r="T960" s="412"/>
      <c r="U960" s="412"/>
      <c r="V960" s="412"/>
      <c r="W960" s="412"/>
      <c r="X960" s="412"/>
      <c r="Y960" s="412"/>
      <c r="Z960" s="412"/>
    </row>
    <row r="961" ht="13.5" customHeight="1">
      <c r="A961" s="473"/>
      <c r="B961" s="412"/>
      <c r="C961" s="412"/>
      <c r="D961" s="412"/>
      <c r="E961" s="412"/>
      <c r="F961" s="412"/>
      <c r="G961" s="412"/>
      <c r="H961" s="412"/>
      <c r="I961" s="412"/>
      <c r="J961" s="412"/>
      <c r="K961" s="412"/>
      <c r="L961" s="412"/>
      <c r="M961" s="412"/>
      <c r="N961" s="412"/>
      <c r="O961" s="412"/>
      <c r="P961" s="412"/>
      <c r="Q961" s="412"/>
      <c r="R961" s="412"/>
      <c r="S961" s="412"/>
      <c r="T961" s="412"/>
      <c r="U961" s="412"/>
      <c r="V961" s="412"/>
      <c r="W961" s="412"/>
      <c r="X961" s="412"/>
      <c r="Y961" s="412"/>
      <c r="Z961" s="412"/>
    </row>
    <row r="962" ht="13.5" customHeight="1">
      <c r="A962" s="473"/>
      <c r="B962" s="412"/>
      <c r="C962" s="412"/>
      <c r="D962" s="412"/>
      <c r="E962" s="412"/>
      <c r="F962" s="412"/>
      <c r="G962" s="412"/>
      <c r="H962" s="412"/>
      <c r="I962" s="412"/>
      <c r="J962" s="412"/>
      <c r="K962" s="412"/>
      <c r="L962" s="412"/>
      <c r="M962" s="412"/>
      <c r="N962" s="412"/>
      <c r="O962" s="412"/>
      <c r="P962" s="412"/>
      <c r="Q962" s="412"/>
      <c r="R962" s="412"/>
      <c r="S962" s="412"/>
      <c r="T962" s="412"/>
      <c r="U962" s="412"/>
      <c r="V962" s="412"/>
      <c r="W962" s="412"/>
      <c r="X962" s="412"/>
      <c r="Y962" s="412"/>
      <c r="Z962" s="412"/>
    </row>
    <row r="963" ht="13.5" customHeight="1">
      <c r="A963" s="473"/>
      <c r="B963" s="412"/>
      <c r="C963" s="412"/>
      <c r="D963" s="412"/>
      <c r="E963" s="412"/>
      <c r="F963" s="412"/>
      <c r="G963" s="412"/>
      <c r="H963" s="412"/>
      <c r="I963" s="412"/>
      <c r="J963" s="412"/>
      <c r="K963" s="412"/>
      <c r="L963" s="412"/>
      <c r="M963" s="412"/>
      <c r="N963" s="412"/>
      <c r="O963" s="412"/>
      <c r="P963" s="412"/>
      <c r="Q963" s="412"/>
      <c r="R963" s="412"/>
      <c r="S963" s="412"/>
      <c r="T963" s="412"/>
      <c r="U963" s="412"/>
      <c r="V963" s="412"/>
      <c r="W963" s="412"/>
      <c r="X963" s="412"/>
      <c r="Y963" s="412"/>
      <c r="Z963" s="412"/>
    </row>
    <row r="964" ht="13.5" customHeight="1">
      <c r="A964" s="473"/>
      <c r="B964" s="412"/>
      <c r="C964" s="412"/>
      <c r="D964" s="412"/>
      <c r="E964" s="412"/>
      <c r="F964" s="412"/>
      <c r="G964" s="412"/>
      <c r="H964" s="412"/>
      <c r="I964" s="412"/>
      <c r="J964" s="412"/>
      <c r="K964" s="412"/>
      <c r="L964" s="412"/>
      <c r="M964" s="412"/>
      <c r="N964" s="412"/>
      <c r="O964" s="412"/>
      <c r="P964" s="412"/>
      <c r="Q964" s="412"/>
      <c r="R964" s="412"/>
      <c r="S964" s="412"/>
      <c r="T964" s="412"/>
      <c r="U964" s="412"/>
      <c r="V964" s="412"/>
      <c r="W964" s="412"/>
      <c r="X964" s="412"/>
      <c r="Y964" s="412"/>
      <c r="Z964" s="412"/>
    </row>
    <row r="965" ht="13.5" customHeight="1">
      <c r="A965" s="473"/>
      <c r="B965" s="412"/>
      <c r="C965" s="412"/>
      <c r="D965" s="412"/>
      <c r="E965" s="412"/>
      <c r="F965" s="412"/>
      <c r="G965" s="412"/>
      <c r="H965" s="412"/>
      <c r="I965" s="412"/>
      <c r="J965" s="412"/>
      <c r="K965" s="412"/>
      <c r="L965" s="412"/>
      <c r="M965" s="412"/>
      <c r="N965" s="412"/>
      <c r="O965" s="412"/>
      <c r="P965" s="412"/>
      <c r="Q965" s="412"/>
      <c r="R965" s="412"/>
      <c r="S965" s="412"/>
      <c r="T965" s="412"/>
      <c r="U965" s="412"/>
      <c r="V965" s="412"/>
      <c r="W965" s="412"/>
      <c r="X965" s="412"/>
      <c r="Y965" s="412"/>
      <c r="Z965" s="412"/>
    </row>
    <row r="966" ht="13.5" customHeight="1">
      <c r="A966" s="473"/>
      <c r="B966" s="412"/>
      <c r="C966" s="412"/>
      <c r="D966" s="412"/>
      <c r="E966" s="412"/>
      <c r="F966" s="412"/>
      <c r="G966" s="412"/>
      <c r="H966" s="412"/>
      <c r="I966" s="412"/>
      <c r="J966" s="412"/>
      <c r="K966" s="412"/>
      <c r="L966" s="412"/>
      <c r="M966" s="412"/>
      <c r="N966" s="412"/>
      <c r="O966" s="412"/>
      <c r="P966" s="412"/>
      <c r="Q966" s="412"/>
      <c r="R966" s="412"/>
      <c r="S966" s="412"/>
      <c r="T966" s="412"/>
      <c r="U966" s="412"/>
      <c r="V966" s="412"/>
      <c r="W966" s="412"/>
      <c r="X966" s="412"/>
      <c r="Y966" s="412"/>
      <c r="Z966" s="412"/>
    </row>
    <row r="967" ht="13.5" customHeight="1">
      <c r="A967" s="473"/>
      <c r="B967" s="412"/>
      <c r="C967" s="412"/>
      <c r="D967" s="412"/>
      <c r="E967" s="412"/>
      <c r="F967" s="412"/>
      <c r="G967" s="412"/>
      <c r="H967" s="412"/>
      <c r="I967" s="412"/>
      <c r="J967" s="412"/>
      <c r="K967" s="412"/>
      <c r="L967" s="412"/>
      <c r="M967" s="412"/>
      <c r="N967" s="412"/>
      <c r="O967" s="412"/>
      <c r="P967" s="412"/>
      <c r="Q967" s="412"/>
      <c r="R967" s="412"/>
      <c r="S967" s="412"/>
      <c r="T967" s="412"/>
      <c r="U967" s="412"/>
      <c r="V967" s="412"/>
      <c r="W967" s="412"/>
      <c r="X967" s="412"/>
      <c r="Y967" s="412"/>
      <c r="Z967" s="412"/>
    </row>
    <row r="968" ht="13.5" customHeight="1">
      <c r="A968" s="473"/>
      <c r="B968" s="412"/>
      <c r="C968" s="412"/>
      <c r="D968" s="412"/>
      <c r="E968" s="412"/>
      <c r="F968" s="412"/>
      <c r="G968" s="412"/>
      <c r="H968" s="412"/>
      <c r="I968" s="412"/>
      <c r="J968" s="412"/>
      <c r="K968" s="412"/>
      <c r="L968" s="412"/>
      <c r="M968" s="412"/>
      <c r="N968" s="412"/>
      <c r="O968" s="412"/>
      <c r="P968" s="412"/>
      <c r="Q968" s="412"/>
      <c r="R968" s="412"/>
      <c r="S968" s="412"/>
      <c r="T968" s="412"/>
      <c r="U968" s="412"/>
      <c r="V968" s="412"/>
      <c r="W968" s="412"/>
      <c r="X968" s="412"/>
      <c r="Y968" s="412"/>
      <c r="Z968" s="412"/>
    </row>
    <row r="969" ht="13.5" customHeight="1">
      <c r="A969" s="473"/>
      <c r="B969" s="412"/>
      <c r="C969" s="412"/>
      <c r="D969" s="412"/>
      <c r="E969" s="412"/>
      <c r="F969" s="412"/>
      <c r="G969" s="412"/>
      <c r="H969" s="412"/>
      <c r="I969" s="412"/>
      <c r="J969" s="412"/>
      <c r="K969" s="412"/>
      <c r="L969" s="412"/>
      <c r="M969" s="412"/>
      <c r="N969" s="412"/>
      <c r="O969" s="412"/>
      <c r="P969" s="412"/>
      <c r="Q969" s="412"/>
      <c r="R969" s="412"/>
      <c r="S969" s="412"/>
      <c r="T969" s="412"/>
      <c r="U969" s="412"/>
      <c r="V969" s="412"/>
      <c r="W969" s="412"/>
      <c r="X969" s="412"/>
      <c r="Y969" s="412"/>
      <c r="Z969" s="412"/>
    </row>
    <row r="970" ht="13.5" customHeight="1">
      <c r="A970" s="473"/>
      <c r="B970" s="412"/>
      <c r="C970" s="412"/>
      <c r="D970" s="412"/>
      <c r="E970" s="412"/>
      <c r="F970" s="412"/>
      <c r="G970" s="412"/>
      <c r="H970" s="412"/>
      <c r="I970" s="412"/>
      <c r="J970" s="412"/>
      <c r="K970" s="412"/>
      <c r="L970" s="412"/>
      <c r="M970" s="412"/>
      <c r="N970" s="412"/>
      <c r="O970" s="412"/>
      <c r="P970" s="412"/>
      <c r="Q970" s="412"/>
      <c r="R970" s="412"/>
      <c r="S970" s="412"/>
      <c r="T970" s="412"/>
      <c r="U970" s="412"/>
      <c r="V970" s="412"/>
      <c r="W970" s="412"/>
      <c r="X970" s="412"/>
      <c r="Y970" s="412"/>
      <c r="Z970" s="412"/>
    </row>
    <row r="971" ht="13.5" customHeight="1">
      <c r="A971" s="473"/>
      <c r="B971" s="412"/>
      <c r="C971" s="412"/>
      <c r="D971" s="412"/>
      <c r="E971" s="412"/>
      <c r="F971" s="412"/>
      <c r="G971" s="412"/>
      <c r="H971" s="412"/>
      <c r="I971" s="412"/>
      <c r="J971" s="412"/>
      <c r="K971" s="412"/>
      <c r="L971" s="412"/>
      <c r="M971" s="412"/>
      <c r="N971" s="412"/>
      <c r="O971" s="412"/>
      <c r="P971" s="412"/>
      <c r="Q971" s="412"/>
      <c r="R971" s="412"/>
      <c r="S971" s="412"/>
      <c r="T971" s="412"/>
      <c r="U971" s="412"/>
      <c r="V971" s="412"/>
      <c r="W971" s="412"/>
      <c r="X971" s="412"/>
      <c r="Y971" s="412"/>
      <c r="Z971" s="412"/>
    </row>
    <row r="972" ht="13.5" customHeight="1">
      <c r="A972" s="473"/>
      <c r="B972" s="412"/>
      <c r="C972" s="412"/>
      <c r="D972" s="412"/>
      <c r="E972" s="412"/>
      <c r="F972" s="412"/>
      <c r="G972" s="412"/>
      <c r="H972" s="412"/>
      <c r="I972" s="412"/>
      <c r="J972" s="412"/>
      <c r="K972" s="412"/>
      <c r="L972" s="412"/>
      <c r="M972" s="412"/>
      <c r="N972" s="412"/>
      <c r="O972" s="412"/>
      <c r="P972" s="412"/>
      <c r="Q972" s="412"/>
      <c r="R972" s="412"/>
      <c r="S972" s="412"/>
      <c r="T972" s="412"/>
      <c r="U972" s="412"/>
      <c r="V972" s="412"/>
      <c r="W972" s="412"/>
      <c r="X972" s="412"/>
      <c r="Y972" s="412"/>
      <c r="Z972" s="412"/>
    </row>
    <row r="973" ht="13.5" customHeight="1">
      <c r="A973" s="473"/>
      <c r="B973" s="412"/>
      <c r="C973" s="412"/>
      <c r="D973" s="412"/>
      <c r="E973" s="412"/>
      <c r="F973" s="412"/>
      <c r="G973" s="412"/>
      <c r="H973" s="412"/>
      <c r="I973" s="412"/>
      <c r="J973" s="412"/>
      <c r="K973" s="412"/>
      <c r="L973" s="412"/>
      <c r="M973" s="412"/>
      <c r="N973" s="412"/>
      <c r="O973" s="412"/>
      <c r="P973" s="412"/>
      <c r="Q973" s="412"/>
      <c r="R973" s="412"/>
      <c r="S973" s="412"/>
      <c r="T973" s="412"/>
      <c r="U973" s="412"/>
      <c r="V973" s="412"/>
      <c r="W973" s="412"/>
      <c r="X973" s="412"/>
      <c r="Y973" s="412"/>
      <c r="Z973" s="412"/>
    </row>
    <row r="974" ht="13.5" customHeight="1">
      <c r="A974" s="473"/>
      <c r="B974" s="412"/>
      <c r="C974" s="412"/>
      <c r="D974" s="412"/>
      <c r="E974" s="412"/>
      <c r="F974" s="412"/>
      <c r="G974" s="412"/>
      <c r="H974" s="412"/>
      <c r="I974" s="412"/>
      <c r="J974" s="412"/>
      <c r="K974" s="412"/>
      <c r="L974" s="412"/>
      <c r="M974" s="412"/>
      <c r="N974" s="412"/>
      <c r="O974" s="412"/>
      <c r="P974" s="412"/>
      <c r="Q974" s="412"/>
      <c r="R974" s="412"/>
      <c r="S974" s="412"/>
      <c r="T974" s="412"/>
      <c r="U974" s="412"/>
      <c r="V974" s="412"/>
      <c r="W974" s="412"/>
      <c r="X974" s="412"/>
      <c r="Y974" s="412"/>
      <c r="Z974" s="412"/>
    </row>
    <row r="975" ht="13.5" customHeight="1">
      <c r="A975" s="473"/>
      <c r="B975" s="412"/>
      <c r="C975" s="412"/>
      <c r="D975" s="412"/>
      <c r="E975" s="412"/>
      <c r="F975" s="412"/>
      <c r="G975" s="412"/>
      <c r="H975" s="412"/>
      <c r="I975" s="412"/>
      <c r="J975" s="412"/>
      <c r="K975" s="412"/>
      <c r="L975" s="412"/>
      <c r="M975" s="412"/>
      <c r="N975" s="412"/>
      <c r="O975" s="412"/>
      <c r="P975" s="412"/>
      <c r="Q975" s="412"/>
      <c r="R975" s="412"/>
      <c r="S975" s="412"/>
      <c r="T975" s="412"/>
      <c r="U975" s="412"/>
      <c r="V975" s="412"/>
      <c r="W975" s="412"/>
      <c r="X975" s="412"/>
      <c r="Y975" s="412"/>
      <c r="Z975" s="412"/>
    </row>
    <row r="976" ht="13.5" customHeight="1">
      <c r="A976" s="473"/>
      <c r="B976" s="412"/>
      <c r="C976" s="412"/>
      <c r="D976" s="412"/>
      <c r="E976" s="412"/>
      <c r="F976" s="412"/>
      <c r="G976" s="412"/>
      <c r="H976" s="412"/>
      <c r="I976" s="412"/>
      <c r="J976" s="412"/>
      <c r="K976" s="412"/>
      <c r="L976" s="412"/>
      <c r="M976" s="412"/>
      <c r="N976" s="412"/>
      <c r="O976" s="412"/>
      <c r="P976" s="412"/>
      <c r="Q976" s="412"/>
      <c r="R976" s="412"/>
      <c r="S976" s="412"/>
      <c r="T976" s="412"/>
      <c r="U976" s="412"/>
      <c r="V976" s="412"/>
      <c r="W976" s="412"/>
      <c r="X976" s="412"/>
      <c r="Y976" s="412"/>
      <c r="Z976" s="412"/>
    </row>
    <row r="977" ht="13.5" customHeight="1">
      <c r="A977" s="473"/>
      <c r="B977" s="412"/>
      <c r="C977" s="412"/>
      <c r="D977" s="412"/>
      <c r="E977" s="412"/>
      <c r="F977" s="412"/>
      <c r="G977" s="412"/>
      <c r="H977" s="412"/>
      <c r="I977" s="412"/>
      <c r="J977" s="412"/>
      <c r="K977" s="412"/>
      <c r="L977" s="412"/>
      <c r="M977" s="412"/>
      <c r="N977" s="412"/>
      <c r="O977" s="412"/>
      <c r="P977" s="412"/>
      <c r="Q977" s="412"/>
      <c r="R977" s="412"/>
      <c r="S977" s="412"/>
      <c r="T977" s="412"/>
      <c r="U977" s="412"/>
      <c r="V977" s="412"/>
      <c r="W977" s="412"/>
      <c r="X977" s="412"/>
      <c r="Y977" s="412"/>
      <c r="Z977" s="412"/>
    </row>
    <row r="978" ht="13.5" customHeight="1">
      <c r="A978" s="473"/>
      <c r="B978" s="412"/>
      <c r="C978" s="412"/>
      <c r="D978" s="412"/>
      <c r="E978" s="412"/>
      <c r="F978" s="412"/>
      <c r="G978" s="412"/>
      <c r="H978" s="412"/>
      <c r="I978" s="412"/>
      <c r="J978" s="412"/>
      <c r="K978" s="412"/>
      <c r="L978" s="412"/>
      <c r="M978" s="412"/>
      <c r="N978" s="412"/>
      <c r="O978" s="412"/>
      <c r="P978" s="412"/>
      <c r="Q978" s="412"/>
      <c r="R978" s="412"/>
      <c r="S978" s="412"/>
      <c r="T978" s="412"/>
      <c r="U978" s="412"/>
      <c r="V978" s="412"/>
      <c r="W978" s="412"/>
      <c r="X978" s="412"/>
      <c r="Y978" s="412"/>
      <c r="Z978" s="412"/>
    </row>
    <row r="979" ht="13.5" customHeight="1">
      <c r="A979" s="473"/>
      <c r="B979" s="412"/>
      <c r="C979" s="412"/>
      <c r="D979" s="412"/>
      <c r="E979" s="412"/>
      <c r="F979" s="412"/>
      <c r="G979" s="412"/>
      <c r="H979" s="412"/>
      <c r="I979" s="412"/>
      <c r="J979" s="412"/>
      <c r="K979" s="412"/>
      <c r="L979" s="412"/>
      <c r="M979" s="412"/>
      <c r="N979" s="412"/>
      <c r="O979" s="412"/>
      <c r="P979" s="412"/>
      <c r="Q979" s="412"/>
      <c r="R979" s="412"/>
      <c r="S979" s="412"/>
      <c r="T979" s="412"/>
      <c r="U979" s="412"/>
      <c r="V979" s="412"/>
      <c r="W979" s="412"/>
      <c r="X979" s="412"/>
      <c r="Y979" s="412"/>
      <c r="Z979" s="412"/>
    </row>
    <row r="980" ht="13.5" customHeight="1">
      <c r="A980" s="473"/>
      <c r="B980" s="412"/>
      <c r="C980" s="412"/>
      <c r="D980" s="412"/>
      <c r="E980" s="412"/>
      <c r="F980" s="412"/>
      <c r="G980" s="412"/>
      <c r="H980" s="412"/>
      <c r="I980" s="412"/>
      <c r="J980" s="412"/>
      <c r="K980" s="412"/>
      <c r="L980" s="412"/>
      <c r="M980" s="412"/>
      <c r="N980" s="412"/>
      <c r="O980" s="412"/>
      <c r="P980" s="412"/>
      <c r="Q980" s="412"/>
      <c r="R980" s="412"/>
      <c r="S980" s="412"/>
      <c r="T980" s="412"/>
      <c r="U980" s="412"/>
      <c r="V980" s="412"/>
      <c r="W980" s="412"/>
      <c r="X980" s="412"/>
      <c r="Y980" s="412"/>
      <c r="Z980" s="412"/>
    </row>
    <row r="981" ht="13.5" customHeight="1">
      <c r="A981" s="473"/>
      <c r="B981" s="412"/>
      <c r="C981" s="412"/>
      <c r="D981" s="412"/>
      <c r="E981" s="412"/>
      <c r="F981" s="412"/>
      <c r="G981" s="412"/>
      <c r="H981" s="412"/>
      <c r="I981" s="412"/>
      <c r="J981" s="412"/>
      <c r="K981" s="412"/>
      <c r="L981" s="412"/>
      <c r="M981" s="412"/>
      <c r="N981" s="412"/>
      <c r="O981" s="412"/>
      <c r="P981" s="412"/>
      <c r="Q981" s="412"/>
      <c r="R981" s="412"/>
      <c r="S981" s="412"/>
      <c r="T981" s="412"/>
      <c r="U981" s="412"/>
      <c r="V981" s="412"/>
      <c r="W981" s="412"/>
      <c r="X981" s="412"/>
      <c r="Y981" s="412"/>
      <c r="Z981" s="412"/>
    </row>
    <row r="982" ht="13.5" customHeight="1">
      <c r="A982" s="473"/>
      <c r="B982" s="412"/>
      <c r="C982" s="412"/>
      <c r="D982" s="412"/>
      <c r="E982" s="412"/>
      <c r="F982" s="412"/>
      <c r="G982" s="412"/>
      <c r="H982" s="412"/>
      <c r="I982" s="412"/>
      <c r="J982" s="412"/>
      <c r="K982" s="412"/>
      <c r="L982" s="412"/>
      <c r="M982" s="412"/>
      <c r="N982" s="412"/>
      <c r="O982" s="412"/>
      <c r="P982" s="412"/>
      <c r="Q982" s="412"/>
      <c r="R982" s="412"/>
      <c r="S982" s="412"/>
      <c r="T982" s="412"/>
      <c r="U982" s="412"/>
      <c r="V982" s="412"/>
      <c r="W982" s="412"/>
      <c r="X982" s="412"/>
      <c r="Y982" s="412"/>
      <c r="Z982" s="412"/>
    </row>
    <row r="983" ht="13.5" customHeight="1">
      <c r="A983" s="473"/>
      <c r="B983" s="412"/>
      <c r="C983" s="412"/>
      <c r="D983" s="412"/>
      <c r="E983" s="412"/>
      <c r="F983" s="412"/>
      <c r="G983" s="412"/>
      <c r="H983" s="412"/>
      <c r="I983" s="412"/>
      <c r="J983" s="412"/>
      <c r="K983" s="412"/>
      <c r="L983" s="412"/>
      <c r="M983" s="412"/>
      <c r="N983" s="412"/>
      <c r="O983" s="412"/>
      <c r="P983" s="412"/>
      <c r="Q983" s="412"/>
      <c r="R983" s="412"/>
      <c r="S983" s="412"/>
      <c r="T983" s="412"/>
      <c r="U983" s="412"/>
      <c r="V983" s="412"/>
      <c r="W983" s="412"/>
      <c r="X983" s="412"/>
      <c r="Y983" s="412"/>
      <c r="Z983" s="412"/>
    </row>
    <row r="984" ht="13.5" customHeight="1">
      <c r="A984" s="473"/>
      <c r="B984" s="412"/>
      <c r="C984" s="412"/>
      <c r="D984" s="412"/>
      <c r="E984" s="412"/>
      <c r="F984" s="412"/>
      <c r="G984" s="412"/>
      <c r="H984" s="412"/>
      <c r="I984" s="412"/>
      <c r="J984" s="412"/>
      <c r="K984" s="412"/>
      <c r="L984" s="412"/>
      <c r="M984" s="412"/>
      <c r="N984" s="412"/>
      <c r="O984" s="412"/>
      <c r="P984" s="412"/>
      <c r="Q984" s="412"/>
      <c r="R984" s="412"/>
      <c r="S984" s="412"/>
      <c r="T984" s="412"/>
      <c r="U984" s="412"/>
      <c r="V984" s="412"/>
      <c r="W984" s="412"/>
      <c r="X984" s="412"/>
      <c r="Y984" s="412"/>
      <c r="Z984" s="412"/>
    </row>
    <row r="985" ht="13.5" customHeight="1">
      <c r="A985" s="473"/>
      <c r="B985" s="412"/>
      <c r="C985" s="412"/>
      <c r="D985" s="412"/>
      <c r="E985" s="412"/>
      <c r="F985" s="412"/>
      <c r="G985" s="412"/>
      <c r="H985" s="412"/>
      <c r="I985" s="412"/>
      <c r="J985" s="412"/>
      <c r="K985" s="412"/>
      <c r="L985" s="412"/>
      <c r="M985" s="412"/>
      <c r="N985" s="412"/>
      <c r="O985" s="412"/>
      <c r="P985" s="412"/>
      <c r="Q985" s="412"/>
      <c r="R985" s="412"/>
      <c r="S985" s="412"/>
      <c r="T985" s="412"/>
      <c r="U985" s="412"/>
      <c r="V985" s="412"/>
      <c r="W985" s="412"/>
      <c r="X985" s="412"/>
      <c r="Y985" s="412"/>
      <c r="Z985" s="412"/>
    </row>
    <row r="986" ht="13.5" customHeight="1">
      <c r="A986" s="473"/>
      <c r="B986" s="412"/>
      <c r="C986" s="412"/>
      <c r="D986" s="412"/>
      <c r="E986" s="412"/>
      <c r="F986" s="412"/>
      <c r="G986" s="412"/>
      <c r="H986" s="412"/>
      <c r="I986" s="412"/>
      <c r="J986" s="412"/>
      <c r="K986" s="412"/>
      <c r="L986" s="412"/>
      <c r="M986" s="412"/>
      <c r="N986" s="412"/>
      <c r="O986" s="412"/>
      <c r="P986" s="412"/>
      <c r="Q986" s="412"/>
      <c r="R986" s="412"/>
      <c r="S986" s="412"/>
      <c r="T986" s="412"/>
      <c r="U986" s="412"/>
      <c r="V986" s="412"/>
      <c r="W986" s="412"/>
      <c r="X986" s="412"/>
      <c r="Y986" s="412"/>
      <c r="Z986" s="412"/>
    </row>
    <row r="987" ht="13.5" customHeight="1">
      <c r="A987" s="473"/>
      <c r="B987" s="412"/>
      <c r="C987" s="412"/>
      <c r="D987" s="412"/>
      <c r="E987" s="412"/>
      <c r="F987" s="412"/>
      <c r="G987" s="412"/>
      <c r="H987" s="412"/>
      <c r="I987" s="412"/>
      <c r="J987" s="412"/>
      <c r="K987" s="412"/>
      <c r="L987" s="412"/>
      <c r="M987" s="412"/>
      <c r="N987" s="412"/>
      <c r="O987" s="412"/>
      <c r="P987" s="412"/>
      <c r="Q987" s="412"/>
      <c r="R987" s="412"/>
      <c r="S987" s="412"/>
      <c r="T987" s="412"/>
      <c r="U987" s="412"/>
      <c r="V987" s="412"/>
      <c r="W987" s="412"/>
      <c r="X987" s="412"/>
      <c r="Y987" s="412"/>
      <c r="Z987" s="412"/>
    </row>
    <row r="988" ht="13.5" customHeight="1">
      <c r="A988" s="473"/>
      <c r="B988" s="412"/>
      <c r="C988" s="412"/>
      <c r="D988" s="412"/>
      <c r="E988" s="412"/>
      <c r="F988" s="412"/>
      <c r="G988" s="412"/>
      <c r="H988" s="412"/>
      <c r="I988" s="412"/>
      <c r="J988" s="412"/>
      <c r="K988" s="412"/>
      <c r="L988" s="412"/>
      <c r="M988" s="412"/>
      <c r="N988" s="412"/>
      <c r="O988" s="412"/>
      <c r="P988" s="412"/>
      <c r="Q988" s="412"/>
      <c r="R988" s="412"/>
      <c r="S988" s="412"/>
      <c r="T988" s="412"/>
      <c r="U988" s="412"/>
      <c r="V988" s="412"/>
      <c r="W988" s="412"/>
      <c r="X988" s="412"/>
      <c r="Y988" s="412"/>
      <c r="Z988" s="412"/>
    </row>
    <row r="989" ht="13.5" customHeight="1">
      <c r="A989" s="473"/>
      <c r="B989" s="412"/>
      <c r="C989" s="412"/>
      <c r="D989" s="412"/>
      <c r="E989" s="412"/>
      <c r="F989" s="412"/>
      <c r="G989" s="412"/>
      <c r="H989" s="412"/>
      <c r="I989" s="412"/>
      <c r="J989" s="412"/>
      <c r="K989" s="412"/>
      <c r="L989" s="412"/>
      <c r="M989" s="412"/>
      <c r="N989" s="412"/>
      <c r="O989" s="412"/>
      <c r="P989" s="412"/>
      <c r="Q989" s="412"/>
      <c r="R989" s="412"/>
      <c r="S989" s="412"/>
      <c r="T989" s="412"/>
      <c r="U989" s="412"/>
      <c r="V989" s="412"/>
      <c r="W989" s="412"/>
      <c r="X989" s="412"/>
      <c r="Y989" s="412"/>
      <c r="Z989" s="412"/>
    </row>
    <row r="990" ht="13.5" customHeight="1">
      <c r="A990" s="473"/>
      <c r="B990" s="412"/>
      <c r="C990" s="412"/>
      <c r="D990" s="412"/>
      <c r="E990" s="412"/>
      <c r="F990" s="412"/>
      <c r="G990" s="412"/>
      <c r="H990" s="412"/>
      <c r="I990" s="412"/>
      <c r="J990" s="412"/>
      <c r="K990" s="412"/>
      <c r="L990" s="412"/>
      <c r="M990" s="412"/>
      <c r="N990" s="412"/>
      <c r="O990" s="412"/>
      <c r="P990" s="412"/>
      <c r="Q990" s="412"/>
      <c r="R990" s="412"/>
      <c r="S990" s="412"/>
      <c r="T990" s="412"/>
      <c r="U990" s="412"/>
      <c r="V990" s="412"/>
      <c r="W990" s="412"/>
      <c r="X990" s="412"/>
      <c r="Y990" s="412"/>
      <c r="Z990" s="412"/>
    </row>
    <row r="991" ht="13.5" customHeight="1">
      <c r="A991" s="473"/>
      <c r="B991" s="412"/>
      <c r="C991" s="412"/>
      <c r="D991" s="412"/>
      <c r="E991" s="412"/>
      <c r="F991" s="412"/>
      <c r="G991" s="412"/>
      <c r="H991" s="412"/>
      <c r="I991" s="412"/>
      <c r="J991" s="412"/>
      <c r="K991" s="412"/>
      <c r="L991" s="412"/>
      <c r="M991" s="412"/>
      <c r="N991" s="412"/>
      <c r="O991" s="412"/>
      <c r="P991" s="412"/>
      <c r="Q991" s="412"/>
      <c r="R991" s="412"/>
      <c r="S991" s="412"/>
      <c r="T991" s="412"/>
      <c r="U991" s="412"/>
      <c r="V991" s="412"/>
      <c r="W991" s="412"/>
      <c r="X991" s="412"/>
      <c r="Y991" s="412"/>
      <c r="Z991" s="412"/>
    </row>
    <row r="992" ht="13.5" customHeight="1">
      <c r="A992" s="473"/>
      <c r="B992" s="412"/>
      <c r="C992" s="412"/>
      <c r="D992" s="412"/>
      <c r="E992" s="412"/>
      <c r="F992" s="412"/>
      <c r="G992" s="412"/>
      <c r="H992" s="412"/>
      <c r="I992" s="412"/>
      <c r="J992" s="412"/>
      <c r="K992" s="412"/>
      <c r="L992" s="412"/>
      <c r="M992" s="412"/>
      <c r="N992" s="412"/>
      <c r="O992" s="412"/>
      <c r="P992" s="412"/>
      <c r="Q992" s="412"/>
      <c r="R992" s="412"/>
      <c r="S992" s="412"/>
      <c r="T992" s="412"/>
      <c r="U992" s="412"/>
      <c r="V992" s="412"/>
      <c r="W992" s="412"/>
      <c r="X992" s="412"/>
      <c r="Y992" s="412"/>
      <c r="Z992" s="412"/>
    </row>
    <row r="993" ht="13.5" customHeight="1">
      <c r="A993" s="473"/>
      <c r="B993" s="412"/>
      <c r="C993" s="412"/>
      <c r="D993" s="412"/>
      <c r="E993" s="412"/>
      <c r="F993" s="412"/>
      <c r="G993" s="412"/>
      <c r="H993" s="412"/>
      <c r="I993" s="412"/>
      <c r="J993" s="412"/>
      <c r="K993" s="412"/>
      <c r="L993" s="412"/>
      <c r="M993" s="412"/>
      <c r="N993" s="412"/>
      <c r="O993" s="412"/>
      <c r="P993" s="412"/>
      <c r="Q993" s="412"/>
      <c r="R993" s="412"/>
      <c r="S993" s="412"/>
      <c r="T993" s="412"/>
      <c r="U993" s="412"/>
      <c r="V993" s="412"/>
      <c r="W993" s="412"/>
      <c r="X993" s="412"/>
      <c r="Y993" s="412"/>
      <c r="Z993" s="412"/>
    </row>
    <row r="994" ht="13.5" customHeight="1">
      <c r="A994" s="473"/>
      <c r="B994" s="412"/>
      <c r="C994" s="412"/>
      <c r="D994" s="412"/>
      <c r="E994" s="412"/>
      <c r="F994" s="412"/>
      <c r="G994" s="412"/>
      <c r="H994" s="412"/>
      <c r="I994" s="412"/>
      <c r="J994" s="412"/>
      <c r="K994" s="412"/>
      <c r="L994" s="412"/>
      <c r="M994" s="412"/>
      <c r="N994" s="412"/>
      <c r="O994" s="412"/>
      <c r="P994" s="412"/>
      <c r="Q994" s="412"/>
      <c r="R994" s="412"/>
      <c r="S994" s="412"/>
      <c r="T994" s="412"/>
      <c r="U994" s="412"/>
      <c r="V994" s="412"/>
      <c r="W994" s="412"/>
      <c r="X994" s="412"/>
      <c r="Y994" s="412"/>
      <c r="Z994" s="412"/>
    </row>
    <row r="995" ht="13.5" customHeight="1">
      <c r="A995" s="473"/>
      <c r="B995" s="412"/>
      <c r="C995" s="412"/>
      <c r="D995" s="412"/>
      <c r="E995" s="412"/>
      <c r="F995" s="412"/>
      <c r="G995" s="412"/>
      <c r="H995" s="412"/>
      <c r="I995" s="412"/>
      <c r="J995" s="412"/>
      <c r="K995" s="412"/>
      <c r="L995" s="412"/>
      <c r="M995" s="412"/>
      <c r="N995" s="412"/>
      <c r="O995" s="412"/>
      <c r="P995" s="412"/>
      <c r="Q995" s="412"/>
      <c r="R995" s="412"/>
      <c r="S995" s="412"/>
      <c r="T995" s="412"/>
      <c r="U995" s="412"/>
      <c r="V995" s="412"/>
      <c r="W995" s="412"/>
      <c r="X995" s="412"/>
      <c r="Y995" s="412"/>
      <c r="Z995" s="412"/>
    </row>
    <row r="996" ht="13.5" customHeight="1">
      <c r="A996" s="473"/>
      <c r="B996" s="412"/>
      <c r="C996" s="412"/>
      <c r="D996" s="412"/>
      <c r="E996" s="412"/>
      <c r="F996" s="412"/>
      <c r="G996" s="412"/>
      <c r="H996" s="412"/>
      <c r="I996" s="412"/>
      <c r="J996" s="412"/>
      <c r="K996" s="412"/>
      <c r="L996" s="412"/>
      <c r="M996" s="412"/>
      <c r="N996" s="412"/>
      <c r="O996" s="412"/>
      <c r="P996" s="412"/>
      <c r="Q996" s="412"/>
      <c r="R996" s="412"/>
      <c r="S996" s="412"/>
      <c r="T996" s="412"/>
      <c r="U996" s="412"/>
      <c r="V996" s="412"/>
      <c r="W996" s="412"/>
      <c r="X996" s="412"/>
      <c r="Y996" s="412"/>
      <c r="Z996" s="412"/>
    </row>
    <row r="997" ht="13.5" customHeight="1">
      <c r="A997" s="473"/>
      <c r="B997" s="412"/>
      <c r="C997" s="412"/>
      <c r="D997" s="412"/>
      <c r="E997" s="412"/>
      <c r="F997" s="412"/>
      <c r="G997" s="412"/>
      <c r="H997" s="412"/>
      <c r="I997" s="412"/>
      <c r="J997" s="412"/>
      <c r="K997" s="412"/>
      <c r="L997" s="412"/>
      <c r="M997" s="412"/>
      <c r="N997" s="412"/>
      <c r="O997" s="412"/>
      <c r="P997" s="412"/>
      <c r="Q997" s="412"/>
      <c r="R997" s="412"/>
      <c r="S997" s="412"/>
      <c r="T997" s="412"/>
      <c r="U997" s="412"/>
      <c r="V997" s="412"/>
      <c r="W997" s="412"/>
      <c r="X997" s="412"/>
      <c r="Y997" s="412"/>
      <c r="Z997" s="412"/>
    </row>
    <row r="998" ht="13.5" customHeight="1">
      <c r="A998" s="473"/>
      <c r="B998" s="412"/>
      <c r="C998" s="412"/>
      <c r="D998" s="412"/>
      <c r="E998" s="412"/>
      <c r="F998" s="412"/>
      <c r="G998" s="412"/>
      <c r="H998" s="412"/>
      <c r="I998" s="412"/>
      <c r="J998" s="412"/>
      <c r="K998" s="412"/>
      <c r="L998" s="412"/>
      <c r="M998" s="412"/>
      <c r="N998" s="412"/>
      <c r="O998" s="412"/>
      <c r="P998" s="412"/>
      <c r="Q998" s="412"/>
      <c r="R998" s="412"/>
      <c r="S998" s="412"/>
      <c r="T998" s="412"/>
      <c r="U998" s="412"/>
      <c r="V998" s="412"/>
      <c r="W998" s="412"/>
      <c r="X998" s="412"/>
      <c r="Y998" s="412"/>
      <c r="Z998" s="412"/>
    </row>
    <row r="999" ht="13.5" customHeight="1">
      <c r="A999" s="473"/>
      <c r="B999" s="412"/>
      <c r="C999" s="412"/>
      <c r="D999" s="412"/>
      <c r="E999" s="412"/>
      <c r="F999" s="412"/>
      <c r="G999" s="412"/>
      <c r="H999" s="412"/>
      <c r="I999" s="412"/>
      <c r="J999" s="412"/>
      <c r="K999" s="412"/>
      <c r="L999" s="412"/>
      <c r="M999" s="412"/>
      <c r="N999" s="412"/>
      <c r="O999" s="412"/>
      <c r="P999" s="412"/>
      <c r="Q999" s="412"/>
      <c r="R999" s="412"/>
      <c r="S999" s="412"/>
      <c r="T999" s="412"/>
      <c r="U999" s="412"/>
      <c r="V999" s="412"/>
      <c r="W999" s="412"/>
      <c r="X999" s="412"/>
      <c r="Y999" s="412"/>
      <c r="Z999" s="412"/>
    </row>
    <row r="1000" ht="13.5" customHeight="1">
      <c r="A1000" s="473"/>
      <c r="B1000" s="412"/>
      <c r="C1000" s="412"/>
      <c r="D1000" s="412"/>
      <c r="E1000" s="412"/>
      <c r="F1000" s="412"/>
      <c r="G1000" s="412"/>
      <c r="H1000" s="412"/>
      <c r="I1000" s="412"/>
      <c r="J1000" s="412"/>
      <c r="K1000" s="412"/>
      <c r="L1000" s="412"/>
      <c r="M1000" s="412"/>
      <c r="N1000" s="412"/>
      <c r="O1000" s="412"/>
      <c r="P1000" s="412"/>
      <c r="Q1000" s="412"/>
      <c r="R1000" s="412"/>
      <c r="S1000" s="412"/>
      <c r="T1000" s="412"/>
      <c r="U1000" s="412"/>
      <c r="V1000" s="412"/>
      <c r="W1000" s="412"/>
      <c r="X1000" s="412"/>
      <c r="Y1000" s="412"/>
      <c r="Z1000" s="412"/>
    </row>
  </sheetData>
  <mergeCells count="3">
    <mergeCell ref="D1:J1"/>
    <mergeCell ref="K1:N1"/>
    <mergeCell ref="O1:Q1"/>
  </mergeCells>
  <conditionalFormatting sqref="T1:U22">
    <cfRule type="containsText" dxfId="4" priority="1" operator="containsText" text="نيهال عبدالعزيز">
      <formula>NOT(ISERROR(SEARCH(("نيهال عبدالعزيز"),(T1))))</formula>
    </cfRule>
  </conditionalFormatting>
  <conditionalFormatting sqref="T29:U29">
    <cfRule type="containsText" dxfId="4" priority="2" operator="containsText" text="نيهال عبدالعزيز">
      <formula>NOT(ISERROR(SEARCH(("نيهال عبدالعزيز"),(T29))))</formula>
    </cfRule>
  </conditionalFormatting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14.71"/>
    <col customWidth="1" min="3" max="3" width="7.71"/>
    <col customWidth="1" min="4" max="4" width="14.29"/>
    <col customWidth="1" min="5" max="5" width="36.71"/>
    <col customWidth="1" min="6" max="6" width="35.14"/>
    <col customWidth="1" min="7" max="7" width="27.29"/>
    <col customWidth="1" hidden="1" min="8" max="8" width="8.86"/>
    <col customWidth="1" hidden="1" min="9" max="9" width="8.14"/>
    <col customWidth="1" hidden="1" min="10" max="10" width="10.57"/>
    <col customWidth="1" hidden="1" min="11" max="12" width="6.0"/>
    <col customWidth="1" hidden="1" min="13" max="13" width="4.71"/>
    <col customWidth="1" hidden="1" min="14" max="14" width="5.29"/>
    <col customWidth="1" hidden="1" min="15" max="15" width="7.14"/>
    <col customWidth="1" hidden="1" min="16" max="16" width="9.57"/>
    <col customWidth="1" hidden="1" min="17" max="17" width="9.0"/>
    <col customWidth="1" hidden="1" min="18" max="18" width="8.0"/>
  </cols>
  <sheetData>
    <row r="1" ht="26.25" customHeight="1">
      <c r="A1" s="158" t="s">
        <v>793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 ht="26.25" customHeight="1">
      <c r="A2" s="102" t="s">
        <v>4</v>
      </c>
      <c r="B2" s="102" t="s">
        <v>5</v>
      </c>
      <c r="C2" s="102" t="s">
        <v>126</v>
      </c>
      <c r="D2" s="102" t="s">
        <v>6</v>
      </c>
      <c r="E2" s="102" t="s">
        <v>7</v>
      </c>
      <c r="F2" s="102" t="s">
        <v>127</v>
      </c>
      <c r="G2" s="103" t="s">
        <v>128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ht="26.25" customHeight="1">
      <c r="A3" s="104">
        <v>1.0</v>
      </c>
      <c r="B3" s="105">
        <v>46089.0</v>
      </c>
      <c r="C3" s="106" t="s">
        <v>129</v>
      </c>
      <c r="D3" s="107" t="s">
        <v>2393</v>
      </c>
      <c r="E3" s="107" t="s">
        <v>2394</v>
      </c>
      <c r="F3" s="108">
        <v>40.0</v>
      </c>
      <c r="G3" s="111" t="s">
        <v>2395</v>
      </c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ht="26.25" customHeight="1">
      <c r="A4" s="104">
        <v>2.0</v>
      </c>
      <c r="B4" s="120"/>
      <c r="C4" s="110"/>
      <c r="D4" s="107"/>
      <c r="E4" s="107" t="s">
        <v>2396</v>
      </c>
      <c r="F4" s="108">
        <f>35</f>
        <v>35</v>
      </c>
      <c r="G4" s="10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ht="26.25" customHeight="1">
      <c r="A5" s="104">
        <v>3.0</v>
      </c>
      <c r="B5" s="120"/>
      <c r="C5" s="110"/>
      <c r="D5" s="107"/>
      <c r="E5" s="107" t="s">
        <v>727</v>
      </c>
      <c r="F5" s="108" t="s">
        <v>2397</v>
      </c>
      <c r="G5" s="10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ht="26.25" customHeight="1">
      <c r="A6" s="104">
        <v>4.0</v>
      </c>
      <c r="B6" s="120"/>
      <c r="C6" s="110"/>
      <c r="D6" s="107"/>
      <c r="E6" s="107" t="s">
        <v>69</v>
      </c>
      <c r="F6" s="108" t="s">
        <v>2398</v>
      </c>
      <c r="G6" s="10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ht="26.25" customHeight="1">
      <c r="A7" s="104">
        <v>5.0</v>
      </c>
      <c r="B7" s="120"/>
      <c r="C7" s="110"/>
      <c r="D7" s="107"/>
      <c r="E7" s="107" t="s">
        <v>2399</v>
      </c>
      <c r="F7" s="108">
        <v>35.0</v>
      </c>
      <c r="G7" s="111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ht="26.25" customHeight="1">
      <c r="A8" s="104">
        <v>6.0</v>
      </c>
      <c r="B8" s="120"/>
      <c r="C8" s="110"/>
      <c r="D8" s="107"/>
      <c r="E8" s="107" t="s">
        <v>177</v>
      </c>
      <c r="F8" s="546">
        <v>35.0</v>
      </c>
      <c r="G8" s="177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</row>
    <row r="9" ht="26.25" customHeight="1">
      <c r="A9" s="104">
        <v>7.0</v>
      </c>
      <c r="B9" s="120"/>
      <c r="C9" s="110"/>
      <c r="D9" s="107"/>
      <c r="E9" s="107" t="s">
        <v>2400</v>
      </c>
      <c r="F9" s="108">
        <v>30.0</v>
      </c>
      <c r="G9" s="10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</row>
    <row r="10" ht="26.25" customHeight="1">
      <c r="A10" s="104">
        <v>8.0</v>
      </c>
      <c r="B10" s="120"/>
      <c r="C10" s="110"/>
      <c r="D10" s="107"/>
      <c r="E10" s="107" t="s">
        <v>2401</v>
      </c>
      <c r="F10" s="108">
        <v>30.0</v>
      </c>
      <c r="G10" s="10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ht="26.25" customHeight="1">
      <c r="A11" s="104">
        <v>9.0</v>
      </c>
      <c r="B11" s="120"/>
      <c r="C11" s="110"/>
      <c r="D11" s="107"/>
      <c r="E11" s="107" t="s">
        <v>2402</v>
      </c>
      <c r="F11" s="111" t="s">
        <v>2403</v>
      </c>
      <c r="G11" s="111" t="s">
        <v>2404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</row>
    <row r="12" ht="26.25" customHeight="1">
      <c r="A12" s="104">
        <v>10.0</v>
      </c>
      <c r="B12" s="120"/>
      <c r="C12" s="110"/>
      <c r="D12" s="107"/>
      <c r="E12" s="107" t="s">
        <v>848</v>
      </c>
      <c r="F12" s="108">
        <v>50.0</v>
      </c>
      <c r="G12" s="10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</row>
    <row r="13" ht="26.25" customHeight="1">
      <c r="A13" s="104">
        <v>11.0</v>
      </c>
      <c r="B13" s="120"/>
      <c r="C13" s="110"/>
      <c r="D13" s="107"/>
      <c r="E13" s="107"/>
      <c r="F13" s="109"/>
      <c r="G13" s="10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ht="26.25" customHeight="1">
      <c r="A14" s="104">
        <v>12.0</v>
      </c>
      <c r="B14" s="120"/>
      <c r="C14" s="110"/>
      <c r="D14" s="107"/>
      <c r="E14" s="107"/>
      <c r="F14" s="108"/>
      <c r="G14" s="10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</row>
    <row r="15" ht="26.25" customHeight="1">
      <c r="A15" s="104">
        <v>13.0</v>
      </c>
      <c r="B15" s="120"/>
      <c r="C15" s="110"/>
      <c r="D15" s="107"/>
      <c r="E15" s="107"/>
      <c r="F15" s="108"/>
      <c r="G15" s="10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ht="26.25" customHeight="1">
      <c r="A16" s="104">
        <v>14.0</v>
      </c>
      <c r="B16" s="120"/>
      <c r="C16" s="110"/>
      <c r="D16" s="107"/>
      <c r="E16" s="107"/>
      <c r="F16" s="108"/>
      <c r="G16" s="10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ht="26.25" customHeight="1">
      <c r="A17" s="122">
        <v>15.0</v>
      </c>
      <c r="B17" s="123"/>
      <c r="C17" s="124"/>
      <c r="D17" s="107"/>
      <c r="E17" s="107"/>
      <c r="F17" s="108"/>
      <c r="G17" s="10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ht="26.25" customHeight="1">
      <c r="A18" s="112"/>
      <c r="B18" s="113"/>
      <c r="C18" s="114"/>
      <c r="D18" s="114"/>
      <c r="E18" s="99" t="s">
        <v>144</v>
      </c>
      <c r="F18" s="100">
        <v>500.0</v>
      </c>
      <c r="G18" s="114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ht="26.25" customHeight="1">
      <c r="A19" s="115"/>
      <c r="B19" s="113"/>
      <c r="C19" s="114"/>
      <c r="D19" s="114"/>
      <c r="E19" s="99" t="s">
        <v>145</v>
      </c>
      <c r="F19" s="100">
        <v>1295.0</v>
      </c>
      <c r="G19" s="114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ht="26.25" customHeight="1">
      <c r="A20" s="115"/>
      <c r="B20" s="113"/>
      <c r="C20" s="114"/>
      <c r="D20" s="114"/>
      <c r="E20" s="99" t="s">
        <v>146</v>
      </c>
      <c r="F20" s="100">
        <v>405.0</v>
      </c>
      <c r="G20" s="114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</row>
    <row r="21" ht="26.25" customHeight="1">
      <c r="A21" s="115"/>
      <c r="B21" s="113"/>
      <c r="C21" s="114"/>
      <c r="D21" s="114"/>
      <c r="E21" s="99" t="s">
        <v>147</v>
      </c>
      <c r="F21" s="100">
        <v>305.0</v>
      </c>
      <c r="G21" s="114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ht="26.25" customHeight="1">
      <c r="A22" s="115"/>
      <c r="B22" s="113"/>
      <c r="C22" s="114"/>
      <c r="D22" s="114"/>
      <c r="E22" s="99" t="s">
        <v>148</v>
      </c>
      <c r="F22" s="100">
        <v>990.0</v>
      </c>
      <c r="G22" s="547" t="s">
        <v>2405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ht="26.25" customHeight="1">
      <c r="A23" s="285"/>
      <c r="B23" s="282"/>
      <c r="C23" s="286"/>
      <c r="D23" s="286"/>
      <c r="E23" s="282"/>
      <c r="F23" s="548"/>
      <c r="G23" s="286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</row>
    <row r="24" ht="26.25" customHeight="1">
      <c r="A24" s="118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ht="26.25" customHeight="1">
      <c r="A25" s="102" t="s">
        <v>4</v>
      </c>
      <c r="B25" s="102" t="s">
        <v>5</v>
      </c>
      <c r="C25" s="102" t="s">
        <v>126</v>
      </c>
      <c r="D25" s="102" t="s">
        <v>6</v>
      </c>
      <c r="E25" s="102" t="s">
        <v>7</v>
      </c>
      <c r="F25" s="102" t="s">
        <v>127</v>
      </c>
      <c r="G25" s="103" t="s">
        <v>128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</row>
    <row r="26" ht="26.25" customHeight="1">
      <c r="A26" s="104">
        <v>1.0</v>
      </c>
      <c r="B26" s="105">
        <v>46090.0</v>
      </c>
      <c r="C26" s="106" t="s">
        <v>261</v>
      </c>
      <c r="D26" s="107"/>
      <c r="E26" s="107" t="s">
        <v>2406</v>
      </c>
      <c r="F26" s="108">
        <v>35.0</v>
      </c>
      <c r="G26" s="10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</row>
    <row r="27" ht="26.25" customHeight="1">
      <c r="A27" s="104">
        <v>2.0</v>
      </c>
      <c r="B27" s="120"/>
      <c r="C27" s="110"/>
      <c r="D27" s="107"/>
      <c r="E27" s="107" t="s">
        <v>2407</v>
      </c>
      <c r="F27" s="108">
        <v>70.0</v>
      </c>
      <c r="G27" s="10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</row>
    <row r="28" ht="26.25" customHeight="1">
      <c r="A28" s="104">
        <v>3.0</v>
      </c>
      <c r="B28" s="120"/>
      <c r="C28" s="110"/>
      <c r="D28" s="107"/>
      <c r="E28" s="107" t="s">
        <v>2408</v>
      </c>
      <c r="F28" s="108">
        <v>35.0</v>
      </c>
      <c r="G28" s="10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</row>
    <row r="29" ht="26.25" customHeight="1">
      <c r="A29" s="104">
        <v>4.0</v>
      </c>
      <c r="B29" s="120"/>
      <c r="C29" s="110"/>
      <c r="D29" s="107"/>
      <c r="E29" s="107" t="s">
        <v>2409</v>
      </c>
      <c r="F29" s="108">
        <v>40.0</v>
      </c>
      <c r="G29" s="111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</row>
    <row r="30" ht="26.25" customHeight="1">
      <c r="A30" s="104">
        <v>5.0</v>
      </c>
      <c r="B30" s="120"/>
      <c r="C30" s="110"/>
      <c r="D30" s="107"/>
      <c r="E30" s="107" t="s">
        <v>42</v>
      </c>
      <c r="F30" s="108">
        <v>50.0</v>
      </c>
      <c r="G30" s="10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</row>
    <row r="31" ht="26.25" customHeight="1">
      <c r="A31" s="104">
        <v>6.0</v>
      </c>
      <c r="B31" s="120"/>
      <c r="C31" s="110"/>
      <c r="D31" s="107"/>
      <c r="E31" s="107" t="s">
        <v>251</v>
      </c>
      <c r="F31" s="108">
        <v>30.0</v>
      </c>
      <c r="G31" s="10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</row>
    <row r="32" ht="26.25" customHeight="1">
      <c r="A32" s="104">
        <v>7.0</v>
      </c>
      <c r="B32" s="120"/>
      <c r="C32" s="110"/>
      <c r="D32" s="107"/>
      <c r="E32" s="107" t="s">
        <v>2410</v>
      </c>
      <c r="F32" s="108">
        <v>40.0</v>
      </c>
      <c r="G32" s="10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</row>
    <row r="33" ht="26.25" customHeight="1">
      <c r="A33" s="104">
        <v>8.0</v>
      </c>
      <c r="B33" s="120"/>
      <c r="C33" s="106"/>
      <c r="D33" s="107"/>
      <c r="E33" s="107" t="s">
        <v>2411</v>
      </c>
      <c r="F33" s="111" t="s">
        <v>2412</v>
      </c>
      <c r="G33" s="111" t="s">
        <v>2413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</row>
    <row r="34" ht="26.25" customHeight="1">
      <c r="A34" s="104">
        <v>9.0</v>
      </c>
      <c r="B34" s="120"/>
      <c r="C34" s="110"/>
      <c r="D34" s="107"/>
      <c r="E34" s="107"/>
      <c r="F34" s="108"/>
      <c r="G34" s="10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</row>
    <row r="35" ht="26.25" customHeight="1">
      <c r="A35" s="104">
        <v>10.0</v>
      </c>
      <c r="B35" s="120"/>
      <c r="C35" s="110"/>
      <c r="D35" s="107"/>
      <c r="E35" s="107"/>
      <c r="F35" s="108"/>
      <c r="G35" s="10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</row>
    <row r="36" ht="26.25" customHeight="1">
      <c r="A36" s="104">
        <v>11.0</v>
      </c>
      <c r="B36" s="120"/>
      <c r="C36" s="110"/>
      <c r="D36" s="107"/>
      <c r="E36" s="107"/>
      <c r="F36" s="108"/>
      <c r="G36" s="10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</row>
    <row r="37" ht="26.25" customHeight="1">
      <c r="A37" s="104">
        <v>12.0</v>
      </c>
      <c r="B37" s="120"/>
      <c r="C37" s="110"/>
      <c r="D37" s="107"/>
      <c r="E37" s="107"/>
      <c r="F37" s="109"/>
      <c r="G37" s="111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</row>
    <row r="38" ht="26.25" customHeight="1">
      <c r="A38" s="104">
        <v>13.0</v>
      </c>
      <c r="B38" s="120"/>
      <c r="C38" s="110"/>
      <c r="D38" s="107"/>
      <c r="E38" s="107"/>
      <c r="F38" s="121"/>
      <c r="G38" s="10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</row>
    <row r="39" ht="26.25" customHeight="1">
      <c r="A39" s="104">
        <v>14.0</v>
      </c>
      <c r="B39" s="120"/>
      <c r="C39" s="110"/>
      <c r="D39" s="107"/>
      <c r="E39" s="107"/>
      <c r="F39" s="108"/>
      <c r="G39" s="10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</row>
    <row r="40" ht="26.25" customHeight="1">
      <c r="A40" s="122">
        <v>15.0</v>
      </c>
      <c r="B40" s="123"/>
      <c r="C40" s="124"/>
      <c r="D40" s="107"/>
      <c r="E40" s="125"/>
      <c r="F40" s="109"/>
      <c r="G40" s="111" t="s">
        <v>2115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</row>
    <row r="41" ht="26.25" customHeight="1">
      <c r="A41" s="112"/>
      <c r="B41" s="113"/>
      <c r="C41" s="114"/>
      <c r="D41" s="114"/>
      <c r="E41" s="99" t="s">
        <v>144</v>
      </c>
      <c r="F41" s="131"/>
      <c r="G41" s="114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</row>
    <row r="42" ht="26.25" customHeight="1">
      <c r="A42" s="115"/>
      <c r="B42" s="113"/>
      <c r="C42" s="114"/>
      <c r="D42" s="114"/>
      <c r="E42" s="99" t="s">
        <v>145</v>
      </c>
      <c r="F42" s="100">
        <v>300.0</v>
      </c>
      <c r="G42" s="11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</row>
    <row r="43" ht="26.25" customHeight="1">
      <c r="A43" s="115"/>
      <c r="B43" s="113"/>
      <c r="C43" s="114"/>
      <c r="D43" s="114"/>
      <c r="E43" s="99" t="s">
        <v>146</v>
      </c>
      <c r="F43" s="100">
        <v>330.0</v>
      </c>
      <c r="G43" s="11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</row>
    <row r="44" ht="26.25" customHeight="1">
      <c r="A44" s="115"/>
      <c r="B44" s="113"/>
      <c r="C44" s="114"/>
      <c r="D44" s="114"/>
      <c r="E44" s="99" t="s">
        <v>147</v>
      </c>
      <c r="F44" s="100">
        <v>245.0</v>
      </c>
      <c r="G44" s="11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</row>
    <row r="45" ht="26.25" customHeight="1">
      <c r="A45" s="115"/>
      <c r="B45" s="113"/>
      <c r="C45" s="114"/>
      <c r="D45" s="114"/>
      <c r="E45" s="99" t="s">
        <v>148</v>
      </c>
      <c r="F45" s="100">
        <v>85.0</v>
      </c>
      <c r="G45" s="114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</row>
    <row r="46" ht="26.25" customHeight="1">
      <c r="A46" s="118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</row>
    <row r="47" ht="26.25" customHeight="1">
      <c r="A47" s="102" t="s">
        <v>4</v>
      </c>
      <c r="B47" s="102" t="s">
        <v>5</v>
      </c>
      <c r="C47" s="102" t="s">
        <v>126</v>
      </c>
      <c r="D47" s="102" t="s">
        <v>6</v>
      </c>
      <c r="E47" s="102" t="s">
        <v>7</v>
      </c>
      <c r="F47" s="102" t="s">
        <v>127</v>
      </c>
      <c r="G47" s="103" t="s">
        <v>128</v>
      </c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</row>
    <row r="48" ht="26.25" customHeight="1">
      <c r="A48" s="104">
        <v>1.0</v>
      </c>
      <c r="B48" s="105">
        <v>46091.0</v>
      </c>
      <c r="C48" s="106" t="s">
        <v>169</v>
      </c>
      <c r="D48" s="107"/>
      <c r="E48" s="107" t="s">
        <v>2141</v>
      </c>
      <c r="F48" s="108">
        <v>35.0</v>
      </c>
      <c r="G48" s="10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</row>
    <row r="49" ht="26.25" customHeight="1">
      <c r="A49" s="104">
        <v>2.0</v>
      </c>
      <c r="B49" s="120"/>
      <c r="C49" s="110"/>
      <c r="D49" s="107"/>
      <c r="E49" s="107" t="s">
        <v>2414</v>
      </c>
      <c r="F49" s="111" t="s">
        <v>1192</v>
      </c>
      <c r="G49" s="10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</row>
    <row r="50" ht="26.25" customHeight="1">
      <c r="A50" s="104">
        <v>3.0</v>
      </c>
      <c r="B50" s="120"/>
      <c r="C50" s="110"/>
      <c r="D50" s="107"/>
      <c r="E50" s="107" t="s">
        <v>2415</v>
      </c>
      <c r="F50" s="108">
        <v>30.0</v>
      </c>
      <c r="G50" s="10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</row>
    <row r="51" ht="26.25" customHeight="1">
      <c r="A51" s="104">
        <v>4.0</v>
      </c>
      <c r="B51" s="120"/>
      <c r="C51" s="110"/>
      <c r="D51" s="107"/>
      <c r="E51" s="107" t="s">
        <v>2416</v>
      </c>
      <c r="F51" s="108">
        <v>50.0</v>
      </c>
      <c r="G51" s="111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</row>
    <row r="52" ht="26.25" customHeight="1">
      <c r="A52" s="104">
        <v>5.0</v>
      </c>
      <c r="B52" s="120"/>
      <c r="C52" s="110"/>
      <c r="D52" s="107"/>
      <c r="E52" s="107" t="s">
        <v>2417</v>
      </c>
      <c r="F52" s="108">
        <v>35.0</v>
      </c>
      <c r="G52" s="10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</row>
    <row r="53" ht="26.25" customHeight="1">
      <c r="A53" s="104">
        <v>6.0</v>
      </c>
      <c r="B53" s="120"/>
      <c r="C53" s="110"/>
      <c r="D53" s="107"/>
      <c r="E53" s="107" t="s">
        <v>2418</v>
      </c>
      <c r="F53" s="111" t="s">
        <v>269</v>
      </c>
      <c r="G53" s="10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</row>
    <row r="54" ht="26.25" customHeight="1">
      <c r="A54" s="104">
        <v>7.0</v>
      </c>
      <c r="B54" s="120"/>
      <c r="C54" s="110"/>
      <c r="D54" s="107"/>
      <c r="E54" s="107" t="s">
        <v>2419</v>
      </c>
      <c r="F54" s="111" t="s">
        <v>1190</v>
      </c>
      <c r="G54" s="10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</row>
    <row r="55" ht="26.25" customHeight="1">
      <c r="A55" s="104">
        <v>8.0</v>
      </c>
      <c r="B55" s="120"/>
      <c r="C55" s="106"/>
      <c r="D55" s="107"/>
      <c r="E55" s="107" t="s">
        <v>2420</v>
      </c>
      <c r="F55" s="108" t="s">
        <v>1213</v>
      </c>
      <c r="G55" s="10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</row>
    <row r="56" ht="26.25" customHeight="1">
      <c r="A56" s="104">
        <v>9.0</v>
      </c>
      <c r="B56" s="120"/>
      <c r="C56" s="110"/>
      <c r="D56" s="107"/>
      <c r="E56" s="107" t="s">
        <v>194</v>
      </c>
      <c r="F56" s="108" t="s">
        <v>2421</v>
      </c>
      <c r="G56" s="10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</row>
    <row r="57" ht="26.25" customHeight="1">
      <c r="A57" s="104">
        <v>10.0</v>
      </c>
      <c r="B57" s="120"/>
      <c r="C57" s="110"/>
      <c r="D57" s="107"/>
      <c r="E57" s="107"/>
      <c r="F57" s="111" t="s">
        <v>2422</v>
      </c>
      <c r="G57" s="10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</row>
    <row r="58" ht="26.25" customHeight="1">
      <c r="A58" s="104">
        <v>11.0</v>
      </c>
      <c r="B58" s="120"/>
      <c r="C58" s="110"/>
      <c r="D58" s="107"/>
      <c r="E58" s="107"/>
      <c r="F58" s="108"/>
      <c r="G58" s="10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</row>
    <row r="59" ht="26.25" customHeight="1">
      <c r="A59" s="104">
        <v>12.0</v>
      </c>
      <c r="B59" s="120"/>
      <c r="C59" s="110"/>
      <c r="D59" s="107"/>
      <c r="E59" s="107"/>
      <c r="F59" s="109"/>
      <c r="G59" s="111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</row>
    <row r="60" ht="26.25" customHeight="1">
      <c r="A60" s="104">
        <v>13.0</v>
      </c>
      <c r="B60" s="120"/>
      <c r="C60" s="110"/>
      <c r="D60" s="107"/>
      <c r="E60" s="107"/>
      <c r="F60" s="121"/>
      <c r="G60" s="10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</row>
    <row r="61" ht="26.25" customHeight="1">
      <c r="A61" s="104">
        <v>14.0</v>
      </c>
      <c r="B61" s="120"/>
      <c r="C61" s="110"/>
      <c r="D61" s="107"/>
      <c r="E61" s="107"/>
      <c r="F61" s="108"/>
      <c r="G61" s="10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</row>
    <row r="62" ht="26.25" customHeight="1">
      <c r="A62" s="122">
        <v>15.0</v>
      </c>
      <c r="B62" s="123"/>
      <c r="C62" s="124"/>
      <c r="D62" s="107"/>
      <c r="E62" s="125"/>
      <c r="F62" s="109"/>
      <c r="G62" s="10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</row>
    <row r="63" ht="26.25" customHeight="1">
      <c r="A63" s="112"/>
      <c r="B63" s="113"/>
      <c r="C63" s="114"/>
      <c r="D63" s="114"/>
      <c r="E63" s="99" t="s">
        <v>144</v>
      </c>
      <c r="F63" s="131"/>
      <c r="G63" s="114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</row>
    <row r="64" ht="26.25" customHeight="1">
      <c r="A64" s="115"/>
      <c r="B64" s="113"/>
      <c r="C64" s="114"/>
      <c r="D64" s="114"/>
      <c r="E64" s="99" t="s">
        <v>145</v>
      </c>
      <c r="F64" s="100">
        <v>900.0</v>
      </c>
      <c r="G64" s="114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</row>
    <row r="65" ht="26.25" customHeight="1">
      <c r="A65" s="115"/>
      <c r="B65" s="113"/>
      <c r="C65" s="114"/>
      <c r="D65" s="114"/>
      <c r="E65" s="99" t="s">
        <v>146</v>
      </c>
      <c r="F65" s="100">
        <v>430.0</v>
      </c>
      <c r="G65" s="114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</row>
    <row r="66" ht="26.25" customHeight="1">
      <c r="A66" s="115"/>
      <c r="B66" s="113"/>
      <c r="C66" s="114"/>
      <c r="D66" s="114"/>
      <c r="E66" s="99" t="s">
        <v>147</v>
      </c>
      <c r="F66" s="100">
        <v>325.0</v>
      </c>
      <c r="G66" s="114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</row>
    <row r="67" ht="26.25" customHeight="1">
      <c r="A67" s="115"/>
      <c r="B67" s="113"/>
      <c r="C67" s="114"/>
      <c r="D67" s="114"/>
      <c r="E67" s="99" t="s">
        <v>148</v>
      </c>
      <c r="F67" s="126" t="s">
        <v>2423</v>
      </c>
      <c r="G67" s="114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</row>
    <row r="68" ht="26.25" customHeight="1">
      <c r="A68" s="290"/>
      <c r="B68" s="187"/>
      <c r="C68" s="188"/>
      <c r="D68" s="188"/>
      <c r="E68" s="291"/>
      <c r="F68" s="111" t="s">
        <v>2424</v>
      </c>
      <c r="G68" s="111" t="s">
        <v>2115</v>
      </c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</row>
    <row r="69" ht="26.25" customHeight="1">
      <c r="A69" s="102" t="s">
        <v>4</v>
      </c>
      <c r="B69" s="102" t="s">
        <v>5</v>
      </c>
      <c r="C69" s="102" t="s">
        <v>126</v>
      </c>
      <c r="D69" s="102" t="s">
        <v>6</v>
      </c>
      <c r="E69" s="102" t="s">
        <v>7</v>
      </c>
      <c r="F69" s="102" t="s">
        <v>127</v>
      </c>
      <c r="G69" s="103" t="s">
        <v>128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</row>
    <row r="70" ht="26.25" customHeight="1">
      <c r="A70" s="104">
        <v>1.0</v>
      </c>
      <c r="B70" s="105">
        <v>46092.0</v>
      </c>
      <c r="C70" s="106" t="s">
        <v>299</v>
      </c>
      <c r="D70" s="107"/>
      <c r="E70" s="107" t="s">
        <v>130</v>
      </c>
      <c r="F70" s="108" t="s">
        <v>2425</v>
      </c>
      <c r="G70" s="10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</row>
    <row r="71" ht="26.25" customHeight="1">
      <c r="A71" s="104">
        <v>2.0</v>
      </c>
      <c r="B71" s="120"/>
      <c r="C71" s="110"/>
      <c r="D71" s="107"/>
      <c r="E71" s="107" t="s">
        <v>2426</v>
      </c>
      <c r="F71" s="111" t="s">
        <v>2427</v>
      </c>
      <c r="G71" s="10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</row>
    <row r="72" ht="26.25" customHeight="1">
      <c r="A72" s="104">
        <v>3.0</v>
      </c>
      <c r="B72" s="120"/>
      <c r="C72" s="110"/>
      <c r="D72" s="107"/>
      <c r="E72" s="107" t="s">
        <v>272</v>
      </c>
      <c r="F72" s="108">
        <v>40.0</v>
      </c>
      <c r="G72" s="10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</row>
    <row r="73" ht="26.25" customHeight="1">
      <c r="A73" s="104">
        <v>4.0</v>
      </c>
      <c r="B73" s="120"/>
      <c r="C73" s="110"/>
      <c r="D73" s="107"/>
      <c r="E73" s="107" t="s">
        <v>930</v>
      </c>
      <c r="F73" s="108" t="s">
        <v>2428</v>
      </c>
      <c r="G73" s="111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</row>
    <row r="74" ht="26.25" customHeight="1">
      <c r="A74" s="104">
        <v>5.0</v>
      </c>
      <c r="B74" s="120"/>
      <c r="C74" s="110"/>
      <c r="D74" s="107"/>
      <c r="E74" s="107" t="s">
        <v>2429</v>
      </c>
      <c r="F74" s="108">
        <v>40.0</v>
      </c>
      <c r="G74" s="10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</row>
    <row r="75" ht="26.25" customHeight="1">
      <c r="A75" s="112"/>
      <c r="B75" s="113"/>
      <c r="C75" s="114"/>
      <c r="D75" s="114"/>
      <c r="E75" s="99" t="s">
        <v>144</v>
      </c>
      <c r="F75" s="100">
        <v>200.0</v>
      </c>
      <c r="G75" s="220" t="s">
        <v>2430</v>
      </c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</row>
    <row r="76" ht="26.25" customHeight="1">
      <c r="A76" s="115"/>
      <c r="B76" s="113"/>
      <c r="C76" s="114"/>
      <c r="D76" s="114"/>
      <c r="E76" s="99" t="s">
        <v>145</v>
      </c>
      <c r="F76" s="100">
        <v>605.0</v>
      </c>
      <c r="G76" s="114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</row>
    <row r="77" ht="26.25" customHeight="1">
      <c r="A77" s="115"/>
      <c r="B77" s="113"/>
      <c r="C77" s="114"/>
      <c r="D77" s="114"/>
      <c r="E77" s="99" t="s">
        <v>146</v>
      </c>
      <c r="F77" s="100">
        <v>200.0</v>
      </c>
      <c r="G77" s="114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</row>
    <row r="78" ht="26.25" customHeight="1">
      <c r="A78" s="115"/>
      <c r="B78" s="113"/>
      <c r="C78" s="114"/>
      <c r="D78" s="114"/>
      <c r="E78" s="99" t="s">
        <v>147</v>
      </c>
      <c r="F78" s="100">
        <v>150.0</v>
      </c>
      <c r="G78" s="114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</row>
    <row r="79" ht="26.25" customHeight="1">
      <c r="A79" s="115"/>
      <c r="B79" s="113"/>
      <c r="C79" s="114"/>
      <c r="D79" s="114"/>
      <c r="E79" s="99" t="s">
        <v>148</v>
      </c>
      <c r="F79" s="100">
        <v>455.0</v>
      </c>
      <c r="G79" s="114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</row>
    <row r="80" ht="26.25" customHeight="1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</row>
    <row r="81" ht="26.25" customHeight="1">
      <c r="A81" s="118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</row>
    <row r="82" ht="26.25" customHeight="1">
      <c r="A82" s="118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</row>
    <row r="83" ht="26.25" customHeight="1">
      <c r="A83" s="118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</row>
    <row r="84" ht="26.25" customHeight="1">
      <c r="A84" s="118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</row>
    <row r="85" ht="26.25" customHeight="1">
      <c r="A85" s="118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</row>
    <row r="86" ht="26.25" customHeight="1">
      <c r="A86" s="118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</row>
    <row r="87" ht="26.25" customHeight="1">
      <c r="A87" s="118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</row>
    <row r="88" ht="26.25" customHeight="1">
      <c r="A88" s="118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</row>
    <row r="89" ht="26.25" customHeight="1">
      <c r="A89" s="118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</row>
    <row r="90" ht="26.25" customHeight="1">
      <c r="A90" s="118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</row>
    <row r="91" ht="26.25" customHeight="1">
      <c r="A91" s="118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</row>
    <row r="92" ht="26.25" customHeight="1">
      <c r="A92" s="118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</row>
    <row r="93" ht="26.25" customHeight="1">
      <c r="A93" s="118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</row>
    <row r="94" ht="26.25" customHeight="1">
      <c r="A94" s="118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</row>
    <row r="95" ht="26.25" customHeight="1">
      <c r="A95" s="118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</row>
    <row r="96" ht="26.25" customHeight="1">
      <c r="A96" s="118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</row>
    <row r="97" ht="26.25" customHeight="1">
      <c r="A97" s="118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</row>
    <row r="98" ht="26.25" customHeight="1">
      <c r="A98" s="118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</row>
    <row r="99" ht="26.25" customHeight="1">
      <c r="A99" s="118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</row>
    <row r="100" ht="26.25" customHeight="1">
      <c r="A100" s="118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</row>
    <row r="101" ht="26.25" customHeight="1">
      <c r="A101" s="118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</row>
    <row r="102" ht="26.25" customHeight="1">
      <c r="A102" s="118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</row>
    <row r="103" ht="26.25" customHeight="1">
      <c r="A103" s="118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</row>
    <row r="104" ht="26.25" customHeight="1">
      <c r="A104" s="118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</row>
    <row r="105" ht="26.25" customHeight="1">
      <c r="A105" s="118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</row>
    <row r="106" ht="26.25" customHeight="1">
      <c r="A106" s="118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</row>
    <row r="107" ht="26.25" customHeight="1">
      <c r="A107" s="118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</row>
    <row r="108" ht="26.25" customHeight="1">
      <c r="A108" s="118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</row>
    <row r="109" ht="26.25" customHeight="1">
      <c r="A109" s="118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</row>
    <row r="110" ht="26.25" customHeight="1">
      <c r="A110" s="118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</row>
    <row r="111" ht="26.25" customHeight="1">
      <c r="A111" s="118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</row>
    <row r="112" ht="26.25" customHeight="1">
      <c r="A112" s="118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</row>
    <row r="113" ht="26.25" customHeight="1">
      <c r="A113" s="118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</row>
    <row r="114" ht="26.25" customHeight="1">
      <c r="A114" s="118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</row>
    <row r="115" ht="26.25" customHeight="1">
      <c r="A115" s="118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</row>
    <row r="116" ht="26.25" customHeight="1">
      <c r="A116" s="118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</row>
    <row r="117" ht="26.25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</row>
    <row r="118" ht="26.25" customHeight="1">
      <c r="A118" s="118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</row>
    <row r="119" ht="26.25" customHeight="1">
      <c r="A119" s="118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</row>
    <row r="120" ht="26.25" customHeight="1">
      <c r="A120" s="118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</row>
    <row r="121" ht="26.25" customHeight="1">
      <c r="A121" s="118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</row>
    <row r="122" ht="26.25" customHeight="1">
      <c r="A122" s="118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</row>
    <row r="123" ht="26.25" customHeight="1">
      <c r="A123" s="118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</row>
    <row r="124" ht="26.25" customHeight="1">
      <c r="A124" s="118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</row>
    <row r="125" ht="26.25" customHeight="1">
      <c r="A125" s="118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</row>
    <row r="126" ht="26.25" customHeight="1">
      <c r="A126" s="118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</row>
    <row r="127" ht="26.25" customHeight="1">
      <c r="A127" s="118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</row>
    <row r="128" ht="26.25" customHeight="1">
      <c r="A128" s="118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</row>
    <row r="129" ht="26.25" customHeight="1">
      <c r="A129" s="118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</row>
    <row r="130" ht="26.25" customHeight="1">
      <c r="A130" s="118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</row>
    <row r="131" ht="26.25" customHeight="1">
      <c r="A131" s="118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</row>
    <row r="132" ht="26.25" customHeight="1">
      <c r="A132" s="118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</row>
    <row r="133" ht="26.25" customHeight="1">
      <c r="A133" s="118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</row>
    <row r="134" ht="26.25" customHeight="1">
      <c r="A134" s="118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</row>
    <row r="135" ht="26.25" customHeight="1">
      <c r="A135" s="118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</row>
    <row r="136" ht="26.25" customHeight="1">
      <c r="A136" s="118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</row>
    <row r="137" ht="26.25" customHeight="1">
      <c r="A137" s="118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</row>
    <row r="138" ht="26.25" customHeight="1">
      <c r="A138" s="118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</row>
    <row r="139" ht="26.25" customHeight="1">
      <c r="A139" s="118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</row>
    <row r="140" ht="26.25" customHeight="1">
      <c r="A140" s="118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</row>
    <row r="141" ht="26.25" customHeight="1">
      <c r="A141" s="118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</row>
    <row r="142" ht="26.25" customHeight="1">
      <c r="A142" s="118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</row>
    <row r="143" ht="26.25" customHeight="1">
      <c r="A143" s="118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</row>
    <row r="144" ht="26.25" customHeight="1">
      <c r="A144" s="118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</row>
    <row r="145" ht="26.25" customHeight="1">
      <c r="A145" s="118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</row>
    <row r="146" ht="26.25" customHeight="1">
      <c r="A146" s="118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</row>
    <row r="147" ht="26.25" customHeight="1">
      <c r="A147" s="118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</row>
    <row r="148" ht="26.25" customHeight="1">
      <c r="A148" s="118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</row>
    <row r="149" ht="26.25" customHeight="1">
      <c r="A149" s="118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</row>
    <row r="150" ht="26.25" customHeight="1">
      <c r="A150" s="118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</row>
    <row r="151" ht="26.25" customHeight="1">
      <c r="A151" s="118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</row>
    <row r="152" ht="26.25" customHeight="1">
      <c r="A152" s="118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</row>
    <row r="153" ht="26.25" customHeight="1">
      <c r="A153" s="118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</row>
    <row r="154" ht="26.25" customHeight="1">
      <c r="A154" s="118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</row>
    <row r="155" ht="26.25" customHeight="1">
      <c r="A155" s="118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</row>
    <row r="156" ht="26.25" customHeight="1">
      <c r="A156" s="118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</row>
    <row r="157" ht="26.25" customHeight="1">
      <c r="A157" s="118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</row>
    <row r="158" ht="26.25" customHeight="1">
      <c r="A158" s="118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</row>
    <row r="159" ht="26.25" customHeight="1">
      <c r="A159" s="118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</row>
    <row r="160" ht="26.25" customHeight="1">
      <c r="A160" s="118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</row>
    <row r="161" ht="26.25" customHeight="1">
      <c r="A161" s="118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</row>
    <row r="162" ht="26.25" customHeight="1">
      <c r="A162" s="118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</row>
    <row r="163" ht="26.25" customHeight="1">
      <c r="A163" s="118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</row>
    <row r="164" ht="26.25" customHeight="1">
      <c r="A164" s="118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</row>
    <row r="165" ht="26.25" customHeight="1">
      <c r="A165" s="118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</row>
    <row r="166" ht="26.25" customHeight="1">
      <c r="A166" s="118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</row>
    <row r="167" ht="26.25" customHeight="1">
      <c r="A167" s="118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</row>
    <row r="168" ht="26.25" customHeight="1">
      <c r="A168" s="118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</row>
    <row r="169" ht="26.25" customHeight="1">
      <c r="A169" s="118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</row>
    <row r="170" ht="26.25" customHeight="1">
      <c r="A170" s="118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</row>
    <row r="171" ht="26.25" customHeight="1">
      <c r="A171" s="118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</row>
    <row r="172" ht="26.25" customHeight="1">
      <c r="A172" s="118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</row>
    <row r="173" ht="26.25" customHeight="1">
      <c r="A173" s="118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</row>
    <row r="174" ht="26.25" customHeight="1">
      <c r="A174" s="118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</row>
    <row r="175" ht="26.25" customHeight="1">
      <c r="A175" s="118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</row>
    <row r="176" ht="26.25" customHeight="1">
      <c r="A176" s="118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</row>
    <row r="177" ht="26.25" customHeight="1">
      <c r="A177" s="118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</row>
    <row r="178" ht="26.25" customHeight="1">
      <c r="A178" s="118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</row>
    <row r="179" ht="26.25" customHeight="1">
      <c r="A179" s="118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</row>
    <row r="180" ht="26.25" customHeight="1">
      <c r="A180" s="118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</row>
    <row r="181" ht="26.25" customHeight="1">
      <c r="A181" s="118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</row>
    <row r="182" ht="26.25" customHeight="1">
      <c r="A182" s="118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</row>
    <row r="183" ht="26.25" customHeight="1">
      <c r="A183" s="118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</row>
    <row r="184" ht="26.25" customHeight="1">
      <c r="A184" s="118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</row>
    <row r="185" ht="26.25" customHeight="1">
      <c r="A185" s="118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</row>
    <row r="186" ht="26.25" customHeight="1">
      <c r="A186" s="118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</row>
    <row r="187" ht="26.25" customHeight="1">
      <c r="A187" s="118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</row>
    <row r="188" ht="26.25" customHeight="1">
      <c r="A188" s="118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</row>
    <row r="189" ht="26.25" customHeight="1">
      <c r="A189" s="118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</row>
    <row r="190" ht="26.25" customHeight="1">
      <c r="A190" s="118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</row>
    <row r="191" ht="26.25" customHeight="1">
      <c r="A191" s="118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</row>
    <row r="192" ht="26.25" customHeight="1">
      <c r="A192" s="118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</row>
    <row r="193" ht="26.25" customHeight="1">
      <c r="A193" s="118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</row>
    <row r="194" ht="26.25" customHeight="1">
      <c r="A194" s="118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</row>
    <row r="195" ht="26.25" customHeight="1">
      <c r="A195" s="118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</row>
    <row r="196" ht="26.25" customHeight="1">
      <c r="A196" s="118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</row>
    <row r="197" ht="26.25" customHeight="1">
      <c r="A197" s="118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</row>
    <row r="198" ht="26.25" customHeight="1">
      <c r="A198" s="118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</row>
    <row r="199" ht="26.25" customHeight="1">
      <c r="A199" s="118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</row>
    <row r="200" ht="26.25" customHeight="1">
      <c r="A200" s="118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</row>
    <row r="201" ht="26.25" customHeight="1">
      <c r="A201" s="118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</row>
    <row r="202" ht="26.25" customHeight="1">
      <c r="A202" s="118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</row>
    <row r="203" ht="26.25" customHeight="1">
      <c r="A203" s="118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</row>
    <row r="204" ht="26.25" customHeight="1">
      <c r="A204" s="118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</row>
    <row r="205" ht="26.25" customHeight="1">
      <c r="A205" s="118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</row>
    <row r="206" ht="26.25" customHeight="1">
      <c r="A206" s="118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</row>
    <row r="207" ht="26.25" customHeight="1">
      <c r="A207" s="118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</row>
    <row r="208" ht="26.25" customHeight="1">
      <c r="A208" s="118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</row>
    <row r="209" ht="26.25" customHeight="1">
      <c r="A209" s="118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</row>
    <row r="210" ht="26.25" customHeight="1">
      <c r="A210" s="118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</row>
    <row r="211" ht="26.25" customHeight="1">
      <c r="A211" s="118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</row>
    <row r="212" ht="26.25" customHeight="1">
      <c r="A212" s="118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</row>
    <row r="213" ht="26.25" customHeight="1">
      <c r="A213" s="118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</row>
    <row r="214" ht="26.25" customHeight="1">
      <c r="A214" s="118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</row>
    <row r="215" ht="26.25" customHeight="1">
      <c r="A215" s="118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</row>
    <row r="216" ht="26.25" customHeight="1">
      <c r="A216" s="118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</row>
    <row r="217" ht="26.25" customHeight="1">
      <c r="A217" s="118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</row>
    <row r="218" ht="26.25" customHeight="1">
      <c r="A218" s="118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</row>
    <row r="219" ht="26.25" customHeight="1">
      <c r="A219" s="118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</row>
    <row r="220" ht="26.25" customHeight="1">
      <c r="A220" s="118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</row>
    <row r="221" ht="26.25" customHeight="1">
      <c r="A221" s="118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</row>
    <row r="222" ht="26.25" customHeight="1">
      <c r="A222" s="118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</row>
    <row r="223" ht="26.25" customHeight="1">
      <c r="A223" s="118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</row>
    <row r="224" ht="26.25" customHeight="1">
      <c r="A224" s="118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</row>
    <row r="225" ht="26.25" customHeight="1">
      <c r="A225" s="118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</row>
    <row r="226" ht="26.25" customHeight="1">
      <c r="A226" s="118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</row>
    <row r="227" ht="26.25" customHeight="1">
      <c r="A227" s="118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</row>
    <row r="228" ht="26.25" customHeight="1">
      <c r="A228" s="118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</row>
    <row r="229" ht="26.25" customHeight="1">
      <c r="A229" s="118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</row>
    <row r="230" ht="26.25" customHeight="1">
      <c r="A230" s="118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</row>
    <row r="231" ht="26.25" customHeight="1">
      <c r="A231" s="118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</row>
    <row r="232" ht="26.25" customHeight="1">
      <c r="A232" s="118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</row>
    <row r="233" ht="26.25" customHeight="1">
      <c r="A233" s="118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</row>
    <row r="234" ht="26.25" customHeight="1">
      <c r="A234" s="118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</row>
    <row r="235" ht="26.25" customHeight="1">
      <c r="A235" s="118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</row>
    <row r="236" ht="26.25" customHeight="1">
      <c r="A236" s="118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</row>
    <row r="237" ht="26.25" customHeight="1">
      <c r="A237" s="118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</row>
    <row r="238" ht="26.25" customHeight="1">
      <c r="A238" s="118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</row>
    <row r="239" ht="26.25" customHeight="1">
      <c r="A239" s="118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</row>
    <row r="240" ht="26.25" customHeight="1">
      <c r="A240" s="118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</row>
    <row r="241" ht="26.25" customHeight="1">
      <c r="A241" s="118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</row>
    <row r="242" ht="26.25" customHeight="1">
      <c r="A242" s="118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</row>
    <row r="243" ht="26.25" customHeight="1">
      <c r="A243" s="118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</row>
    <row r="244" ht="26.25" customHeight="1">
      <c r="A244" s="118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</row>
    <row r="245" ht="26.25" customHeight="1">
      <c r="A245" s="118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</row>
    <row r="246" ht="26.25" customHeight="1">
      <c r="A246" s="118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</row>
    <row r="247" ht="26.25" customHeight="1">
      <c r="A247" s="118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</row>
    <row r="248" ht="26.25" customHeight="1">
      <c r="A248" s="118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</row>
    <row r="249" ht="26.25" customHeight="1">
      <c r="A249" s="118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</row>
    <row r="250" ht="26.25" customHeight="1">
      <c r="A250" s="118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</row>
    <row r="251" ht="26.25" customHeight="1">
      <c r="A251" s="118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</row>
    <row r="252" ht="26.25" customHeight="1">
      <c r="A252" s="118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</row>
    <row r="253" ht="26.25" customHeight="1">
      <c r="A253" s="118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</row>
    <row r="254" ht="26.25" customHeight="1">
      <c r="A254" s="118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</row>
    <row r="255" ht="26.25" customHeight="1">
      <c r="A255" s="118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</row>
    <row r="256" ht="26.25" customHeight="1">
      <c r="A256" s="118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</row>
    <row r="257" ht="26.25" customHeight="1">
      <c r="A257" s="118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</row>
    <row r="258" ht="26.25" customHeight="1">
      <c r="A258" s="118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</row>
    <row r="259" ht="26.25" customHeight="1">
      <c r="A259" s="118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</row>
    <row r="260" ht="26.25" customHeight="1">
      <c r="A260" s="118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</row>
    <row r="261" ht="26.25" customHeight="1">
      <c r="A261" s="118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</row>
    <row r="262" ht="26.25" customHeight="1">
      <c r="A262" s="118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</row>
    <row r="263" ht="26.25" customHeight="1">
      <c r="A263" s="118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</row>
    <row r="264" ht="26.25" customHeight="1">
      <c r="A264" s="118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</row>
    <row r="265" ht="26.25" customHeight="1">
      <c r="A265" s="118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</row>
    <row r="266" ht="26.25" customHeight="1">
      <c r="A266" s="118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</row>
    <row r="267" ht="26.25" customHeight="1">
      <c r="A267" s="118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</row>
    <row r="268" ht="26.25" customHeight="1">
      <c r="A268" s="118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</row>
    <row r="269" ht="26.25" customHeight="1">
      <c r="A269" s="118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</row>
    <row r="270" ht="26.25" customHeight="1">
      <c r="A270" s="118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</row>
    <row r="271" ht="26.25" customHeight="1">
      <c r="A271" s="118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</row>
    <row r="272" ht="26.25" customHeight="1">
      <c r="A272" s="118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</row>
    <row r="273" ht="26.25" customHeight="1">
      <c r="A273" s="118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</row>
    <row r="274" ht="26.25" customHeight="1">
      <c r="A274" s="118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</row>
    <row r="275" ht="26.25" customHeight="1">
      <c r="A275" s="118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</row>
    <row r="276" ht="26.25" customHeight="1">
      <c r="A276" s="118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</row>
    <row r="277" ht="26.25" customHeight="1">
      <c r="A277" s="118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</row>
    <row r="278" ht="26.25" customHeight="1">
      <c r="A278" s="118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</row>
    <row r="279" ht="26.25" customHeight="1">
      <c r="A279" s="118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</row>
    <row r="280" ht="26.25" customHeight="1">
      <c r="A280" s="118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</row>
    <row r="281" ht="26.25" customHeight="1">
      <c r="A281" s="118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</row>
    <row r="282" ht="26.25" customHeight="1">
      <c r="A282" s="118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</row>
    <row r="283" ht="26.25" customHeight="1">
      <c r="A283" s="118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</row>
    <row r="284" ht="26.25" customHeight="1">
      <c r="A284" s="118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</row>
    <row r="285" ht="26.25" customHeight="1">
      <c r="A285" s="118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</row>
    <row r="286" ht="26.25" customHeight="1">
      <c r="A286" s="118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</row>
    <row r="287" ht="26.25" customHeight="1">
      <c r="A287" s="118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</row>
    <row r="288" ht="26.25" customHeight="1">
      <c r="A288" s="118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</row>
    <row r="289" ht="26.25" customHeight="1">
      <c r="A289" s="118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</row>
    <row r="290" ht="26.25" customHeight="1">
      <c r="A290" s="118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</row>
    <row r="291" ht="26.25" customHeight="1">
      <c r="A291" s="118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</row>
    <row r="292" ht="26.25" customHeight="1">
      <c r="A292" s="118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</row>
    <row r="293" ht="26.25" customHeight="1">
      <c r="A293" s="118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</row>
    <row r="294" ht="26.25" customHeight="1">
      <c r="A294" s="118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</row>
    <row r="295" ht="26.25" customHeight="1">
      <c r="A295" s="118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</row>
    <row r="296" ht="26.25" customHeight="1">
      <c r="A296" s="118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</row>
    <row r="297" ht="26.25" customHeight="1">
      <c r="A297" s="118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</row>
    <row r="298" ht="26.25" customHeight="1">
      <c r="A298" s="118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</row>
    <row r="299" ht="26.25" customHeight="1">
      <c r="A299" s="118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</row>
    <row r="300" ht="26.25" customHeight="1">
      <c r="A300" s="118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</row>
    <row r="301" ht="26.25" customHeight="1">
      <c r="A301" s="118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</row>
    <row r="302" ht="26.25" customHeight="1">
      <c r="A302" s="118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</row>
    <row r="303" ht="26.25" customHeight="1">
      <c r="A303" s="118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</row>
    <row r="304" ht="26.25" customHeight="1">
      <c r="A304" s="118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</row>
    <row r="305" ht="26.25" customHeight="1">
      <c r="A305" s="118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</row>
    <row r="306" ht="26.25" customHeight="1">
      <c r="A306" s="118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</row>
    <row r="307" ht="26.25" customHeight="1">
      <c r="A307" s="118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</row>
    <row r="308" ht="26.25" customHeight="1">
      <c r="A308" s="118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</row>
    <row r="309" ht="26.25" customHeight="1">
      <c r="A309" s="118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</row>
    <row r="310" ht="26.25" customHeight="1">
      <c r="A310" s="118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</row>
    <row r="311" ht="26.25" customHeight="1">
      <c r="A311" s="118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</row>
    <row r="312" ht="26.25" customHeight="1">
      <c r="A312" s="118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</row>
    <row r="313" ht="26.25" customHeight="1">
      <c r="A313" s="118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</row>
    <row r="314" ht="26.25" customHeight="1">
      <c r="A314" s="118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</row>
    <row r="315" ht="26.25" customHeight="1">
      <c r="A315" s="118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</row>
    <row r="316" ht="26.25" customHeight="1">
      <c r="A316" s="118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</row>
    <row r="317" ht="26.25" customHeight="1">
      <c r="A317" s="118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</row>
    <row r="318" ht="26.25" customHeight="1">
      <c r="A318" s="118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</row>
    <row r="319" ht="26.25" customHeight="1">
      <c r="A319" s="118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</row>
    <row r="320" ht="26.25" customHeight="1">
      <c r="A320" s="118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</row>
    <row r="321" ht="26.25" customHeight="1">
      <c r="A321" s="118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</row>
    <row r="322" ht="26.25" customHeight="1">
      <c r="A322" s="118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</row>
    <row r="323" ht="26.25" customHeight="1">
      <c r="A323" s="118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</row>
    <row r="324" ht="26.25" customHeight="1">
      <c r="A324" s="118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</row>
    <row r="325" ht="26.25" customHeight="1">
      <c r="A325" s="118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</row>
  </sheetData>
  <mergeCells count="2">
    <mergeCell ref="A1:G1"/>
    <mergeCell ref="F8:G8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rightToLeft="1" workbookViewId="0"/>
  </sheetViews>
  <sheetFormatPr customHeight="1" defaultColWidth="14.43" defaultRowHeight="15.0"/>
  <cols>
    <col customWidth="1" min="1" max="1" width="20.14"/>
    <col customWidth="1" min="2" max="2" width="14.71"/>
    <col customWidth="1" min="3" max="3" width="7.71"/>
    <col customWidth="1" min="4" max="4" width="14.29"/>
    <col customWidth="1" min="5" max="5" width="36.71"/>
    <col customWidth="1" min="6" max="6" width="35.14"/>
    <col customWidth="1" min="7" max="7" width="27.29"/>
    <col customWidth="1" hidden="1" min="8" max="8" width="8.86"/>
    <col customWidth="1" hidden="1" min="9" max="9" width="8.14"/>
    <col customWidth="1" hidden="1" min="10" max="10" width="10.57"/>
    <col customWidth="1" hidden="1" min="11" max="12" width="6.0"/>
    <col customWidth="1" hidden="1" min="13" max="13" width="4.71"/>
    <col customWidth="1" hidden="1" min="14" max="14" width="5.29"/>
    <col customWidth="1" hidden="1" min="15" max="15" width="7.14"/>
    <col customWidth="1" hidden="1" min="16" max="16" width="9.57"/>
    <col customWidth="1" hidden="1" min="17" max="17" width="9.0"/>
    <col customWidth="1" hidden="1" min="18" max="18" width="8.0"/>
  </cols>
  <sheetData>
    <row r="1" ht="26.25" customHeight="1">
      <c r="A1" s="158" t="s">
        <v>793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 ht="26.25" customHeight="1">
      <c r="A2" s="102" t="s">
        <v>4</v>
      </c>
      <c r="B2" s="102" t="s">
        <v>5</v>
      </c>
      <c r="C2" s="102" t="s">
        <v>126</v>
      </c>
      <c r="D2" s="102" t="s">
        <v>6</v>
      </c>
      <c r="E2" s="102" t="s">
        <v>7</v>
      </c>
      <c r="F2" s="102" t="s">
        <v>127</v>
      </c>
      <c r="G2" s="103" t="s">
        <v>128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ht="26.25" customHeight="1">
      <c r="A3" s="104">
        <v>1.0</v>
      </c>
      <c r="B3" s="105">
        <v>46089.0</v>
      </c>
      <c r="C3" s="106" t="s">
        <v>129</v>
      </c>
      <c r="D3" s="107"/>
      <c r="E3" s="107" t="s">
        <v>2431</v>
      </c>
      <c r="F3" s="108"/>
      <c r="G3" s="111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ht="26.25" customHeight="1">
      <c r="A4" s="104">
        <v>2.0</v>
      </c>
      <c r="B4" s="120"/>
      <c r="C4" s="110"/>
      <c r="D4" s="107"/>
      <c r="E4" s="107" t="s">
        <v>2432</v>
      </c>
      <c r="F4" s="108"/>
      <c r="G4" s="10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ht="26.25" customHeight="1">
      <c r="A5" s="104">
        <v>3.0</v>
      </c>
      <c r="B5" s="120"/>
      <c r="C5" s="110"/>
      <c r="D5" s="107"/>
      <c r="E5" s="107" t="s">
        <v>2433</v>
      </c>
      <c r="F5" s="108"/>
      <c r="G5" s="10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ht="26.25" customHeight="1">
      <c r="A6" s="104">
        <v>4.0</v>
      </c>
      <c r="B6" s="120"/>
      <c r="C6" s="110"/>
      <c r="D6" s="107"/>
      <c r="E6" s="107"/>
      <c r="F6" s="108"/>
      <c r="G6" s="10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ht="26.25" customHeight="1">
      <c r="A7" s="104">
        <v>5.0</v>
      </c>
      <c r="B7" s="120"/>
      <c r="C7" s="110"/>
      <c r="D7" s="107"/>
      <c r="E7" s="107"/>
      <c r="F7" s="108"/>
      <c r="G7" s="111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</row>
    <row r="8" ht="26.25" customHeight="1">
      <c r="A8" s="104">
        <v>6.0</v>
      </c>
      <c r="B8" s="120"/>
      <c r="C8" s="110"/>
      <c r="D8" s="107"/>
      <c r="E8" s="107"/>
      <c r="F8" s="546"/>
      <c r="G8" s="177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</row>
    <row r="9" ht="26.25" customHeight="1">
      <c r="A9" s="104">
        <v>7.0</v>
      </c>
      <c r="B9" s="120"/>
      <c r="C9" s="110"/>
      <c r="D9" s="107"/>
      <c r="E9" s="107"/>
      <c r="F9" s="108"/>
      <c r="G9" s="10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</row>
    <row r="10" ht="26.25" customHeight="1">
      <c r="A10" s="104">
        <v>8.0</v>
      </c>
      <c r="B10" s="120"/>
      <c r="C10" s="110"/>
      <c r="D10" s="107"/>
      <c r="E10" s="107"/>
      <c r="F10" s="108"/>
      <c r="G10" s="10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ht="26.25" customHeight="1">
      <c r="A11" s="104">
        <v>9.0</v>
      </c>
      <c r="B11" s="120"/>
      <c r="C11" s="110"/>
      <c r="D11" s="107"/>
      <c r="E11" s="107"/>
      <c r="F11" s="111"/>
      <c r="G11" s="111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</row>
    <row r="12" ht="26.25" customHeight="1">
      <c r="A12" s="104">
        <v>10.0</v>
      </c>
      <c r="B12" s="120"/>
      <c r="C12" s="110"/>
      <c r="D12" s="107"/>
      <c r="E12" s="107"/>
      <c r="F12" s="108"/>
      <c r="G12" s="10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</row>
    <row r="13" ht="26.25" customHeight="1">
      <c r="A13" s="104">
        <v>11.0</v>
      </c>
      <c r="B13" s="120"/>
      <c r="C13" s="110"/>
      <c r="D13" s="107"/>
      <c r="E13" s="107"/>
      <c r="F13" s="109"/>
      <c r="G13" s="10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ht="26.25" customHeight="1">
      <c r="A14" s="104">
        <v>12.0</v>
      </c>
      <c r="B14" s="120"/>
      <c r="C14" s="110"/>
      <c r="D14" s="107"/>
      <c r="E14" s="107"/>
      <c r="F14" s="108"/>
      <c r="G14" s="10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</row>
    <row r="15" ht="26.25" customHeight="1">
      <c r="A15" s="104">
        <v>13.0</v>
      </c>
      <c r="B15" s="120"/>
      <c r="C15" s="110"/>
      <c r="D15" s="107"/>
      <c r="E15" s="107"/>
      <c r="F15" s="108"/>
      <c r="G15" s="10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ht="26.25" customHeight="1">
      <c r="A16" s="104">
        <v>14.0</v>
      </c>
      <c r="B16" s="120"/>
      <c r="C16" s="110"/>
      <c r="D16" s="107"/>
      <c r="E16" s="107"/>
      <c r="F16" s="108"/>
      <c r="G16" s="10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ht="26.25" customHeight="1">
      <c r="A17" s="122">
        <v>15.0</v>
      </c>
      <c r="B17" s="123"/>
      <c r="C17" s="124"/>
      <c r="D17" s="107"/>
      <c r="E17" s="107"/>
      <c r="F17" s="108"/>
      <c r="G17" s="10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ht="26.25" customHeight="1">
      <c r="A18" s="112"/>
      <c r="B18" s="113"/>
      <c r="C18" s="114"/>
      <c r="D18" s="114"/>
      <c r="E18" s="99" t="s">
        <v>144</v>
      </c>
      <c r="F18" s="100"/>
      <c r="G18" s="114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ht="26.25" customHeight="1">
      <c r="A19" s="115"/>
      <c r="B19" s="113"/>
      <c r="C19" s="114"/>
      <c r="D19" s="114"/>
      <c r="E19" s="99" t="s">
        <v>145</v>
      </c>
      <c r="F19" s="100"/>
      <c r="G19" s="114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ht="26.25" customHeight="1">
      <c r="A20" s="115"/>
      <c r="B20" s="113"/>
      <c r="C20" s="114"/>
      <c r="D20" s="114"/>
      <c r="E20" s="99" t="s">
        <v>146</v>
      </c>
      <c r="F20" s="100"/>
      <c r="G20" s="114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</row>
    <row r="21" ht="26.25" customHeight="1">
      <c r="A21" s="115"/>
      <c r="B21" s="113"/>
      <c r="C21" s="114"/>
      <c r="D21" s="114"/>
      <c r="E21" s="99" t="s">
        <v>147</v>
      </c>
      <c r="F21" s="100"/>
      <c r="G21" s="114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ht="26.25" customHeight="1">
      <c r="A22" s="115"/>
      <c r="B22" s="113"/>
      <c r="C22" s="114"/>
      <c r="D22" s="114"/>
      <c r="E22" s="99" t="s">
        <v>148</v>
      </c>
      <c r="F22" s="107"/>
      <c r="G22" s="220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ht="26.25" customHeight="1">
      <c r="A23" s="285"/>
      <c r="B23" s="282"/>
      <c r="C23" s="286"/>
      <c r="D23" s="286"/>
      <c r="E23" s="282"/>
      <c r="F23" s="548"/>
      <c r="G23" s="286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</row>
    <row r="24" ht="26.25" customHeight="1">
      <c r="A24" s="118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ht="26.25" customHeight="1">
      <c r="A25" s="102" t="s">
        <v>4</v>
      </c>
      <c r="B25" s="102" t="s">
        <v>5</v>
      </c>
      <c r="C25" s="102" t="s">
        <v>126</v>
      </c>
      <c r="D25" s="102" t="s">
        <v>6</v>
      </c>
      <c r="E25" s="102" t="s">
        <v>7</v>
      </c>
      <c r="F25" s="102" t="s">
        <v>127</v>
      </c>
      <c r="G25" s="103" t="s">
        <v>128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</row>
    <row r="26" ht="26.25" customHeight="1">
      <c r="A26" s="104">
        <v>1.0</v>
      </c>
      <c r="B26" s="105">
        <v>46090.0</v>
      </c>
      <c r="C26" s="106" t="s">
        <v>261</v>
      </c>
      <c r="D26" s="107"/>
      <c r="E26" s="107"/>
      <c r="F26" s="108"/>
      <c r="G26" s="10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</row>
    <row r="27" ht="26.25" customHeight="1">
      <c r="A27" s="104">
        <v>2.0</v>
      </c>
      <c r="B27" s="120"/>
      <c r="C27" s="110"/>
      <c r="D27" s="107"/>
      <c r="E27" s="107"/>
      <c r="F27" s="108"/>
      <c r="G27" s="10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</row>
    <row r="28" ht="26.25" customHeight="1">
      <c r="A28" s="104">
        <v>3.0</v>
      </c>
      <c r="B28" s="120"/>
      <c r="C28" s="110"/>
      <c r="D28" s="107"/>
      <c r="E28" s="107"/>
      <c r="F28" s="111"/>
      <c r="G28" s="10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</row>
    <row r="29" ht="26.25" customHeight="1">
      <c r="A29" s="104">
        <v>4.0</v>
      </c>
      <c r="B29" s="120"/>
      <c r="C29" s="110"/>
      <c r="D29" s="107"/>
      <c r="E29" s="107"/>
      <c r="F29" s="108"/>
      <c r="G29" s="111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</row>
    <row r="30" ht="26.25" customHeight="1">
      <c r="A30" s="104">
        <v>5.0</v>
      </c>
      <c r="B30" s="120"/>
      <c r="C30" s="110"/>
      <c r="D30" s="107"/>
      <c r="E30" s="107"/>
      <c r="F30" s="108"/>
      <c r="G30" s="10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</row>
    <row r="31" ht="26.25" customHeight="1">
      <c r="A31" s="104">
        <v>6.0</v>
      </c>
      <c r="B31" s="120"/>
      <c r="C31" s="110"/>
      <c r="D31" s="107"/>
      <c r="E31" s="107"/>
      <c r="F31" s="108"/>
      <c r="G31" s="10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</row>
    <row r="32" ht="26.25" customHeight="1">
      <c r="A32" s="104">
        <v>7.0</v>
      </c>
      <c r="B32" s="120"/>
      <c r="C32" s="110"/>
      <c r="D32" s="107"/>
      <c r="E32" s="107"/>
      <c r="F32" s="108"/>
      <c r="G32" s="10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</row>
    <row r="33" ht="26.25" customHeight="1">
      <c r="A33" s="104">
        <v>8.0</v>
      </c>
      <c r="B33" s="120"/>
      <c r="C33" s="106"/>
      <c r="D33" s="107"/>
      <c r="E33" s="107"/>
      <c r="F33" s="108"/>
      <c r="G33" s="10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</row>
    <row r="34" ht="26.25" customHeight="1">
      <c r="A34" s="104">
        <v>9.0</v>
      </c>
      <c r="B34" s="120"/>
      <c r="C34" s="110"/>
      <c r="D34" s="107"/>
      <c r="E34" s="107"/>
      <c r="F34" s="108"/>
      <c r="G34" s="10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</row>
    <row r="35" ht="26.25" customHeight="1">
      <c r="A35" s="104">
        <v>10.0</v>
      </c>
      <c r="B35" s="120"/>
      <c r="C35" s="110"/>
      <c r="D35" s="107"/>
      <c r="E35" s="107"/>
      <c r="F35" s="108"/>
      <c r="G35" s="10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</row>
    <row r="36" ht="26.25" customHeight="1">
      <c r="A36" s="104">
        <v>11.0</v>
      </c>
      <c r="B36" s="120"/>
      <c r="C36" s="110"/>
      <c r="D36" s="107"/>
      <c r="E36" s="107"/>
      <c r="F36" s="108"/>
      <c r="G36" s="10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</row>
    <row r="37" ht="26.25" customHeight="1">
      <c r="A37" s="104">
        <v>12.0</v>
      </c>
      <c r="B37" s="120"/>
      <c r="C37" s="110"/>
      <c r="D37" s="107"/>
      <c r="E37" s="107"/>
      <c r="F37" s="109"/>
      <c r="G37" s="111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</row>
    <row r="38" ht="26.25" customHeight="1">
      <c r="A38" s="104">
        <v>13.0</v>
      </c>
      <c r="B38" s="120"/>
      <c r="C38" s="110"/>
      <c r="D38" s="107"/>
      <c r="E38" s="107"/>
      <c r="F38" s="121"/>
      <c r="G38" s="10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</row>
    <row r="39" ht="26.25" customHeight="1">
      <c r="A39" s="104">
        <v>14.0</v>
      </c>
      <c r="B39" s="120"/>
      <c r="C39" s="110"/>
      <c r="D39" s="107"/>
      <c r="E39" s="107"/>
      <c r="F39" s="108"/>
      <c r="G39" s="10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</row>
    <row r="40" ht="26.25" customHeight="1">
      <c r="A40" s="122">
        <v>15.0</v>
      </c>
      <c r="B40" s="123"/>
      <c r="C40" s="124"/>
      <c r="D40" s="107"/>
      <c r="E40" s="125"/>
      <c r="F40" s="109"/>
      <c r="G40" s="10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</row>
    <row r="41" ht="26.25" customHeight="1">
      <c r="A41" s="112"/>
      <c r="B41" s="113"/>
      <c r="C41" s="114"/>
      <c r="D41" s="114"/>
      <c r="E41" s="99" t="s">
        <v>144</v>
      </c>
      <c r="F41" s="131"/>
      <c r="G41" s="114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</row>
    <row r="42" ht="26.25" customHeight="1">
      <c r="A42" s="115"/>
      <c r="B42" s="113"/>
      <c r="C42" s="114"/>
      <c r="D42" s="114"/>
      <c r="E42" s="99" t="s">
        <v>145</v>
      </c>
      <c r="F42" s="100"/>
      <c r="G42" s="114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</row>
    <row r="43" ht="26.25" customHeight="1">
      <c r="A43" s="115"/>
      <c r="B43" s="113"/>
      <c r="C43" s="114"/>
      <c r="D43" s="114"/>
      <c r="E43" s="99" t="s">
        <v>146</v>
      </c>
      <c r="F43" s="100"/>
      <c r="G43" s="114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</row>
    <row r="44" ht="26.25" customHeight="1">
      <c r="A44" s="115"/>
      <c r="B44" s="113"/>
      <c r="C44" s="114"/>
      <c r="D44" s="114"/>
      <c r="E44" s="99" t="s">
        <v>147</v>
      </c>
      <c r="F44" s="100"/>
      <c r="G44" s="114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</row>
    <row r="45" ht="26.25" customHeight="1">
      <c r="A45" s="115"/>
      <c r="B45" s="113"/>
      <c r="C45" s="114"/>
      <c r="D45" s="114"/>
      <c r="E45" s="99" t="s">
        <v>148</v>
      </c>
      <c r="F45" s="100"/>
      <c r="G45" s="114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</row>
    <row r="46" ht="26.25" customHeight="1">
      <c r="A46" s="118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</row>
    <row r="47" ht="26.25" customHeight="1">
      <c r="A47" s="102" t="s">
        <v>4</v>
      </c>
      <c r="B47" s="102" t="s">
        <v>5</v>
      </c>
      <c r="C47" s="102" t="s">
        <v>126</v>
      </c>
      <c r="D47" s="102" t="s">
        <v>6</v>
      </c>
      <c r="E47" s="102" t="s">
        <v>7</v>
      </c>
      <c r="F47" s="102" t="s">
        <v>127</v>
      </c>
      <c r="G47" s="103" t="s">
        <v>128</v>
      </c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</row>
    <row r="48" ht="26.25" customHeight="1">
      <c r="A48" s="104">
        <v>1.0</v>
      </c>
      <c r="B48" s="105">
        <v>46091.0</v>
      </c>
      <c r="C48" s="106" t="s">
        <v>169</v>
      </c>
      <c r="D48" s="107"/>
      <c r="E48" s="107"/>
      <c r="F48" s="108"/>
      <c r="G48" s="10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</row>
    <row r="49" ht="26.25" customHeight="1">
      <c r="A49" s="104">
        <v>2.0</v>
      </c>
      <c r="B49" s="120"/>
      <c r="C49" s="110"/>
      <c r="D49" s="107"/>
      <c r="E49" s="107"/>
      <c r="F49" s="108"/>
      <c r="G49" s="10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</row>
    <row r="50" ht="26.25" customHeight="1">
      <c r="A50" s="104">
        <v>3.0</v>
      </c>
      <c r="B50" s="120"/>
      <c r="C50" s="110"/>
      <c r="D50" s="107"/>
      <c r="E50" s="107"/>
      <c r="F50" s="111"/>
      <c r="G50" s="10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</row>
    <row r="51" ht="26.25" customHeight="1">
      <c r="A51" s="104">
        <v>4.0</v>
      </c>
      <c r="B51" s="120"/>
      <c r="C51" s="110"/>
      <c r="D51" s="107"/>
      <c r="E51" s="107"/>
      <c r="F51" s="108"/>
      <c r="G51" s="111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</row>
    <row r="52" ht="26.25" customHeight="1">
      <c r="A52" s="104">
        <v>5.0</v>
      </c>
      <c r="B52" s="120"/>
      <c r="C52" s="110"/>
      <c r="D52" s="107"/>
      <c r="E52" s="107"/>
      <c r="F52" s="108"/>
      <c r="G52" s="10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</row>
    <row r="53" ht="26.25" customHeight="1">
      <c r="A53" s="104">
        <v>6.0</v>
      </c>
      <c r="B53" s="120"/>
      <c r="C53" s="110"/>
      <c r="D53" s="107"/>
      <c r="E53" s="107"/>
      <c r="F53" s="108"/>
      <c r="G53" s="10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</row>
    <row r="54" ht="26.25" customHeight="1">
      <c r="A54" s="104">
        <v>7.0</v>
      </c>
      <c r="B54" s="120"/>
      <c r="C54" s="110"/>
      <c r="D54" s="107"/>
      <c r="E54" s="107"/>
      <c r="F54" s="108"/>
      <c r="G54" s="10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</row>
    <row r="55" ht="26.25" customHeight="1">
      <c r="A55" s="104">
        <v>8.0</v>
      </c>
      <c r="B55" s="120"/>
      <c r="C55" s="106"/>
      <c r="D55" s="107"/>
      <c r="E55" s="107"/>
      <c r="F55" s="108"/>
      <c r="G55" s="10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</row>
    <row r="56" ht="26.25" customHeight="1">
      <c r="A56" s="104">
        <v>9.0</v>
      </c>
      <c r="B56" s="120"/>
      <c r="C56" s="110"/>
      <c r="D56" s="107"/>
      <c r="E56" s="107"/>
      <c r="F56" s="108"/>
      <c r="G56" s="10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</row>
    <row r="57" ht="26.25" customHeight="1">
      <c r="A57" s="104">
        <v>10.0</v>
      </c>
      <c r="B57" s="120"/>
      <c r="C57" s="110"/>
      <c r="D57" s="107"/>
      <c r="E57" s="107"/>
      <c r="F57" s="108"/>
      <c r="G57" s="10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</row>
    <row r="58" ht="26.25" customHeight="1">
      <c r="A58" s="104">
        <v>11.0</v>
      </c>
      <c r="B58" s="120"/>
      <c r="C58" s="110"/>
      <c r="D58" s="107"/>
      <c r="E58" s="107"/>
      <c r="F58" s="108"/>
      <c r="G58" s="10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</row>
    <row r="59" ht="26.25" customHeight="1">
      <c r="A59" s="104">
        <v>12.0</v>
      </c>
      <c r="B59" s="120"/>
      <c r="C59" s="110"/>
      <c r="D59" s="107"/>
      <c r="E59" s="107"/>
      <c r="F59" s="109"/>
      <c r="G59" s="111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</row>
    <row r="60" ht="26.25" customHeight="1">
      <c r="A60" s="104">
        <v>13.0</v>
      </c>
      <c r="B60" s="120"/>
      <c r="C60" s="110"/>
      <c r="D60" s="107"/>
      <c r="E60" s="107"/>
      <c r="F60" s="121"/>
      <c r="G60" s="10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</row>
    <row r="61" ht="26.25" customHeight="1">
      <c r="A61" s="104">
        <v>14.0</v>
      </c>
      <c r="B61" s="120"/>
      <c r="C61" s="110"/>
      <c r="D61" s="107"/>
      <c r="E61" s="107"/>
      <c r="F61" s="108"/>
      <c r="G61" s="10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</row>
    <row r="62" ht="26.25" customHeight="1">
      <c r="A62" s="122">
        <v>15.0</v>
      </c>
      <c r="B62" s="123"/>
      <c r="C62" s="124"/>
      <c r="D62" s="107"/>
      <c r="E62" s="125"/>
      <c r="F62" s="109"/>
      <c r="G62" s="10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</row>
    <row r="63" ht="26.25" customHeight="1">
      <c r="A63" s="112"/>
      <c r="B63" s="113"/>
      <c r="C63" s="114"/>
      <c r="D63" s="114"/>
      <c r="E63" s="99" t="s">
        <v>144</v>
      </c>
      <c r="F63" s="131"/>
      <c r="G63" s="114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</row>
    <row r="64" ht="26.25" customHeight="1">
      <c r="A64" s="115"/>
      <c r="B64" s="113"/>
      <c r="C64" s="114"/>
      <c r="D64" s="114"/>
      <c r="E64" s="99" t="s">
        <v>145</v>
      </c>
      <c r="F64" s="100"/>
      <c r="G64" s="114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</row>
    <row r="65" ht="26.25" customHeight="1">
      <c r="A65" s="115"/>
      <c r="B65" s="113"/>
      <c r="C65" s="114"/>
      <c r="D65" s="114"/>
      <c r="E65" s="99" t="s">
        <v>146</v>
      </c>
      <c r="F65" s="100"/>
      <c r="G65" s="114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</row>
    <row r="66" ht="26.25" customHeight="1">
      <c r="A66" s="115"/>
      <c r="B66" s="113"/>
      <c r="C66" s="114"/>
      <c r="D66" s="114"/>
      <c r="E66" s="99" t="s">
        <v>147</v>
      </c>
      <c r="F66" s="100"/>
      <c r="G66" s="114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</row>
    <row r="67" ht="26.25" customHeight="1">
      <c r="A67" s="115"/>
      <c r="B67" s="113"/>
      <c r="C67" s="114"/>
      <c r="D67" s="114"/>
      <c r="E67" s="99" t="s">
        <v>148</v>
      </c>
      <c r="F67" s="100"/>
      <c r="G67" s="114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</row>
    <row r="68" ht="26.25" customHeight="1">
      <c r="A68" s="118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</row>
    <row r="69" ht="26.25" customHeight="1">
      <c r="A69" s="102" t="s">
        <v>4</v>
      </c>
      <c r="B69" s="102" t="s">
        <v>5</v>
      </c>
      <c r="C69" s="102" t="s">
        <v>126</v>
      </c>
      <c r="D69" s="102" t="s">
        <v>6</v>
      </c>
      <c r="E69" s="102" t="s">
        <v>7</v>
      </c>
      <c r="F69" s="102" t="s">
        <v>127</v>
      </c>
      <c r="G69" s="103" t="s">
        <v>128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</row>
    <row r="70" ht="26.25" customHeight="1">
      <c r="A70" s="104">
        <v>1.0</v>
      </c>
      <c r="B70" s="105">
        <v>46092.0</v>
      </c>
      <c r="C70" s="106" t="s">
        <v>299</v>
      </c>
      <c r="D70" s="107"/>
      <c r="E70" s="107"/>
      <c r="F70" s="108"/>
      <c r="G70" s="10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</row>
    <row r="71" ht="26.25" customHeight="1">
      <c r="A71" s="104">
        <v>2.0</v>
      </c>
      <c r="B71" s="120"/>
      <c r="C71" s="110"/>
      <c r="D71" s="107"/>
      <c r="E71" s="107"/>
      <c r="F71" s="108"/>
      <c r="G71" s="10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</row>
    <row r="72" ht="26.25" customHeight="1">
      <c r="A72" s="104">
        <v>3.0</v>
      </c>
      <c r="B72" s="120"/>
      <c r="C72" s="110"/>
      <c r="D72" s="107"/>
      <c r="E72" s="107"/>
      <c r="F72" s="111"/>
      <c r="G72" s="10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</row>
    <row r="73" ht="26.25" customHeight="1">
      <c r="A73" s="104">
        <v>4.0</v>
      </c>
      <c r="B73" s="120"/>
      <c r="C73" s="110"/>
      <c r="D73" s="107"/>
      <c r="E73" s="107"/>
      <c r="F73" s="108"/>
      <c r="G73" s="111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</row>
    <row r="74" ht="26.25" customHeight="1">
      <c r="A74" s="104">
        <v>5.0</v>
      </c>
      <c r="B74" s="120"/>
      <c r="C74" s="110"/>
      <c r="D74" s="107"/>
      <c r="E74" s="107"/>
      <c r="F74" s="108"/>
      <c r="G74" s="10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</row>
    <row r="75" ht="26.25" customHeight="1">
      <c r="A75" s="104">
        <v>6.0</v>
      </c>
      <c r="B75" s="120"/>
      <c r="C75" s="110"/>
      <c r="D75" s="107"/>
      <c r="E75" s="107"/>
      <c r="F75" s="108"/>
      <c r="G75" s="10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</row>
    <row r="76" ht="26.25" customHeight="1">
      <c r="A76" s="104">
        <v>7.0</v>
      </c>
      <c r="B76" s="120"/>
      <c r="C76" s="110"/>
      <c r="D76" s="107"/>
      <c r="E76" s="107"/>
      <c r="F76" s="108"/>
      <c r="G76" s="10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</row>
    <row r="77" ht="26.25" customHeight="1">
      <c r="A77" s="104">
        <v>8.0</v>
      </c>
      <c r="B77" s="120"/>
      <c r="C77" s="106"/>
      <c r="D77" s="107"/>
      <c r="E77" s="107"/>
      <c r="F77" s="108"/>
      <c r="G77" s="10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</row>
    <row r="78" ht="26.25" customHeight="1">
      <c r="A78" s="104">
        <v>9.0</v>
      </c>
      <c r="B78" s="120"/>
      <c r="C78" s="110"/>
      <c r="D78" s="107"/>
      <c r="E78" s="107"/>
      <c r="F78" s="108"/>
      <c r="G78" s="10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</row>
    <row r="79" ht="26.25" customHeight="1">
      <c r="A79" s="104">
        <v>10.0</v>
      </c>
      <c r="B79" s="120"/>
      <c r="C79" s="110"/>
      <c r="D79" s="107"/>
      <c r="E79" s="107"/>
      <c r="F79" s="108"/>
      <c r="G79" s="10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</row>
    <row r="80" ht="26.25" customHeight="1">
      <c r="A80" s="104">
        <v>11.0</v>
      </c>
      <c r="B80" s="120"/>
      <c r="C80" s="110"/>
      <c r="D80" s="107"/>
      <c r="E80" s="107"/>
      <c r="F80" s="108"/>
      <c r="G80" s="10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</row>
    <row r="81" ht="26.25" customHeight="1">
      <c r="A81" s="104">
        <v>12.0</v>
      </c>
      <c r="B81" s="120"/>
      <c r="C81" s="110"/>
      <c r="D81" s="107"/>
      <c r="E81" s="107"/>
      <c r="F81" s="109"/>
      <c r="G81" s="111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</row>
    <row r="82" ht="26.25" customHeight="1">
      <c r="A82" s="104">
        <v>13.0</v>
      </c>
      <c r="B82" s="120"/>
      <c r="C82" s="110"/>
      <c r="D82" s="107"/>
      <c r="E82" s="107"/>
      <c r="F82" s="121"/>
      <c r="G82" s="10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</row>
    <row r="83" ht="26.25" customHeight="1">
      <c r="A83" s="104">
        <v>14.0</v>
      </c>
      <c r="B83" s="120"/>
      <c r="C83" s="110"/>
      <c r="D83" s="107"/>
      <c r="E83" s="107"/>
      <c r="F83" s="108"/>
      <c r="G83" s="10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</row>
    <row r="84" ht="26.25" customHeight="1">
      <c r="A84" s="122">
        <v>15.0</v>
      </c>
      <c r="B84" s="123"/>
      <c r="C84" s="124"/>
      <c r="D84" s="107"/>
      <c r="E84" s="125"/>
      <c r="F84" s="109"/>
      <c r="G84" s="10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</row>
    <row r="85" ht="26.25" customHeight="1">
      <c r="A85" s="112"/>
      <c r="B85" s="113"/>
      <c r="C85" s="114"/>
      <c r="D85" s="114"/>
      <c r="E85" s="99" t="s">
        <v>144</v>
      </c>
      <c r="F85" s="131"/>
      <c r="G85" s="114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</row>
    <row r="86" ht="26.25" customHeight="1">
      <c r="A86" s="115"/>
      <c r="B86" s="113"/>
      <c r="C86" s="114"/>
      <c r="D86" s="114"/>
      <c r="E86" s="99" t="s">
        <v>145</v>
      </c>
      <c r="F86" s="100"/>
      <c r="G86" s="114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</row>
    <row r="87" ht="26.25" customHeight="1">
      <c r="A87" s="115"/>
      <c r="B87" s="113"/>
      <c r="C87" s="114"/>
      <c r="D87" s="114"/>
      <c r="E87" s="99" t="s">
        <v>146</v>
      </c>
      <c r="F87" s="100"/>
      <c r="G87" s="114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</row>
    <row r="88" ht="26.25" customHeight="1">
      <c r="A88" s="115"/>
      <c r="B88" s="113"/>
      <c r="C88" s="114"/>
      <c r="D88" s="114"/>
      <c r="E88" s="99" t="s">
        <v>147</v>
      </c>
      <c r="F88" s="100"/>
      <c r="G88" s="114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</row>
    <row r="89" ht="26.25" customHeight="1">
      <c r="A89" s="115"/>
      <c r="B89" s="113"/>
      <c r="C89" s="114"/>
      <c r="D89" s="114"/>
      <c r="E89" s="99" t="s">
        <v>148</v>
      </c>
      <c r="F89" s="100"/>
      <c r="G89" s="114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</row>
    <row r="90" ht="26.25" customHeight="1">
      <c r="A90" s="118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</row>
    <row r="91" ht="26.25" customHeight="1">
      <c r="A91" s="102" t="s">
        <v>4</v>
      </c>
      <c r="B91" s="102" t="s">
        <v>5</v>
      </c>
      <c r="C91" s="102" t="s">
        <v>126</v>
      </c>
      <c r="D91" s="102" t="s">
        <v>6</v>
      </c>
      <c r="E91" s="102" t="s">
        <v>7</v>
      </c>
      <c r="F91" s="102" t="s">
        <v>127</v>
      </c>
      <c r="G91" s="103" t="s">
        <v>128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</row>
    <row r="92" ht="26.25" customHeight="1">
      <c r="A92" s="104">
        <v>1.0</v>
      </c>
      <c r="B92" s="105">
        <v>46093.0</v>
      </c>
      <c r="C92" s="106" t="s">
        <v>310</v>
      </c>
      <c r="D92" s="107"/>
      <c r="E92" s="107"/>
      <c r="F92" s="108"/>
      <c r="G92" s="10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</row>
    <row r="93" ht="26.25" customHeight="1">
      <c r="A93" s="104">
        <v>2.0</v>
      </c>
      <c r="B93" s="120"/>
      <c r="C93" s="110"/>
      <c r="D93" s="107"/>
      <c r="E93" s="107"/>
      <c r="F93" s="108"/>
      <c r="G93" s="10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</row>
    <row r="94" ht="26.25" customHeight="1">
      <c r="A94" s="104">
        <v>3.0</v>
      </c>
      <c r="B94" s="120"/>
      <c r="C94" s="110"/>
      <c r="D94" s="107"/>
      <c r="E94" s="107"/>
      <c r="F94" s="111"/>
      <c r="G94" s="10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</row>
    <row r="95" ht="26.25" customHeight="1">
      <c r="A95" s="104">
        <v>4.0</v>
      </c>
      <c r="B95" s="120"/>
      <c r="C95" s="110"/>
      <c r="D95" s="107"/>
      <c r="E95" s="107"/>
      <c r="F95" s="108"/>
      <c r="G95" s="111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</row>
    <row r="96" ht="26.25" customHeight="1">
      <c r="A96" s="104">
        <v>5.0</v>
      </c>
      <c r="B96" s="120"/>
      <c r="C96" s="110"/>
      <c r="D96" s="107"/>
      <c r="E96" s="107"/>
      <c r="F96" s="108"/>
      <c r="G96" s="10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</row>
    <row r="97" ht="26.25" customHeight="1">
      <c r="A97" s="104">
        <v>6.0</v>
      </c>
      <c r="B97" s="120"/>
      <c r="C97" s="110"/>
      <c r="D97" s="107"/>
      <c r="E97" s="107"/>
      <c r="F97" s="108"/>
      <c r="G97" s="10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</row>
    <row r="98" ht="26.25" customHeight="1">
      <c r="A98" s="104">
        <v>7.0</v>
      </c>
      <c r="B98" s="120"/>
      <c r="C98" s="110"/>
      <c r="D98" s="107"/>
      <c r="E98" s="107"/>
      <c r="F98" s="108"/>
      <c r="G98" s="10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</row>
    <row r="99" ht="26.25" customHeight="1">
      <c r="A99" s="104">
        <v>8.0</v>
      </c>
      <c r="B99" s="120"/>
      <c r="C99" s="106"/>
      <c r="D99" s="107"/>
      <c r="E99" s="107"/>
      <c r="F99" s="108"/>
      <c r="G99" s="10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</row>
    <row r="100" ht="26.25" customHeight="1">
      <c r="A100" s="104">
        <v>9.0</v>
      </c>
      <c r="B100" s="120"/>
      <c r="C100" s="110"/>
      <c r="D100" s="107"/>
      <c r="E100" s="107"/>
      <c r="F100" s="108"/>
      <c r="G100" s="10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</row>
    <row r="101" ht="26.25" customHeight="1">
      <c r="A101" s="104">
        <v>10.0</v>
      </c>
      <c r="B101" s="120"/>
      <c r="C101" s="110"/>
      <c r="D101" s="107"/>
      <c r="E101" s="107"/>
      <c r="F101" s="108"/>
      <c r="G101" s="10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</row>
    <row r="102" ht="26.25" customHeight="1">
      <c r="A102" s="104">
        <v>11.0</v>
      </c>
      <c r="B102" s="120"/>
      <c r="C102" s="110"/>
      <c r="D102" s="107"/>
      <c r="E102" s="107"/>
      <c r="F102" s="108"/>
      <c r="G102" s="10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</row>
    <row r="103" ht="26.25" customHeight="1">
      <c r="A103" s="104">
        <v>12.0</v>
      </c>
      <c r="B103" s="120"/>
      <c r="C103" s="110"/>
      <c r="D103" s="107"/>
      <c r="E103" s="107"/>
      <c r="F103" s="109"/>
      <c r="G103" s="111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</row>
    <row r="104" ht="26.25" customHeight="1">
      <c r="A104" s="104">
        <v>13.0</v>
      </c>
      <c r="B104" s="120"/>
      <c r="C104" s="110"/>
      <c r="D104" s="107"/>
      <c r="E104" s="107"/>
      <c r="F104" s="121"/>
      <c r="G104" s="10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</row>
    <row r="105" ht="26.25" customHeight="1">
      <c r="A105" s="104">
        <v>14.0</v>
      </c>
      <c r="B105" s="120"/>
      <c r="C105" s="110"/>
      <c r="D105" s="107"/>
      <c r="E105" s="107"/>
      <c r="F105" s="108"/>
      <c r="G105" s="10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</row>
    <row r="106" ht="26.25" customHeight="1">
      <c r="A106" s="122">
        <v>15.0</v>
      </c>
      <c r="B106" s="123"/>
      <c r="C106" s="124"/>
      <c r="D106" s="107"/>
      <c r="E106" s="125"/>
      <c r="F106" s="109"/>
      <c r="G106" s="10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</row>
    <row r="107" ht="26.25" customHeight="1">
      <c r="A107" s="112"/>
      <c r="B107" s="113"/>
      <c r="C107" s="114"/>
      <c r="D107" s="114"/>
      <c r="E107" s="99" t="s">
        <v>144</v>
      </c>
      <c r="F107" s="131"/>
      <c r="G107" s="114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</row>
    <row r="108" ht="26.25" customHeight="1">
      <c r="A108" s="115"/>
      <c r="B108" s="113"/>
      <c r="C108" s="114"/>
      <c r="D108" s="114"/>
      <c r="E108" s="99" t="s">
        <v>145</v>
      </c>
      <c r="F108" s="100"/>
      <c r="G108" s="114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</row>
    <row r="109" ht="26.25" customHeight="1">
      <c r="A109" s="115"/>
      <c r="B109" s="113"/>
      <c r="C109" s="114"/>
      <c r="D109" s="114"/>
      <c r="E109" s="99" t="s">
        <v>146</v>
      </c>
      <c r="F109" s="100"/>
      <c r="G109" s="114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</row>
    <row r="110" ht="26.25" customHeight="1">
      <c r="A110" s="115"/>
      <c r="B110" s="113"/>
      <c r="C110" s="114"/>
      <c r="D110" s="114"/>
      <c r="E110" s="99" t="s">
        <v>147</v>
      </c>
      <c r="F110" s="100"/>
      <c r="G110" s="114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</row>
    <row r="111" ht="26.25" customHeight="1">
      <c r="A111" s="115"/>
      <c r="B111" s="113"/>
      <c r="C111" s="114"/>
      <c r="D111" s="114"/>
      <c r="E111" s="99" t="s">
        <v>148</v>
      </c>
      <c r="F111" s="100"/>
      <c r="G111" s="114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</row>
    <row r="112" ht="26.25" customHeight="1">
      <c r="A112" s="118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</row>
    <row r="113" ht="26.25" customHeight="1">
      <c r="A113" s="102" t="s">
        <v>4</v>
      </c>
      <c r="B113" s="102" t="s">
        <v>5</v>
      </c>
      <c r="C113" s="102" t="s">
        <v>126</v>
      </c>
      <c r="D113" s="102" t="s">
        <v>6</v>
      </c>
      <c r="E113" s="102" t="s">
        <v>7</v>
      </c>
      <c r="F113" s="102" t="s">
        <v>127</v>
      </c>
      <c r="G113" s="103" t="s">
        <v>128</v>
      </c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</row>
    <row r="114" ht="26.25" customHeight="1">
      <c r="A114" s="104">
        <v>1.0</v>
      </c>
      <c r="B114" s="105">
        <v>46094.0</v>
      </c>
      <c r="C114" s="106" t="s">
        <v>239</v>
      </c>
      <c r="D114" s="107"/>
      <c r="E114" s="107"/>
      <c r="F114" s="108"/>
      <c r="G114" s="10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</row>
    <row r="115" ht="26.25" customHeight="1">
      <c r="A115" s="104">
        <v>2.0</v>
      </c>
      <c r="B115" s="120"/>
      <c r="C115" s="110"/>
      <c r="D115" s="107"/>
      <c r="E115" s="107"/>
      <c r="F115" s="108"/>
      <c r="G115" s="10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</row>
    <row r="116" ht="26.25" customHeight="1">
      <c r="A116" s="104">
        <v>3.0</v>
      </c>
      <c r="B116" s="120"/>
      <c r="C116" s="110"/>
      <c r="D116" s="107"/>
      <c r="E116" s="107"/>
      <c r="F116" s="111"/>
      <c r="G116" s="10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</row>
    <row r="117" ht="26.25" customHeight="1">
      <c r="A117" s="104">
        <v>4.0</v>
      </c>
      <c r="B117" s="120"/>
      <c r="C117" s="110"/>
      <c r="D117" s="107"/>
      <c r="E117" s="107"/>
      <c r="F117" s="108"/>
      <c r="G117" s="111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</row>
    <row r="118" ht="26.25" customHeight="1">
      <c r="A118" s="104">
        <v>5.0</v>
      </c>
      <c r="B118" s="120"/>
      <c r="C118" s="110"/>
      <c r="D118" s="107"/>
      <c r="E118" s="107"/>
      <c r="F118" s="108"/>
      <c r="G118" s="10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</row>
    <row r="119" ht="26.25" customHeight="1">
      <c r="A119" s="104">
        <v>6.0</v>
      </c>
      <c r="B119" s="120"/>
      <c r="C119" s="110"/>
      <c r="D119" s="107"/>
      <c r="E119" s="107"/>
      <c r="F119" s="108"/>
      <c r="G119" s="10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</row>
    <row r="120" ht="26.25" customHeight="1">
      <c r="A120" s="104">
        <v>7.0</v>
      </c>
      <c r="B120" s="120"/>
      <c r="C120" s="110"/>
      <c r="D120" s="107"/>
      <c r="E120" s="107"/>
      <c r="F120" s="108"/>
      <c r="G120" s="10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</row>
    <row r="121" ht="26.25" customHeight="1">
      <c r="A121" s="104">
        <v>8.0</v>
      </c>
      <c r="B121" s="120"/>
      <c r="C121" s="106"/>
      <c r="D121" s="107"/>
      <c r="E121" s="107"/>
      <c r="F121" s="108"/>
      <c r="G121" s="10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</row>
    <row r="122" ht="26.25" customHeight="1">
      <c r="A122" s="104">
        <v>9.0</v>
      </c>
      <c r="B122" s="120"/>
      <c r="C122" s="110"/>
      <c r="D122" s="107"/>
      <c r="E122" s="107"/>
      <c r="F122" s="108"/>
      <c r="G122" s="10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</row>
    <row r="123" ht="26.25" customHeight="1">
      <c r="A123" s="104">
        <v>10.0</v>
      </c>
      <c r="B123" s="120"/>
      <c r="C123" s="110"/>
      <c r="D123" s="107"/>
      <c r="E123" s="107"/>
      <c r="F123" s="108"/>
      <c r="G123" s="10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</row>
    <row r="124" ht="26.25" customHeight="1">
      <c r="A124" s="104">
        <v>11.0</v>
      </c>
      <c r="B124" s="120"/>
      <c r="C124" s="110"/>
      <c r="D124" s="107"/>
      <c r="E124" s="107"/>
      <c r="F124" s="108"/>
      <c r="G124" s="10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</row>
    <row r="125" ht="26.25" customHeight="1">
      <c r="A125" s="104">
        <v>12.0</v>
      </c>
      <c r="B125" s="120"/>
      <c r="C125" s="110"/>
      <c r="D125" s="107"/>
      <c r="E125" s="107"/>
      <c r="F125" s="109"/>
      <c r="G125" s="111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</row>
    <row r="126" ht="26.25" customHeight="1">
      <c r="A126" s="104">
        <v>13.0</v>
      </c>
      <c r="B126" s="120"/>
      <c r="C126" s="110"/>
      <c r="D126" s="107"/>
      <c r="E126" s="107"/>
      <c r="F126" s="121"/>
      <c r="G126" s="10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</row>
    <row r="127" ht="26.25" customHeight="1">
      <c r="A127" s="104">
        <v>14.0</v>
      </c>
      <c r="B127" s="120"/>
      <c r="C127" s="110"/>
      <c r="D127" s="107"/>
      <c r="E127" s="107"/>
      <c r="F127" s="108"/>
      <c r="G127" s="10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</row>
    <row r="128" ht="26.25" customHeight="1">
      <c r="A128" s="122">
        <v>15.0</v>
      </c>
      <c r="B128" s="123"/>
      <c r="C128" s="124"/>
      <c r="D128" s="107"/>
      <c r="E128" s="125"/>
      <c r="F128" s="109"/>
      <c r="G128" s="10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</row>
    <row r="129" ht="26.25" customHeight="1">
      <c r="A129" s="112"/>
      <c r="B129" s="113"/>
      <c r="C129" s="114"/>
      <c r="D129" s="114"/>
      <c r="E129" s="99" t="s">
        <v>144</v>
      </c>
      <c r="F129" s="131"/>
      <c r="G129" s="114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</row>
    <row r="130" ht="26.25" customHeight="1">
      <c r="A130" s="115"/>
      <c r="B130" s="113"/>
      <c r="C130" s="114"/>
      <c r="D130" s="114"/>
      <c r="E130" s="99" t="s">
        <v>145</v>
      </c>
      <c r="F130" s="100"/>
      <c r="G130" s="114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</row>
    <row r="131" ht="26.25" customHeight="1">
      <c r="A131" s="115"/>
      <c r="B131" s="113"/>
      <c r="C131" s="114"/>
      <c r="D131" s="114"/>
      <c r="E131" s="99" t="s">
        <v>146</v>
      </c>
      <c r="F131" s="100"/>
      <c r="G131" s="114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</row>
    <row r="132" ht="26.25" customHeight="1">
      <c r="A132" s="115"/>
      <c r="B132" s="113"/>
      <c r="C132" s="114"/>
      <c r="D132" s="114"/>
      <c r="E132" s="99" t="s">
        <v>147</v>
      </c>
      <c r="F132" s="100"/>
      <c r="G132" s="114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</row>
    <row r="133" ht="26.25" customHeight="1">
      <c r="A133" s="115"/>
      <c r="B133" s="113"/>
      <c r="C133" s="114"/>
      <c r="D133" s="114"/>
      <c r="E133" s="99" t="s">
        <v>148</v>
      </c>
      <c r="F133" s="100"/>
      <c r="G133" s="114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</row>
    <row r="134" ht="26.25" customHeight="1">
      <c r="A134" s="118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</row>
    <row r="135" ht="26.25" customHeight="1">
      <c r="A135" s="102" t="s">
        <v>4</v>
      </c>
      <c r="B135" s="102" t="s">
        <v>5</v>
      </c>
      <c r="C135" s="102" t="s">
        <v>126</v>
      </c>
      <c r="D135" s="102" t="s">
        <v>6</v>
      </c>
      <c r="E135" s="102" t="s">
        <v>7</v>
      </c>
      <c r="F135" s="102" t="s">
        <v>127</v>
      </c>
      <c r="G135" s="103" t="s">
        <v>128</v>
      </c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</row>
    <row r="136" ht="26.25" customHeight="1">
      <c r="A136" s="104">
        <v>1.0</v>
      </c>
      <c r="B136" s="105">
        <v>46095.0</v>
      </c>
      <c r="C136" s="106" t="s">
        <v>341</v>
      </c>
      <c r="D136" s="107"/>
      <c r="E136" s="107"/>
      <c r="F136" s="108"/>
      <c r="G136" s="10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</row>
    <row r="137" ht="26.25" customHeight="1">
      <c r="A137" s="104">
        <v>2.0</v>
      </c>
      <c r="B137" s="120"/>
      <c r="C137" s="110"/>
      <c r="D137" s="107"/>
      <c r="E137" s="107"/>
      <c r="F137" s="108"/>
      <c r="G137" s="10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</row>
    <row r="138" ht="26.25" customHeight="1">
      <c r="A138" s="104">
        <v>3.0</v>
      </c>
      <c r="B138" s="120"/>
      <c r="C138" s="110"/>
      <c r="D138" s="107"/>
      <c r="E138" s="107"/>
      <c r="F138" s="111"/>
      <c r="G138" s="10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</row>
    <row r="139" ht="26.25" customHeight="1">
      <c r="A139" s="104">
        <v>4.0</v>
      </c>
      <c r="B139" s="120"/>
      <c r="C139" s="110"/>
      <c r="D139" s="107"/>
      <c r="E139" s="107"/>
      <c r="F139" s="108"/>
      <c r="G139" s="111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</row>
    <row r="140" ht="26.25" customHeight="1">
      <c r="A140" s="104">
        <v>5.0</v>
      </c>
      <c r="B140" s="120"/>
      <c r="C140" s="110"/>
      <c r="D140" s="107"/>
      <c r="E140" s="107"/>
      <c r="F140" s="108"/>
      <c r="G140" s="10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</row>
    <row r="141" ht="26.25" customHeight="1">
      <c r="A141" s="104">
        <v>6.0</v>
      </c>
      <c r="B141" s="120"/>
      <c r="C141" s="110"/>
      <c r="D141" s="107"/>
      <c r="E141" s="107"/>
      <c r="F141" s="108"/>
      <c r="G141" s="10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</row>
    <row r="142" ht="26.25" customHeight="1">
      <c r="A142" s="104">
        <v>7.0</v>
      </c>
      <c r="B142" s="120"/>
      <c r="C142" s="110"/>
      <c r="D142" s="107"/>
      <c r="E142" s="107"/>
      <c r="F142" s="108"/>
      <c r="G142" s="10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</row>
    <row r="143" ht="26.25" customHeight="1">
      <c r="A143" s="104">
        <v>8.0</v>
      </c>
      <c r="B143" s="120"/>
      <c r="C143" s="106"/>
      <c r="D143" s="107"/>
      <c r="E143" s="107"/>
      <c r="F143" s="108"/>
      <c r="G143" s="10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</row>
    <row r="144" ht="26.25" customHeight="1">
      <c r="A144" s="104">
        <v>9.0</v>
      </c>
      <c r="B144" s="120"/>
      <c r="C144" s="110"/>
      <c r="D144" s="107"/>
      <c r="E144" s="107"/>
      <c r="F144" s="108"/>
      <c r="G144" s="10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</row>
    <row r="145" ht="26.25" customHeight="1">
      <c r="A145" s="104">
        <v>10.0</v>
      </c>
      <c r="B145" s="120"/>
      <c r="C145" s="110"/>
      <c r="D145" s="107"/>
      <c r="E145" s="107"/>
      <c r="F145" s="108"/>
      <c r="G145" s="10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</row>
    <row r="146" ht="26.25" customHeight="1">
      <c r="A146" s="104">
        <v>11.0</v>
      </c>
      <c r="B146" s="120"/>
      <c r="C146" s="110"/>
      <c r="D146" s="107"/>
      <c r="E146" s="107"/>
      <c r="F146" s="108"/>
      <c r="G146" s="10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</row>
    <row r="147" ht="26.25" customHeight="1">
      <c r="A147" s="104">
        <v>12.0</v>
      </c>
      <c r="B147" s="120"/>
      <c r="C147" s="110"/>
      <c r="D147" s="107"/>
      <c r="E147" s="107"/>
      <c r="F147" s="109"/>
      <c r="G147" s="111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</row>
    <row r="148" ht="26.25" customHeight="1">
      <c r="A148" s="104">
        <v>13.0</v>
      </c>
      <c r="B148" s="120"/>
      <c r="C148" s="110"/>
      <c r="D148" s="107"/>
      <c r="E148" s="107"/>
      <c r="F148" s="121"/>
      <c r="G148" s="10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</row>
    <row r="149" ht="26.25" customHeight="1">
      <c r="A149" s="104">
        <v>14.0</v>
      </c>
      <c r="B149" s="120"/>
      <c r="C149" s="110"/>
      <c r="D149" s="107"/>
      <c r="E149" s="107"/>
      <c r="F149" s="108"/>
      <c r="G149" s="10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</row>
    <row r="150" ht="26.25" customHeight="1">
      <c r="A150" s="122">
        <v>15.0</v>
      </c>
      <c r="B150" s="123"/>
      <c r="C150" s="124"/>
      <c r="D150" s="107"/>
      <c r="E150" s="125"/>
      <c r="F150" s="109"/>
      <c r="G150" s="10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</row>
    <row r="151" ht="26.25" customHeight="1">
      <c r="A151" s="112"/>
      <c r="B151" s="113"/>
      <c r="C151" s="114"/>
      <c r="D151" s="114"/>
      <c r="E151" s="99" t="s">
        <v>144</v>
      </c>
      <c r="F151" s="131"/>
      <c r="G151" s="114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</row>
    <row r="152" ht="26.25" customHeight="1">
      <c r="A152" s="115"/>
      <c r="B152" s="113"/>
      <c r="C152" s="114"/>
      <c r="D152" s="114"/>
      <c r="E152" s="99" t="s">
        <v>145</v>
      </c>
      <c r="F152" s="100"/>
      <c r="G152" s="114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</row>
    <row r="153" ht="26.25" customHeight="1">
      <c r="A153" s="115"/>
      <c r="B153" s="113"/>
      <c r="C153" s="114"/>
      <c r="D153" s="114"/>
      <c r="E153" s="99" t="s">
        <v>146</v>
      </c>
      <c r="F153" s="100"/>
      <c r="G153" s="114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</row>
    <row r="154" ht="26.25" customHeight="1">
      <c r="A154" s="115"/>
      <c r="B154" s="113"/>
      <c r="C154" s="114"/>
      <c r="D154" s="114"/>
      <c r="E154" s="99" t="s">
        <v>147</v>
      </c>
      <c r="F154" s="100"/>
      <c r="G154" s="114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</row>
    <row r="155" ht="26.25" customHeight="1">
      <c r="A155" s="115"/>
      <c r="B155" s="113"/>
      <c r="C155" s="114"/>
      <c r="D155" s="114"/>
      <c r="E155" s="99" t="s">
        <v>148</v>
      </c>
      <c r="F155" s="100"/>
      <c r="G155" s="114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</row>
    <row r="156" ht="26.25" customHeight="1">
      <c r="A156" s="118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</row>
    <row r="157" ht="26.25" customHeight="1">
      <c r="A157" s="102" t="s">
        <v>4</v>
      </c>
      <c r="B157" s="102" t="s">
        <v>5</v>
      </c>
      <c r="C157" s="102" t="s">
        <v>126</v>
      </c>
      <c r="D157" s="102" t="s">
        <v>6</v>
      </c>
      <c r="E157" s="102" t="s">
        <v>7</v>
      </c>
      <c r="F157" s="102" t="s">
        <v>127</v>
      </c>
      <c r="G157" s="103" t="s">
        <v>128</v>
      </c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</row>
    <row r="158" ht="26.25" customHeight="1">
      <c r="A158" s="104">
        <v>1.0</v>
      </c>
      <c r="B158" s="105">
        <v>46096.0</v>
      </c>
      <c r="C158" s="106" t="s">
        <v>129</v>
      </c>
      <c r="D158" s="107"/>
      <c r="E158" s="107" t="s">
        <v>2434</v>
      </c>
      <c r="F158" s="108">
        <v>50.0</v>
      </c>
      <c r="G158" s="108">
        <v>50.0</v>
      </c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</row>
    <row r="159" ht="26.25" customHeight="1">
      <c r="A159" s="104">
        <v>2.0</v>
      </c>
      <c r="B159" s="120"/>
      <c r="C159" s="110"/>
      <c r="D159" s="107"/>
      <c r="E159" s="107" t="s">
        <v>2435</v>
      </c>
      <c r="F159" s="108">
        <v>50.0</v>
      </c>
      <c r="G159" s="108">
        <v>40.0</v>
      </c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</row>
    <row r="160" ht="26.25" customHeight="1">
      <c r="A160" s="104">
        <v>3.0</v>
      </c>
      <c r="B160" s="120"/>
      <c r="C160" s="110"/>
      <c r="D160" s="107"/>
      <c r="E160" s="107" t="s">
        <v>2436</v>
      </c>
      <c r="F160" s="111"/>
      <c r="G160" s="10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</row>
    <row r="161" ht="26.25" customHeight="1">
      <c r="A161" s="104">
        <v>4.0</v>
      </c>
      <c r="B161" s="120"/>
      <c r="C161" s="110"/>
      <c r="D161" s="107"/>
      <c r="E161" s="107" t="s">
        <v>2437</v>
      </c>
      <c r="F161" s="108">
        <v>30.0</v>
      </c>
      <c r="G161" s="108">
        <v>30.0</v>
      </c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</row>
    <row r="162" ht="26.25" customHeight="1">
      <c r="A162" s="104">
        <v>5.0</v>
      </c>
      <c r="B162" s="120"/>
      <c r="C162" s="110"/>
      <c r="D162" s="107"/>
      <c r="E162" s="107" t="s">
        <v>2438</v>
      </c>
      <c r="F162" s="108"/>
      <c r="G162" s="108">
        <v>60.0</v>
      </c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</row>
    <row r="163" ht="26.25" customHeight="1">
      <c r="A163" s="104">
        <v>6.0</v>
      </c>
      <c r="B163" s="120"/>
      <c r="C163" s="110"/>
      <c r="D163" s="107"/>
      <c r="E163" s="107" t="s">
        <v>848</v>
      </c>
      <c r="F163" s="108">
        <v>100.0</v>
      </c>
      <c r="G163" s="108">
        <v>100.0</v>
      </c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</row>
    <row r="164" ht="26.25" customHeight="1">
      <c r="A164" s="104">
        <v>7.0</v>
      </c>
      <c r="B164" s="120"/>
      <c r="C164" s="110"/>
      <c r="D164" s="107"/>
      <c r="E164" s="107" t="s">
        <v>2439</v>
      </c>
      <c r="F164" s="111" t="s">
        <v>2440</v>
      </c>
      <c r="G164" s="108">
        <v>50.0</v>
      </c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</row>
    <row r="165" ht="26.25" customHeight="1">
      <c r="A165" s="104">
        <v>8.0</v>
      </c>
      <c r="B165" s="120"/>
      <c r="C165" s="106"/>
      <c r="D165" s="107"/>
      <c r="E165" s="107" t="s">
        <v>2441</v>
      </c>
      <c r="F165" s="108"/>
      <c r="G165" s="108">
        <v>-350.0</v>
      </c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</row>
    <row r="166" ht="26.25" customHeight="1">
      <c r="A166" s="104">
        <v>9.0</v>
      </c>
      <c r="B166" s="120"/>
      <c r="C166" s="110"/>
      <c r="D166" s="107"/>
      <c r="E166" s="107" t="s">
        <v>2442</v>
      </c>
      <c r="F166" s="108">
        <v>50.0</v>
      </c>
      <c r="G166" s="108" t="s">
        <v>2443</v>
      </c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</row>
    <row r="167" ht="26.25" customHeight="1">
      <c r="A167" s="104">
        <v>10.0</v>
      </c>
      <c r="B167" s="120"/>
      <c r="C167" s="110"/>
      <c r="D167" s="107"/>
      <c r="E167" s="107"/>
      <c r="F167" s="108"/>
      <c r="G167" s="109">
        <f>500+50+40+30+60+100+50-350</f>
        <v>480</v>
      </c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</row>
    <row r="168" ht="26.25" customHeight="1">
      <c r="A168" s="104">
        <v>11.0</v>
      </c>
      <c r="B168" s="120"/>
      <c r="C168" s="110"/>
      <c r="D168" s="107"/>
      <c r="E168" s="107"/>
      <c r="F168" s="108"/>
      <c r="G168" s="111" t="s">
        <v>2444</v>
      </c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</row>
    <row r="169" ht="26.25" customHeight="1">
      <c r="A169" s="104">
        <v>12.0</v>
      </c>
      <c r="B169" s="120"/>
      <c r="C169" s="110"/>
      <c r="D169" s="107"/>
      <c r="E169" s="107"/>
      <c r="F169" s="109"/>
      <c r="G169" s="108">
        <v>380.0</v>
      </c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</row>
    <row r="170" ht="26.25" customHeight="1">
      <c r="A170" s="104">
        <v>13.0</v>
      </c>
      <c r="B170" s="120"/>
      <c r="C170" s="110"/>
      <c r="D170" s="107"/>
      <c r="E170" s="107"/>
      <c r="F170" s="121"/>
      <c r="G170" s="10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</row>
    <row r="171" ht="26.25" customHeight="1">
      <c r="A171" s="104">
        <v>14.0</v>
      </c>
      <c r="B171" s="120"/>
      <c r="C171" s="110"/>
      <c r="D171" s="107"/>
      <c r="E171" s="107" t="s">
        <v>2445</v>
      </c>
      <c r="F171" s="108">
        <v>495.0</v>
      </c>
      <c r="G171" s="10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</row>
    <row r="172" ht="26.25" customHeight="1">
      <c r="A172" s="122">
        <v>15.0</v>
      </c>
      <c r="B172" s="123"/>
      <c r="C172" s="124"/>
      <c r="D172" s="107"/>
      <c r="E172" s="107" t="s">
        <v>2446</v>
      </c>
      <c r="F172" s="111" t="s">
        <v>2447</v>
      </c>
      <c r="G172" s="10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</row>
    <row r="173" ht="26.25" customHeight="1">
      <c r="A173" s="112"/>
      <c r="B173" s="113"/>
      <c r="C173" s="114"/>
      <c r="D173" s="114"/>
      <c r="E173" s="99" t="s">
        <v>144</v>
      </c>
      <c r="F173" s="100">
        <v>500.0</v>
      </c>
      <c r="G173" s="114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</row>
    <row r="174" ht="26.25" customHeight="1">
      <c r="A174" s="115"/>
      <c r="B174" s="113"/>
      <c r="C174" s="114"/>
      <c r="D174" s="114"/>
      <c r="E174" s="99" t="s">
        <v>145</v>
      </c>
      <c r="F174" s="100"/>
      <c r="G174" s="114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</row>
    <row r="175" ht="26.25" customHeight="1">
      <c r="A175" s="115"/>
      <c r="B175" s="113"/>
      <c r="C175" s="114"/>
      <c r="D175" s="114"/>
      <c r="E175" s="99" t="s">
        <v>146</v>
      </c>
      <c r="F175" s="100"/>
      <c r="G175" s="114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</row>
    <row r="176" ht="26.25" customHeight="1">
      <c r="A176" s="115"/>
      <c r="B176" s="113"/>
      <c r="C176" s="114"/>
      <c r="D176" s="114"/>
      <c r="E176" s="99" t="s">
        <v>147</v>
      </c>
      <c r="F176" s="100"/>
      <c r="G176" s="114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</row>
    <row r="177" ht="26.25" customHeight="1">
      <c r="A177" s="115"/>
      <c r="B177" s="113"/>
      <c r="C177" s="114"/>
      <c r="D177" s="114"/>
      <c r="E177" s="99" t="s">
        <v>148</v>
      </c>
      <c r="F177" s="100"/>
      <c r="G177" s="114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</row>
    <row r="178" ht="26.25" customHeight="1">
      <c r="A178" s="118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</row>
    <row r="179" ht="26.25" customHeight="1">
      <c r="A179" s="102" t="s">
        <v>4</v>
      </c>
      <c r="B179" s="102" t="s">
        <v>5</v>
      </c>
      <c r="C179" s="102" t="s">
        <v>126</v>
      </c>
      <c r="D179" s="102" t="s">
        <v>6</v>
      </c>
      <c r="E179" s="102" t="s">
        <v>7</v>
      </c>
      <c r="F179" s="102" t="s">
        <v>127</v>
      </c>
      <c r="G179" s="103" t="s">
        <v>128</v>
      </c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</row>
    <row r="180" ht="26.25" customHeight="1">
      <c r="A180" s="104">
        <v>1.0</v>
      </c>
      <c r="B180" s="105">
        <v>46097.0</v>
      </c>
      <c r="C180" s="106" t="s">
        <v>261</v>
      </c>
      <c r="D180" s="107"/>
      <c r="E180" s="107" t="s">
        <v>2437</v>
      </c>
      <c r="F180" s="108">
        <v>50.0</v>
      </c>
      <c r="G180" s="10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</row>
    <row r="181" ht="26.25" customHeight="1">
      <c r="A181" s="104">
        <v>2.0</v>
      </c>
      <c r="B181" s="120"/>
      <c r="C181" s="110"/>
      <c r="D181" s="107"/>
      <c r="E181" s="107" t="s">
        <v>489</v>
      </c>
      <c r="F181" s="108"/>
      <c r="G181" s="10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</row>
    <row r="182" ht="26.25" customHeight="1">
      <c r="A182" s="104">
        <v>3.0</v>
      </c>
      <c r="B182" s="120"/>
      <c r="C182" s="110"/>
      <c r="D182" s="107"/>
      <c r="E182" s="107" t="s">
        <v>2448</v>
      </c>
      <c r="F182" s="108">
        <v>50.0</v>
      </c>
      <c r="G182" s="10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</row>
    <row r="183" ht="26.25" customHeight="1">
      <c r="A183" s="104">
        <v>4.0</v>
      </c>
      <c r="B183" s="120"/>
      <c r="C183" s="110"/>
      <c r="D183" s="107"/>
      <c r="E183" s="107" t="s">
        <v>2449</v>
      </c>
      <c r="F183" s="108"/>
      <c r="G183" s="111" t="s">
        <v>2450</v>
      </c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</row>
    <row r="184" ht="26.25" customHeight="1">
      <c r="A184" s="104">
        <v>5.0</v>
      </c>
      <c r="B184" s="120"/>
      <c r="C184" s="110"/>
      <c r="D184" s="107"/>
      <c r="E184" s="107" t="s">
        <v>2451</v>
      </c>
      <c r="F184" s="108">
        <v>40.0</v>
      </c>
      <c r="G184" s="10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</row>
    <row r="185" ht="26.25" customHeight="1">
      <c r="A185" s="104">
        <v>6.0</v>
      </c>
      <c r="B185" s="120"/>
      <c r="C185" s="110"/>
      <c r="D185" s="107"/>
      <c r="E185" s="107" t="s">
        <v>2452</v>
      </c>
      <c r="F185" s="108">
        <v>40.0</v>
      </c>
      <c r="G185" s="10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</row>
    <row r="186" ht="26.25" customHeight="1">
      <c r="A186" s="104">
        <v>7.0</v>
      </c>
      <c r="B186" s="120"/>
      <c r="C186" s="110"/>
      <c r="D186" s="107"/>
      <c r="E186" s="107" t="s">
        <v>2453</v>
      </c>
      <c r="F186" s="108">
        <v>40.0</v>
      </c>
      <c r="G186" s="10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</row>
    <row r="187" ht="26.25" customHeight="1">
      <c r="A187" s="104">
        <v>8.0</v>
      </c>
      <c r="B187" s="120"/>
      <c r="C187" s="106"/>
      <c r="D187" s="107"/>
      <c r="E187" s="107"/>
      <c r="F187" s="108"/>
      <c r="G187" s="10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</row>
    <row r="188" ht="26.25" customHeight="1">
      <c r="A188" s="104">
        <v>9.0</v>
      </c>
      <c r="B188" s="120"/>
      <c r="C188" s="110"/>
      <c r="D188" s="107"/>
      <c r="E188" s="107"/>
      <c r="F188" s="108"/>
      <c r="G188" s="10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</row>
    <row r="189" ht="26.25" customHeight="1">
      <c r="A189" s="104">
        <v>10.0</v>
      </c>
      <c r="B189" s="120"/>
      <c r="C189" s="110"/>
      <c r="D189" s="107"/>
      <c r="E189" s="107" t="s">
        <v>2454</v>
      </c>
      <c r="F189" s="108"/>
      <c r="G189" s="10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</row>
    <row r="190" ht="26.25" customHeight="1">
      <c r="A190" s="104">
        <v>11.0</v>
      </c>
      <c r="B190" s="120"/>
      <c r="C190" s="110"/>
      <c r="D190" s="107"/>
      <c r="E190" s="107"/>
      <c r="F190" s="108"/>
      <c r="G190" s="10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</row>
    <row r="191" ht="26.25" customHeight="1">
      <c r="A191" s="104">
        <v>12.0</v>
      </c>
      <c r="B191" s="120"/>
      <c r="C191" s="110"/>
      <c r="D191" s="107"/>
      <c r="E191" s="107"/>
      <c r="F191" s="109"/>
      <c r="G191" s="111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</row>
    <row r="192" ht="26.25" customHeight="1">
      <c r="A192" s="104">
        <v>13.0</v>
      </c>
      <c r="B192" s="120"/>
      <c r="C192" s="110"/>
      <c r="D192" s="107"/>
      <c r="E192" s="107"/>
      <c r="F192" s="121"/>
      <c r="G192" s="10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</row>
    <row r="193" ht="26.25" customHeight="1">
      <c r="A193" s="104">
        <v>14.0</v>
      </c>
      <c r="B193" s="120"/>
      <c r="C193" s="110"/>
      <c r="D193" s="107"/>
      <c r="E193" s="107"/>
      <c r="F193" s="108"/>
      <c r="G193" s="10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</row>
    <row r="194" ht="26.25" customHeight="1">
      <c r="A194" s="122">
        <v>15.0</v>
      </c>
      <c r="B194" s="123"/>
      <c r="C194" s="124"/>
      <c r="D194" s="107"/>
      <c r="E194" s="125"/>
      <c r="F194" s="109"/>
      <c r="G194" s="10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</row>
    <row r="195" ht="26.25" customHeight="1">
      <c r="A195" s="112"/>
      <c r="B195" s="113"/>
      <c r="C195" s="114"/>
      <c r="D195" s="114"/>
      <c r="E195" s="99" t="s">
        <v>144</v>
      </c>
      <c r="F195" s="131"/>
      <c r="G195" s="114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</row>
    <row r="196" ht="26.25" customHeight="1">
      <c r="A196" s="115"/>
      <c r="B196" s="113"/>
      <c r="C196" s="114"/>
      <c r="D196" s="114"/>
      <c r="E196" s="99" t="s">
        <v>145</v>
      </c>
      <c r="F196" s="100">
        <f>50+50+25+40+40+40</f>
        <v>245</v>
      </c>
      <c r="G196" s="114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</row>
    <row r="197" ht="26.25" customHeight="1">
      <c r="A197" s="115"/>
      <c r="B197" s="113"/>
      <c r="C197" s="114"/>
      <c r="D197" s="114"/>
      <c r="E197" s="99" t="s">
        <v>146</v>
      </c>
      <c r="F197" s="100"/>
      <c r="G197" s="114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</row>
    <row r="198" ht="26.25" customHeight="1">
      <c r="A198" s="115"/>
      <c r="B198" s="113"/>
      <c r="C198" s="114"/>
      <c r="D198" s="114"/>
      <c r="E198" s="99" t="s">
        <v>147</v>
      </c>
      <c r="F198" s="100"/>
      <c r="G198" s="114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</row>
    <row r="199" ht="26.25" customHeight="1">
      <c r="A199" s="115"/>
      <c r="B199" s="113"/>
      <c r="C199" s="114"/>
      <c r="D199" s="114"/>
      <c r="E199" s="99" t="s">
        <v>148</v>
      </c>
      <c r="F199" s="100"/>
      <c r="G199" s="114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</row>
    <row r="200" ht="26.25" customHeight="1">
      <c r="A200" s="118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</row>
    <row r="201" ht="26.25" customHeight="1">
      <c r="A201" s="102" t="s">
        <v>4</v>
      </c>
      <c r="B201" s="102" t="s">
        <v>5</v>
      </c>
      <c r="C201" s="102" t="s">
        <v>126</v>
      </c>
      <c r="D201" s="102" t="s">
        <v>6</v>
      </c>
      <c r="E201" s="102" t="s">
        <v>7</v>
      </c>
      <c r="F201" s="102" t="s">
        <v>127</v>
      </c>
      <c r="G201" s="103" t="s">
        <v>128</v>
      </c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</row>
    <row r="202" ht="26.25" customHeight="1">
      <c r="A202" s="104">
        <v>1.0</v>
      </c>
      <c r="B202" s="105">
        <v>46098.0</v>
      </c>
      <c r="C202" s="106" t="s">
        <v>169</v>
      </c>
      <c r="D202" s="107"/>
      <c r="E202" s="107" t="s">
        <v>2455</v>
      </c>
      <c r="F202" s="108">
        <v>30.0</v>
      </c>
      <c r="G202" s="10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</row>
    <row r="203" ht="26.25" customHeight="1">
      <c r="A203" s="104">
        <v>2.0</v>
      </c>
      <c r="B203" s="120"/>
      <c r="C203" s="110"/>
      <c r="D203" s="107"/>
      <c r="E203" s="107" t="s">
        <v>2456</v>
      </c>
      <c r="F203" s="108">
        <v>40.0</v>
      </c>
      <c r="G203" s="10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</row>
    <row r="204" ht="26.25" customHeight="1">
      <c r="A204" s="104">
        <v>3.0</v>
      </c>
      <c r="B204" s="120"/>
      <c r="C204" s="110"/>
      <c r="D204" s="107"/>
      <c r="E204" s="107" t="s">
        <v>2457</v>
      </c>
      <c r="F204" s="111"/>
      <c r="G204" s="10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</row>
    <row r="205" ht="26.25" customHeight="1">
      <c r="A205" s="104">
        <v>4.0</v>
      </c>
      <c r="B205" s="120"/>
      <c r="C205" s="110"/>
      <c r="D205" s="107"/>
      <c r="E205" s="107" t="s">
        <v>2458</v>
      </c>
      <c r="F205" s="108"/>
      <c r="G205" s="111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</row>
    <row r="206" ht="26.25" customHeight="1">
      <c r="A206" s="104">
        <v>5.0</v>
      </c>
      <c r="B206" s="120"/>
      <c r="C206" s="110"/>
      <c r="D206" s="107"/>
      <c r="E206" s="107"/>
      <c r="F206" s="108"/>
      <c r="G206" s="10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</row>
    <row r="207" ht="26.25" customHeight="1">
      <c r="A207" s="104">
        <v>6.0</v>
      </c>
      <c r="B207" s="120"/>
      <c r="C207" s="110"/>
      <c r="D207" s="107"/>
      <c r="E207" s="107"/>
      <c r="F207" s="108"/>
      <c r="G207" s="10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</row>
    <row r="208" ht="26.25" customHeight="1">
      <c r="A208" s="104">
        <v>7.0</v>
      </c>
      <c r="B208" s="120"/>
      <c r="C208" s="110"/>
      <c r="D208" s="107"/>
      <c r="E208" s="107"/>
      <c r="F208" s="108"/>
      <c r="G208" s="10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</row>
    <row r="209" ht="26.25" customHeight="1">
      <c r="A209" s="104">
        <v>8.0</v>
      </c>
      <c r="B209" s="120"/>
      <c r="C209" s="106"/>
      <c r="D209" s="107"/>
      <c r="E209" s="107" t="s">
        <v>2459</v>
      </c>
      <c r="F209" s="108"/>
      <c r="G209" s="10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</row>
    <row r="210" ht="26.25" customHeight="1">
      <c r="A210" s="104">
        <v>9.0</v>
      </c>
      <c r="B210" s="120"/>
      <c r="C210" s="110"/>
      <c r="D210" s="107"/>
      <c r="E210" s="107" t="s">
        <v>2460</v>
      </c>
      <c r="F210" s="108"/>
      <c r="G210" s="10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</row>
    <row r="211" ht="26.25" customHeight="1">
      <c r="A211" s="104">
        <v>10.0</v>
      </c>
      <c r="B211" s="120"/>
      <c r="C211" s="110"/>
      <c r="D211" s="107"/>
      <c r="E211" s="107"/>
      <c r="F211" s="108"/>
      <c r="G211" s="10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</row>
    <row r="212" ht="26.25" customHeight="1">
      <c r="A212" s="104">
        <v>11.0</v>
      </c>
      <c r="B212" s="120"/>
      <c r="C212" s="110"/>
      <c r="D212" s="107"/>
      <c r="E212" s="107"/>
      <c r="F212" s="108"/>
      <c r="G212" s="10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</row>
    <row r="213" ht="26.25" customHeight="1">
      <c r="A213" s="104">
        <v>12.0</v>
      </c>
      <c r="B213" s="120"/>
      <c r="C213" s="110"/>
      <c r="D213" s="107"/>
      <c r="E213" s="107"/>
      <c r="F213" s="109"/>
      <c r="G213" s="111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</row>
    <row r="214" ht="26.25" customHeight="1">
      <c r="A214" s="104">
        <v>13.0</v>
      </c>
      <c r="B214" s="120"/>
      <c r="C214" s="110"/>
      <c r="D214" s="107"/>
      <c r="E214" s="107"/>
      <c r="F214" s="121"/>
      <c r="G214" s="10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</row>
    <row r="215" ht="26.25" customHeight="1">
      <c r="A215" s="104">
        <v>14.0</v>
      </c>
      <c r="B215" s="120"/>
      <c r="C215" s="110"/>
      <c r="D215" s="107"/>
      <c r="E215" s="107"/>
      <c r="F215" s="108"/>
      <c r="G215" s="10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</row>
    <row r="216" ht="26.25" customHeight="1">
      <c r="A216" s="122">
        <v>15.0</v>
      </c>
      <c r="B216" s="123"/>
      <c r="C216" s="124"/>
      <c r="D216" s="107"/>
      <c r="E216" s="125"/>
      <c r="F216" s="109"/>
      <c r="G216" s="10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</row>
    <row r="217" ht="26.25" customHeight="1">
      <c r="A217" s="112"/>
      <c r="B217" s="113"/>
      <c r="C217" s="114"/>
      <c r="D217" s="114"/>
      <c r="E217" s="99" t="s">
        <v>144</v>
      </c>
      <c r="F217" s="100">
        <v>200.0</v>
      </c>
      <c r="G217" s="114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</row>
    <row r="218" ht="26.25" customHeight="1">
      <c r="A218" s="115"/>
      <c r="B218" s="113"/>
      <c r="C218" s="114"/>
      <c r="D218" s="114"/>
      <c r="E218" s="99" t="s">
        <v>145</v>
      </c>
      <c r="F218" s="100">
        <f>200-130+40+30</f>
        <v>140</v>
      </c>
      <c r="G218" s="114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</row>
    <row r="219" ht="26.25" customHeight="1">
      <c r="A219" s="115"/>
      <c r="B219" s="113"/>
      <c r="C219" s="114"/>
      <c r="D219" s="114"/>
      <c r="E219" s="99" t="s">
        <v>146</v>
      </c>
      <c r="F219" s="100"/>
      <c r="G219" s="114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</row>
    <row r="220" ht="26.25" customHeight="1">
      <c r="A220" s="115"/>
      <c r="B220" s="113"/>
      <c r="C220" s="114"/>
      <c r="D220" s="114"/>
      <c r="E220" s="99" t="s">
        <v>147</v>
      </c>
      <c r="F220" s="100"/>
      <c r="G220" s="114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</row>
    <row r="221" ht="26.25" customHeight="1">
      <c r="A221" s="115"/>
      <c r="B221" s="113"/>
      <c r="C221" s="114"/>
      <c r="D221" s="114"/>
      <c r="E221" s="99" t="s">
        <v>148</v>
      </c>
      <c r="F221" s="100"/>
      <c r="G221" s="114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</row>
    <row r="222" ht="26.25" customHeight="1">
      <c r="A222" s="118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</row>
    <row r="223" ht="26.25" customHeight="1">
      <c r="A223" s="102" t="s">
        <v>4</v>
      </c>
      <c r="B223" s="102" t="s">
        <v>5</v>
      </c>
      <c r="C223" s="102" t="s">
        <v>126</v>
      </c>
      <c r="D223" s="102" t="s">
        <v>6</v>
      </c>
      <c r="E223" s="102" t="s">
        <v>7</v>
      </c>
      <c r="F223" s="102" t="s">
        <v>127</v>
      </c>
      <c r="G223" s="103" t="s">
        <v>128</v>
      </c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</row>
    <row r="224" ht="26.25" customHeight="1">
      <c r="A224" s="104">
        <v>1.0</v>
      </c>
      <c r="B224" s="105">
        <v>46099.0</v>
      </c>
      <c r="C224" s="106" t="s">
        <v>299</v>
      </c>
      <c r="D224" s="107"/>
      <c r="E224" s="107"/>
      <c r="F224" s="108"/>
      <c r="G224" s="10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</row>
    <row r="225" ht="26.25" customHeight="1">
      <c r="A225" s="104">
        <v>2.0</v>
      </c>
      <c r="B225" s="120"/>
      <c r="C225" s="110"/>
      <c r="D225" s="107"/>
      <c r="E225" s="107"/>
      <c r="F225" s="108"/>
      <c r="G225" s="10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</row>
    <row r="226" ht="26.25" customHeight="1">
      <c r="A226" s="104">
        <v>3.0</v>
      </c>
      <c r="B226" s="120"/>
      <c r="C226" s="110"/>
      <c r="D226" s="107"/>
      <c r="E226" s="107"/>
      <c r="F226" s="111"/>
      <c r="G226" s="10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</row>
    <row r="227" ht="26.25" customHeight="1">
      <c r="A227" s="104">
        <v>4.0</v>
      </c>
      <c r="B227" s="120"/>
      <c r="C227" s="110"/>
      <c r="D227" s="107"/>
      <c r="E227" s="107"/>
      <c r="F227" s="108"/>
      <c r="G227" s="111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</row>
    <row r="228" ht="26.25" customHeight="1">
      <c r="A228" s="104">
        <v>5.0</v>
      </c>
      <c r="B228" s="120"/>
      <c r="C228" s="110"/>
      <c r="D228" s="107"/>
      <c r="E228" s="107"/>
      <c r="F228" s="108"/>
      <c r="G228" s="10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</row>
    <row r="229" ht="26.25" customHeight="1">
      <c r="A229" s="104">
        <v>6.0</v>
      </c>
      <c r="B229" s="120"/>
      <c r="C229" s="110"/>
      <c r="D229" s="107"/>
      <c r="E229" s="107"/>
      <c r="F229" s="108"/>
      <c r="G229" s="10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</row>
    <row r="230" ht="26.25" customHeight="1">
      <c r="A230" s="104">
        <v>7.0</v>
      </c>
      <c r="B230" s="120"/>
      <c r="C230" s="110"/>
      <c r="D230" s="107"/>
      <c r="E230" s="107"/>
      <c r="F230" s="108"/>
      <c r="G230" s="10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</row>
    <row r="231" ht="26.25" customHeight="1">
      <c r="A231" s="104">
        <v>8.0</v>
      </c>
      <c r="B231" s="120"/>
      <c r="C231" s="106"/>
      <c r="D231" s="107"/>
      <c r="E231" s="107"/>
      <c r="F231" s="108"/>
      <c r="G231" s="10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</row>
    <row r="232" ht="26.25" customHeight="1">
      <c r="A232" s="104">
        <v>9.0</v>
      </c>
      <c r="B232" s="120"/>
      <c r="C232" s="110"/>
      <c r="D232" s="107"/>
      <c r="E232" s="107"/>
      <c r="F232" s="108"/>
      <c r="G232" s="10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</row>
    <row r="233" ht="26.25" customHeight="1">
      <c r="A233" s="104">
        <v>10.0</v>
      </c>
      <c r="B233" s="120"/>
      <c r="C233" s="110"/>
      <c r="D233" s="107"/>
      <c r="E233" s="107"/>
      <c r="F233" s="108"/>
      <c r="G233" s="10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</row>
    <row r="234" ht="26.25" customHeight="1">
      <c r="A234" s="104">
        <v>11.0</v>
      </c>
      <c r="B234" s="120"/>
      <c r="C234" s="110"/>
      <c r="D234" s="107"/>
      <c r="E234" s="107"/>
      <c r="F234" s="108"/>
      <c r="G234" s="10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</row>
    <row r="235" ht="26.25" customHeight="1">
      <c r="A235" s="104">
        <v>12.0</v>
      </c>
      <c r="B235" s="120"/>
      <c r="C235" s="110"/>
      <c r="D235" s="107"/>
      <c r="E235" s="107"/>
      <c r="F235" s="109"/>
      <c r="G235" s="111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</row>
    <row r="236" ht="26.25" customHeight="1">
      <c r="A236" s="104">
        <v>13.0</v>
      </c>
      <c r="B236" s="120"/>
      <c r="C236" s="110"/>
      <c r="D236" s="107"/>
      <c r="E236" s="107"/>
      <c r="F236" s="121"/>
      <c r="G236" s="10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</row>
    <row r="237" ht="26.25" customHeight="1">
      <c r="A237" s="104">
        <v>14.0</v>
      </c>
      <c r="B237" s="120"/>
      <c r="C237" s="110"/>
      <c r="D237" s="107"/>
      <c r="E237" s="107"/>
      <c r="F237" s="108"/>
      <c r="G237" s="10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</row>
    <row r="238" ht="26.25" customHeight="1">
      <c r="A238" s="122">
        <v>15.0</v>
      </c>
      <c r="B238" s="123"/>
      <c r="C238" s="124"/>
      <c r="D238" s="107"/>
      <c r="E238" s="125"/>
      <c r="F238" s="109"/>
      <c r="G238" s="10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</row>
    <row r="239" ht="26.25" customHeight="1">
      <c r="A239" s="112"/>
      <c r="B239" s="113"/>
      <c r="C239" s="114"/>
      <c r="D239" s="114"/>
      <c r="E239" s="99" t="s">
        <v>144</v>
      </c>
      <c r="F239" s="131"/>
      <c r="G239" s="114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</row>
    <row r="240" ht="26.25" customHeight="1">
      <c r="A240" s="115"/>
      <c r="B240" s="113"/>
      <c r="C240" s="114"/>
      <c r="D240" s="114"/>
      <c r="E240" s="99" t="s">
        <v>145</v>
      </c>
      <c r="F240" s="100"/>
      <c r="G240" s="114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</row>
    <row r="241" ht="26.25" customHeight="1">
      <c r="A241" s="115"/>
      <c r="B241" s="113"/>
      <c r="C241" s="114"/>
      <c r="D241" s="114"/>
      <c r="E241" s="99" t="s">
        <v>146</v>
      </c>
      <c r="F241" s="100"/>
      <c r="G241" s="114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</row>
    <row r="242" ht="26.25" customHeight="1">
      <c r="A242" s="115"/>
      <c r="B242" s="113"/>
      <c r="C242" s="114"/>
      <c r="D242" s="114"/>
      <c r="E242" s="99" t="s">
        <v>147</v>
      </c>
      <c r="F242" s="100"/>
      <c r="G242" s="114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</row>
    <row r="243" ht="26.25" customHeight="1">
      <c r="A243" s="115"/>
      <c r="B243" s="113"/>
      <c r="C243" s="114"/>
      <c r="D243" s="114"/>
      <c r="E243" s="99" t="s">
        <v>148</v>
      </c>
      <c r="F243" s="100"/>
      <c r="G243" s="114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</row>
    <row r="244" ht="26.25" customHeight="1">
      <c r="A244" s="118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</row>
    <row r="245" ht="26.25" customHeight="1">
      <c r="A245" s="102" t="s">
        <v>4</v>
      </c>
      <c r="B245" s="102" t="s">
        <v>5</v>
      </c>
      <c r="C245" s="102" t="s">
        <v>126</v>
      </c>
      <c r="D245" s="102" t="s">
        <v>6</v>
      </c>
      <c r="E245" s="102" t="s">
        <v>7</v>
      </c>
      <c r="F245" s="102" t="s">
        <v>127</v>
      </c>
      <c r="G245" s="103" t="s">
        <v>128</v>
      </c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</row>
    <row r="246" ht="26.25" customHeight="1">
      <c r="A246" s="104">
        <v>1.0</v>
      </c>
      <c r="B246" s="105">
        <v>46100.0</v>
      </c>
      <c r="C246" s="106" t="s">
        <v>211</v>
      </c>
      <c r="D246" s="107"/>
      <c r="E246" s="107" t="s">
        <v>2461</v>
      </c>
      <c r="F246" s="108"/>
      <c r="G246" s="10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</row>
    <row r="247" ht="26.25" customHeight="1">
      <c r="A247" s="104">
        <v>2.0</v>
      </c>
      <c r="B247" s="120"/>
      <c r="C247" s="110"/>
      <c r="D247" s="107"/>
      <c r="E247" s="107" t="s">
        <v>2462</v>
      </c>
      <c r="F247" s="111" t="s">
        <v>2463</v>
      </c>
      <c r="G247" s="10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</row>
    <row r="248" ht="26.25" customHeight="1">
      <c r="A248" s="104">
        <v>3.0</v>
      </c>
      <c r="B248" s="120"/>
      <c r="C248" s="110"/>
      <c r="D248" s="107"/>
      <c r="E248" s="107" t="s">
        <v>2464</v>
      </c>
      <c r="F248" s="111"/>
      <c r="G248" s="10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</row>
    <row r="249" ht="26.25" customHeight="1">
      <c r="A249" s="104">
        <v>4.0</v>
      </c>
      <c r="B249" s="120"/>
      <c r="C249" s="110"/>
      <c r="D249" s="107"/>
      <c r="E249" s="107" t="s">
        <v>2465</v>
      </c>
      <c r="F249" s="108">
        <v>35.0</v>
      </c>
      <c r="G249" s="111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</row>
    <row r="250" ht="26.25" customHeight="1">
      <c r="A250" s="104">
        <v>5.0</v>
      </c>
      <c r="B250" s="120"/>
      <c r="C250" s="110"/>
      <c r="D250" s="107"/>
      <c r="E250" s="107" t="s">
        <v>277</v>
      </c>
      <c r="F250" s="111" t="s">
        <v>2466</v>
      </c>
      <c r="G250" s="10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</row>
    <row r="251" ht="26.25" customHeight="1">
      <c r="A251" s="104">
        <v>6.0</v>
      </c>
      <c r="B251" s="120"/>
      <c r="C251" s="110"/>
      <c r="D251" s="107"/>
      <c r="E251" s="107" t="s">
        <v>2467</v>
      </c>
      <c r="F251" s="108"/>
      <c r="G251" s="10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</row>
    <row r="252" ht="26.25" customHeight="1">
      <c r="A252" s="104">
        <v>7.0</v>
      </c>
      <c r="B252" s="120"/>
      <c r="C252" s="110"/>
      <c r="D252" s="107"/>
      <c r="E252" s="107" t="s">
        <v>2468</v>
      </c>
      <c r="F252" s="108" t="s">
        <v>2469</v>
      </c>
      <c r="G252" s="10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</row>
    <row r="253" ht="26.25" customHeight="1">
      <c r="A253" s="104">
        <v>8.0</v>
      </c>
      <c r="B253" s="120"/>
      <c r="C253" s="106"/>
      <c r="D253" s="107"/>
      <c r="E253" s="107" t="s">
        <v>1928</v>
      </c>
      <c r="F253" s="108">
        <v>40.0</v>
      </c>
      <c r="G253" s="10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</row>
    <row r="254" ht="26.25" customHeight="1">
      <c r="A254" s="104">
        <v>9.0</v>
      </c>
      <c r="B254" s="120"/>
      <c r="C254" s="110"/>
      <c r="D254" s="107"/>
      <c r="E254" s="107" t="s">
        <v>2470</v>
      </c>
      <c r="F254" s="108"/>
      <c r="G254" s="10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</row>
    <row r="255" ht="26.25" customHeight="1">
      <c r="A255" s="104">
        <v>10.0</v>
      </c>
      <c r="B255" s="120"/>
      <c r="C255" s="110"/>
      <c r="D255" s="107"/>
      <c r="E255" s="107" t="s">
        <v>2471</v>
      </c>
      <c r="F255" s="108"/>
      <c r="G255" s="10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</row>
    <row r="256" ht="26.25" customHeight="1">
      <c r="A256" s="104">
        <v>11.0</v>
      </c>
      <c r="B256" s="120"/>
      <c r="C256" s="110"/>
      <c r="D256" s="107"/>
      <c r="E256" s="107" t="s">
        <v>2472</v>
      </c>
      <c r="F256" s="108"/>
      <c r="G256" s="10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</row>
    <row r="257" ht="26.25" customHeight="1">
      <c r="A257" s="104">
        <v>12.0</v>
      </c>
      <c r="B257" s="120"/>
      <c r="C257" s="110"/>
      <c r="D257" s="107"/>
      <c r="E257" s="107" t="s">
        <v>2473</v>
      </c>
      <c r="F257" s="109"/>
      <c r="G257" s="111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</row>
    <row r="258" ht="26.25" customHeight="1">
      <c r="A258" s="104">
        <v>13.0</v>
      </c>
      <c r="B258" s="120"/>
      <c r="C258" s="110"/>
      <c r="D258" s="107"/>
      <c r="E258" s="107"/>
      <c r="F258" s="121"/>
      <c r="G258" s="10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</row>
    <row r="259" ht="26.25" customHeight="1">
      <c r="A259" s="104">
        <v>14.0</v>
      </c>
      <c r="B259" s="120"/>
      <c r="C259" s="110"/>
      <c r="D259" s="107"/>
      <c r="E259" s="107"/>
      <c r="F259" s="108"/>
      <c r="G259" s="10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</row>
    <row r="260" ht="26.25" customHeight="1">
      <c r="A260" s="122">
        <v>15.0</v>
      </c>
      <c r="B260" s="123"/>
      <c r="C260" s="124"/>
      <c r="D260" s="107"/>
      <c r="E260" s="125"/>
      <c r="F260" s="109"/>
      <c r="G260" s="10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</row>
    <row r="261" ht="26.25" customHeight="1">
      <c r="A261" s="112"/>
      <c r="B261" s="113"/>
      <c r="C261" s="114"/>
      <c r="D261" s="114"/>
      <c r="E261" s="99" t="s">
        <v>144</v>
      </c>
      <c r="F261" s="131"/>
      <c r="G261" s="114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</row>
    <row r="262" ht="26.25" customHeight="1">
      <c r="A262" s="115"/>
      <c r="B262" s="113"/>
      <c r="C262" s="114"/>
      <c r="D262" s="114"/>
      <c r="E262" s="99" t="s">
        <v>145</v>
      </c>
      <c r="F262" s="100"/>
      <c r="G262" s="114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</row>
    <row r="263" ht="26.25" customHeight="1">
      <c r="A263" s="115"/>
      <c r="B263" s="113"/>
      <c r="C263" s="114"/>
      <c r="D263" s="114"/>
      <c r="E263" s="99" t="s">
        <v>146</v>
      </c>
      <c r="F263" s="100"/>
      <c r="G263" s="114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</row>
    <row r="264" ht="26.25" customHeight="1">
      <c r="A264" s="115"/>
      <c r="B264" s="113"/>
      <c r="C264" s="114"/>
      <c r="D264" s="114"/>
      <c r="E264" s="99" t="s">
        <v>147</v>
      </c>
      <c r="F264" s="100">
        <v>200.0</v>
      </c>
      <c r="G264" s="114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</row>
    <row r="265" ht="26.25" customHeight="1">
      <c r="A265" s="115"/>
      <c r="B265" s="113"/>
      <c r="C265" s="114"/>
      <c r="D265" s="114"/>
      <c r="E265" s="99" t="s">
        <v>148</v>
      </c>
      <c r="F265" s="100"/>
      <c r="G265" s="114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</row>
    <row r="266" ht="26.25" customHeight="1">
      <c r="A266" s="197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</row>
    <row r="267" ht="26.25" customHeight="1">
      <c r="A267" s="102" t="s">
        <v>4</v>
      </c>
      <c r="B267" s="102" t="s">
        <v>5</v>
      </c>
      <c r="C267" s="102" t="s">
        <v>126</v>
      </c>
      <c r="D267" s="102" t="s">
        <v>6</v>
      </c>
      <c r="E267" s="102" t="s">
        <v>7</v>
      </c>
      <c r="F267" s="102" t="s">
        <v>127</v>
      </c>
      <c r="G267" s="103" t="s">
        <v>128</v>
      </c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</row>
    <row r="268" ht="26.25" customHeight="1">
      <c r="A268" s="104">
        <v>1.0</v>
      </c>
      <c r="B268" s="105">
        <v>46101.0</v>
      </c>
      <c r="C268" s="106" t="s">
        <v>239</v>
      </c>
      <c r="D268" s="107"/>
      <c r="E268" s="107"/>
      <c r="F268" s="108"/>
      <c r="G268" s="10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</row>
    <row r="269" ht="26.25" customHeight="1">
      <c r="A269" s="104">
        <v>2.0</v>
      </c>
      <c r="B269" s="120"/>
      <c r="C269" s="110"/>
      <c r="D269" s="107"/>
      <c r="E269" s="107"/>
      <c r="F269" s="108"/>
      <c r="G269" s="10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</row>
    <row r="270" ht="26.25" customHeight="1">
      <c r="A270" s="104">
        <v>3.0</v>
      </c>
      <c r="B270" s="120"/>
      <c r="C270" s="110"/>
      <c r="D270" s="107"/>
      <c r="E270" s="107"/>
      <c r="F270" s="111"/>
      <c r="G270" s="10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</row>
    <row r="271" ht="26.25" customHeight="1">
      <c r="A271" s="104">
        <v>4.0</v>
      </c>
      <c r="B271" s="120"/>
      <c r="C271" s="110"/>
      <c r="D271" s="107"/>
      <c r="E271" s="107"/>
      <c r="F271" s="108"/>
      <c r="G271" s="111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</row>
    <row r="272" ht="26.25" customHeight="1">
      <c r="A272" s="104">
        <v>5.0</v>
      </c>
      <c r="B272" s="120"/>
      <c r="C272" s="110"/>
      <c r="D272" s="107"/>
      <c r="E272" s="107"/>
      <c r="F272" s="108"/>
      <c r="G272" s="10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</row>
    <row r="273" ht="26.25" customHeight="1">
      <c r="A273" s="104">
        <v>6.0</v>
      </c>
      <c r="B273" s="120"/>
      <c r="C273" s="110"/>
      <c r="D273" s="107"/>
      <c r="E273" s="107"/>
      <c r="F273" s="108"/>
      <c r="G273" s="10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</row>
    <row r="274" ht="26.25" customHeight="1">
      <c r="A274" s="104">
        <v>7.0</v>
      </c>
      <c r="B274" s="120"/>
      <c r="C274" s="110"/>
      <c r="D274" s="107"/>
      <c r="E274" s="107"/>
      <c r="F274" s="108"/>
      <c r="G274" s="10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</row>
    <row r="275" ht="26.25" customHeight="1">
      <c r="A275" s="104">
        <v>8.0</v>
      </c>
      <c r="B275" s="120"/>
      <c r="C275" s="106"/>
      <c r="D275" s="107"/>
      <c r="E275" s="107"/>
      <c r="F275" s="108"/>
      <c r="G275" s="10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</row>
    <row r="276" ht="26.25" customHeight="1">
      <c r="A276" s="104">
        <v>9.0</v>
      </c>
      <c r="B276" s="120"/>
      <c r="C276" s="110"/>
      <c r="D276" s="107"/>
      <c r="E276" s="107"/>
      <c r="F276" s="108"/>
      <c r="G276" s="10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</row>
    <row r="277" ht="26.25" customHeight="1">
      <c r="A277" s="104">
        <v>10.0</v>
      </c>
      <c r="B277" s="120"/>
      <c r="C277" s="110"/>
      <c r="D277" s="107"/>
      <c r="E277" s="107"/>
      <c r="F277" s="108"/>
      <c r="G277" s="10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</row>
    <row r="278" ht="26.25" customHeight="1">
      <c r="A278" s="104">
        <v>11.0</v>
      </c>
      <c r="B278" s="120"/>
      <c r="C278" s="110"/>
      <c r="D278" s="107"/>
      <c r="E278" s="107"/>
      <c r="F278" s="108"/>
      <c r="G278" s="10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</row>
    <row r="279" ht="26.25" customHeight="1">
      <c r="A279" s="104">
        <v>12.0</v>
      </c>
      <c r="B279" s="120"/>
      <c r="C279" s="110"/>
      <c r="D279" s="107"/>
      <c r="E279" s="107"/>
      <c r="F279" s="109"/>
      <c r="G279" s="111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</row>
    <row r="280" ht="26.25" customHeight="1">
      <c r="A280" s="104">
        <v>13.0</v>
      </c>
      <c r="B280" s="120"/>
      <c r="C280" s="110"/>
      <c r="D280" s="107"/>
      <c r="E280" s="107"/>
      <c r="F280" s="121"/>
      <c r="G280" s="10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</row>
    <row r="281" ht="26.25" customHeight="1">
      <c r="A281" s="104">
        <v>14.0</v>
      </c>
      <c r="B281" s="120"/>
      <c r="C281" s="110"/>
      <c r="D281" s="107"/>
      <c r="E281" s="107"/>
      <c r="F281" s="108"/>
      <c r="G281" s="10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</row>
    <row r="282" ht="26.25" customHeight="1">
      <c r="A282" s="122">
        <v>15.0</v>
      </c>
      <c r="B282" s="123"/>
      <c r="C282" s="124"/>
      <c r="D282" s="107"/>
      <c r="E282" s="125"/>
      <c r="F282" s="109"/>
      <c r="G282" s="10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</row>
    <row r="283" ht="26.25" customHeight="1">
      <c r="A283" s="112"/>
      <c r="B283" s="113"/>
      <c r="C283" s="114"/>
      <c r="D283" s="114"/>
      <c r="E283" s="99" t="s">
        <v>144</v>
      </c>
      <c r="F283" s="131"/>
      <c r="G283" s="114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</row>
    <row r="284" ht="26.25" customHeight="1">
      <c r="A284" s="115"/>
      <c r="B284" s="113"/>
      <c r="C284" s="114"/>
      <c r="D284" s="114"/>
      <c r="E284" s="99" t="s">
        <v>145</v>
      </c>
      <c r="F284" s="100"/>
      <c r="G284" s="114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</row>
    <row r="285" ht="26.25" customHeight="1">
      <c r="A285" s="115"/>
      <c r="B285" s="113"/>
      <c r="C285" s="114"/>
      <c r="D285" s="114"/>
      <c r="E285" s="99" t="s">
        <v>146</v>
      </c>
      <c r="F285" s="100"/>
      <c r="G285" s="114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</row>
    <row r="286" ht="26.25" customHeight="1">
      <c r="A286" s="115"/>
      <c r="B286" s="113"/>
      <c r="C286" s="114"/>
      <c r="D286" s="114"/>
      <c r="E286" s="99" t="s">
        <v>147</v>
      </c>
      <c r="F286" s="100"/>
      <c r="G286" s="114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</row>
    <row r="287" ht="26.25" customHeight="1">
      <c r="A287" s="115"/>
      <c r="B287" s="113"/>
      <c r="C287" s="114"/>
      <c r="D287" s="114"/>
      <c r="E287" s="99" t="s">
        <v>148</v>
      </c>
      <c r="F287" s="100"/>
      <c r="G287" s="114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</row>
    <row r="288" ht="26.25" customHeight="1">
      <c r="A288" s="118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</row>
    <row r="289" ht="26.25" customHeight="1">
      <c r="A289" s="102" t="s">
        <v>4</v>
      </c>
      <c r="B289" s="102" t="s">
        <v>5</v>
      </c>
      <c r="C289" s="102" t="s">
        <v>126</v>
      </c>
      <c r="D289" s="102" t="s">
        <v>6</v>
      </c>
      <c r="E289" s="102" t="s">
        <v>7</v>
      </c>
      <c r="F289" s="102" t="s">
        <v>127</v>
      </c>
      <c r="G289" s="102" t="s">
        <v>128</v>
      </c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</row>
    <row r="290" ht="26.25" customHeight="1">
      <c r="A290" s="102">
        <v>1.0</v>
      </c>
      <c r="B290" s="147">
        <v>46105.0</v>
      </c>
      <c r="C290" s="148" t="s">
        <v>169</v>
      </c>
      <c r="D290" s="107"/>
      <c r="E290" s="107"/>
      <c r="F290" s="108"/>
      <c r="G290" s="108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</row>
    <row r="291" ht="26.25" customHeight="1">
      <c r="A291" s="102">
        <v>2.0</v>
      </c>
      <c r="B291" s="123"/>
      <c r="C291" s="123"/>
      <c r="D291" s="107"/>
      <c r="E291" s="107"/>
      <c r="F291" s="108"/>
      <c r="G291" s="108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</row>
    <row r="292" ht="26.25" customHeight="1">
      <c r="A292" s="102">
        <v>3.0</v>
      </c>
      <c r="B292" s="123"/>
      <c r="C292" s="123"/>
      <c r="D292" s="107"/>
      <c r="E292" s="107"/>
      <c r="F292" s="108"/>
      <c r="G292" s="108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</row>
    <row r="293" ht="26.25" customHeight="1">
      <c r="A293" s="102">
        <v>4.0</v>
      </c>
      <c r="B293" s="123"/>
      <c r="C293" s="123"/>
      <c r="D293" s="107"/>
      <c r="E293" s="107"/>
      <c r="F293" s="108"/>
      <c r="G293" s="108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</row>
    <row r="294" ht="26.25" customHeight="1">
      <c r="A294" s="102">
        <v>5.0</v>
      </c>
      <c r="B294" s="123"/>
      <c r="C294" s="123"/>
      <c r="D294" s="107"/>
      <c r="E294" s="107"/>
      <c r="F294" s="108"/>
      <c r="G294" s="108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</row>
    <row r="295" ht="26.25" customHeight="1">
      <c r="A295" s="102">
        <v>6.0</v>
      </c>
      <c r="B295" s="123"/>
      <c r="C295" s="123"/>
      <c r="D295" s="107"/>
      <c r="E295" s="107"/>
      <c r="F295" s="108"/>
      <c r="G295" s="108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</row>
    <row r="296" ht="26.25" customHeight="1">
      <c r="A296" s="102">
        <v>7.0</v>
      </c>
      <c r="B296" s="123"/>
      <c r="C296" s="123"/>
      <c r="D296" s="107"/>
      <c r="E296" s="107"/>
      <c r="F296" s="108"/>
      <c r="G296" s="108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</row>
    <row r="297" ht="26.25" customHeight="1">
      <c r="A297" s="102">
        <v>8.0</v>
      </c>
      <c r="B297" s="123"/>
      <c r="C297" s="123"/>
      <c r="D297" s="107"/>
      <c r="E297" s="107"/>
      <c r="F297" s="108"/>
      <c r="G297" s="108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</row>
    <row r="298" ht="26.25" customHeight="1">
      <c r="A298" s="102">
        <v>9.0</v>
      </c>
      <c r="B298" s="123"/>
      <c r="C298" s="123"/>
      <c r="D298" s="107"/>
      <c r="E298" s="107"/>
      <c r="F298" s="108"/>
      <c r="G298" s="108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</row>
    <row r="299" ht="26.25" customHeight="1">
      <c r="A299" s="102">
        <v>10.0</v>
      </c>
      <c r="B299" s="123"/>
      <c r="C299" s="123"/>
      <c r="D299" s="107"/>
      <c r="E299" s="107"/>
      <c r="F299" s="108"/>
      <c r="G299" s="108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</row>
    <row r="300" ht="26.25" customHeight="1">
      <c r="A300" s="102">
        <v>11.0</v>
      </c>
      <c r="B300" s="123"/>
      <c r="C300" s="123"/>
      <c r="D300" s="107"/>
      <c r="E300" s="107"/>
      <c r="F300" s="108"/>
      <c r="G300" s="108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</row>
    <row r="301" ht="26.25" customHeight="1">
      <c r="A301" s="102">
        <v>12.0</v>
      </c>
      <c r="B301" s="123"/>
      <c r="C301" s="123"/>
      <c r="D301" s="107"/>
      <c r="E301" s="107"/>
      <c r="F301" s="108"/>
      <c r="G301" s="108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</row>
    <row r="302" ht="26.25" customHeight="1">
      <c r="A302" s="102">
        <v>13.0</v>
      </c>
      <c r="B302" s="123"/>
      <c r="C302" s="123"/>
      <c r="D302" s="107"/>
      <c r="E302" s="107"/>
      <c r="F302" s="108"/>
      <c r="G302" s="108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</row>
    <row r="303" ht="26.25" customHeight="1">
      <c r="A303" s="102">
        <v>14.0</v>
      </c>
      <c r="B303" s="123"/>
      <c r="C303" s="123"/>
      <c r="D303" s="107"/>
      <c r="E303" s="107"/>
      <c r="F303" s="108"/>
      <c r="G303" s="108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</row>
    <row r="304" ht="26.25" customHeight="1">
      <c r="A304" s="102">
        <v>15.0</v>
      </c>
      <c r="B304" s="123"/>
      <c r="C304" s="123"/>
      <c r="D304" s="107"/>
      <c r="E304" s="107"/>
      <c r="F304" s="108"/>
      <c r="G304" s="108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</row>
    <row r="305" ht="26.25" customHeight="1">
      <c r="A305" s="58"/>
      <c r="B305" s="149"/>
      <c r="C305" s="58"/>
      <c r="D305" s="58"/>
      <c r="E305" s="102" t="s">
        <v>144</v>
      </c>
      <c r="F305" s="102"/>
      <c r="G305" s="58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</row>
    <row r="306" ht="26.25" customHeight="1">
      <c r="A306" s="58"/>
      <c r="B306" s="149"/>
      <c r="C306" s="58"/>
      <c r="D306" s="58"/>
      <c r="E306" s="102" t="s">
        <v>145</v>
      </c>
      <c r="F306" s="102"/>
      <c r="G306" s="58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</row>
    <row r="307" ht="26.25" customHeight="1">
      <c r="A307" s="58"/>
      <c r="B307" s="149"/>
      <c r="C307" s="58"/>
      <c r="D307" s="58"/>
      <c r="E307" s="102" t="s">
        <v>146</v>
      </c>
      <c r="F307" s="102"/>
      <c r="G307" s="58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</row>
    <row r="308" ht="26.25" customHeight="1">
      <c r="A308" s="58"/>
      <c r="B308" s="149"/>
      <c r="C308" s="58"/>
      <c r="D308" s="58"/>
      <c r="E308" s="102" t="s">
        <v>147</v>
      </c>
      <c r="F308" s="102"/>
      <c r="G308" s="58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</row>
    <row r="309" ht="26.25" customHeight="1">
      <c r="A309" s="58"/>
      <c r="B309" s="149"/>
      <c r="C309" s="58"/>
      <c r="D309" s="58"/>
      <c r="E309" s="102" t="s">
        <v>148</v>
      </c>
      <c r="F309" s="102"/>
      <c r="G309" s="58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</row>
    <row r="310" ht="26.25" customHeight="1">
      <c r="A310" s="115"/>
      <c r="B310" s="113"/>
      <c r="C310" s="114"/>
      <c r="D310" s="114"/>
      <c r="E310" s="146"/>
      <c r="F310" s="146"/>
      <c r="G310" s="114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</row>
    <row r="311" ht="26.25" customHeight="1">
      <c r="A311" s="102" t="s">
        <v>4</v>
      </c>
      <c r="B311" s="102" t="s">
        <v>5</v>
      </c>
      <c r="C311" s="102" t="s">
        <v>126</v>
      </c>
      <c r="D311" s="102" t="s">
        <v>6</v>
      </c>
      <c r="E311" s="102" t="s">
        <v>7</v>
      </c>
      <c r="F311" s="102" t="s">
        <v>127</v>
      </c>
      <c r="G311" s="102" t="s">
        <v>128</v>
      </c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</row>
    <row r="312" ht="26.25" customHeight="1">
      <c r="A312" s="102">
        <v>1.0</v>
      </c>
      <c r="B312" s="147">
        <v>46106.0</v>
      </c>
      <c r="C312" s="148" t="s">
        <v>299</v>
      </c>
      <c r="D312" s="107"/>
      <c r="E312" s="107"/>
      <c r="F312" s="108"/>
      <c r="G312" s="108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</row>
    <row r="313" ht="26.25" customHeight="1">
      <c r="A313" s="102">
        <v>2.0</v>
      </c>
      <c r="B313" s="123"/>
      <c r="C313" s="123"/>
      <c r="D313" s="107"/>
      <c r="E313" s="107"/>
      <c r="F313" s="108"/>
      <c r="G313" s="108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</row>
    <row r="314" ht="26.25" customHeight="1">
      <c r="A314" s="102">
        <v>3.0</v>
      </c>
      <c r="B314" s="123"/>
      <c r="C314" s="123"/>
      <c r="D314" s="107"/>
      <c r="E314" s="107"/>
      <c r="F314" s="108"/>
      <c r="G314" s="108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</row>
    <row r="315" ht="26.25" customHeight="1">
      <c r="A315" s="102">
        <v>4.0</v>
      </c>
      <c r="B315" s="123"/>
      <c r="C315" s="123"/>
      <c r="D315" s="107"/>
      <c r="E315" s="107"/>
      <c r="F315" s="108"/>
      <c r="G315" s="108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</row>
    <row r="316" ht="26.25" customHeight="1">
      <c r="A316" s="102">
        <v>5.0</v>
      </c>
      <c r="B316" s="123"/>
      <c r="C316" s="123"/>
      <c r="D316" s="107"/>
      <c r="E316" s="107"/>
      <c r="F316" s="108"/>
      <c r="G316" s="108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</row>
    <row r="317" ht="26.25" customHeight="1">
      <c r="A317" s="102">
        <v>6.0</v>
      </c>
      <c r="B317" s="123"/>
      <c r="C317" s="123"/>
      <c r="D317" s="107"/>
      <c r="E317" s="107"/>
      <c r="F317" s="108"/>
      <c r="G317" s="108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</row>
    <row r="318" ht="26.25" customHeight="1">
      <c r="A318" s="102">
        <v>7.0</v>
      </c>
      <c r="B318" s="123"/>
      <c r="C318" s="123"/>
      <c r="D318" s="107"/>
      <c r="E318" s="107"/>
      <c r="F318" s="108"/>
      <c r="G318" s="108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</row>
    <row r="319" ht="26.25" customHeight="1">
      <c r="A319" s="102">
        <v>8.0</v>
      </c>
      <c r="B319" s="123"/>
      <c r="C319" s="123"/>
      <c r="D319" s="107"/>
      <c r="E319" s="107"/>
      <c r="F319" s="108"/>
      <c r="G319" s="108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</row>
    <row r="320" ht="26.25" customHeight="1">
      <c r="A320" s="102">
        <v>9.0</v>
      </c>
      <c r="B320" s="123"/>
      <c r="C320" s="123"/>
      <c r="D320" s="107"/>
      <c r="E320" s="107"/>
      <c r="F320" s="108"/>
      <c r="G320" s="108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</row>
    <row r="321" ht="26.25" customHeight="1">
      <c r="A321" s="102">
        <v>10.0</v>
      </c>
      <c r="B321" s="123"/>
      <c r="C321" s="123"/>
      <c r="D321" s="107"/>
      <c r="E321" s="107"/>
      <c r="F321" s="108"/>
      <c r="G321" s="108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</row>
    <row r="322" ht="26.25" customHeight="1">
      <c r="A322" s="102">
        <v>11.0</v>
      </c>
      <c r="B322" s="123"/>
      <c r="C322" s="123"/>
      <c r="D322" s="107"/>
      <c r="E322" s="107"/>
      <c r="F322" s="108"/>
      <c r="G322" s="108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</row>
    <row r="323" ht="26.25" customHeight="1">
      <c r="A323" s="102">
        <v>12.0</v>
      </c>
      <c r="B323" s="123"/>
      <c r="C323" s="123"/>
      <c r="D323" s="107"/>
      <c r="E323" s="107"/>
      <c r="F323" s="108"/>
      <c r="G323" s="108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</row>
    <row r="324" ht="26.25" customHeight="1">
      <c r="A324" s="102">
        <v>13.0</v>
      </c>
      <c r="B324" s="123"/>
      <c r="C324" s="123"/>
      <c r="D324" s="107"/>
      <c r="E324" s="107"/>
      <c r="F324" s="108"/>
      <c r="G324" s="108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</row>
    <row r="325" ht="26.25" customHeight="1">
      <c r="A325" s="102">
        <v>14.0</v>
      </c>
      <c r="B325" s="123"/>
      <c r="C325" s="123"/>
      <c r="D325" s="107"/>
      <c r="E325" s="107"/>
      <c r="F325" s="108"/>
      <c r="G325" s="108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</row>
    <row r="326" ht="26.25" customHeight="1">
      <c r="A326" s="102">
        <v>15.0</v>
      </c>
      <c r="B326" s="123"/>
      <c r="C326" s="123"/>
      <c r="D326" s="107"/>
      <c r="E326" s="107"/>
      <c r="F326" s="108"/>
      <c r="G326" s="108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</row>
    <row r="327" ht="26.25" customHeight="1">
      <c r="A327" s="58"/>
      <c r="B327" s="149"/>
      <c r="C327" s="58"/>
      <c r="D327" s="58"/>
      <c r="E327" s="102" t="s">
        <v>144</v>
      </c>
      <c r="F327" s="102"/>
      <c r="G327" s="58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</row>
    <row r="328" ht="26.25" customHeight="1">
      <c r="A328" s="58"/>
      <c r="B328" s="149"/>
      <c r="C328" s="58"/>
      <c r="D328" s="58"/>
      <c r="E328" s="102" t="s">
        <v>145</v>
      </c>
      <c r="F328" s="102"/>
      <c r="G328" s="58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</row>
    <row r="329" ht="26.25" customHeight="1">
      <c r="A329" s="58"/>
      <c r="B329" s="149"/>
      <c r="C329" s="58"/>
      <c r="D329" s="58"/>
      <c r="E329" s="102" t="s">
        <v>146</v>
      </c>
      <c r="F329" s="102"/>
      <c r="G329" s="58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</row>
    <row r="330" ht="26.25" customHeight="1">
      <c r="A330" s="58"/>
      <c r="B330" s="149"/>
      <c r="C330" s="58"/>
      <c r="D330" s="58"/>
      <c r="E330" s="102" t="s">
        <v>147</v>
      </c>
      <c r="F330" s="102"/>
      <c r="G330" s="58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</row>
    <row r="331" ht="26.25" customHeight="1">
      <c r="A331" s="58"/>
      <c r="B331" s="149"/>
      <c r="C331" s="58"/>
      <c r="D331" s="58"/>
      <c r="E331" s="102" t="s">
        <v>148</v>
      </c>
      <c r="F331" s="102"/>
      <c r="G331" s="58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</row>
    <row r="332" ht="26.25" customHeight="1">
      <c r="A332" s="118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</row>
    <row r="333" ht="26.25" customHeight="1">
      <c r="A333" s="118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</row>
    <row r="334" ht="26.25" customHeight="1">
      <c r="A334" s="118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</row>
    <row r="335" ht="26.25" customHeight="1">
      <c r="A335" s="118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</row>
    <row r="336" ht="26.25" customHeight="1">
      <c r="A336" s="118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</row>
    <row r="337" ht="26.25" customHeight="1">
      <c r="A337" s="118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</row>
    <row r="338" ht="26.25" customHeight="1">
      <c r="A338" s="118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</row>
    <row r="339" ht="26.25" customHeight="1">
      <c r="A339" s="118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</row>
    <row r="340" ht="26.25" customHeight="1">
      <c r="A340" s="118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</row>
    <row r="341" ht="26.25" customHeight="1">
      <c r="A341" s="118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</row>
    <row r="342" ht="26.25" customHeight="1">
      <c r="A342" s="118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</row>
    <row r="343" ht="26.25" customHeight="1">
      <c r="A343" s="118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</row>
    <row r="344" ht="26.25" customHeight="1">
      <c r="A344" s="118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</row>
    <row r="345" ht="26.25" customHeight="1">
      <c r="A345" s="118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</row>
    <row r="346" ht="26.25" customHeight="1">
      <c r="A346" s="118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</row>
    <row r="347" ht="26.25" customHeight="1">
      <c r="A347" s="118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</row>
    <row r="348" ht="26.25" customHeight="1">
      <c r="A348" s="118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</row>
    <row r="349" ht="26.25" customHeight="1">
      <c r="A349" s="118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</row>
    <row r="350" ht="26.25" customHeight="1">
      <c r="A350" s="118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</row>
    <row r="351" ht="26.25" customHeight="1">
      <c r="A351" s="118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</row>
    <row r="352" ht="26.25" customHeight="1">
      <c r="A352" s="118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</row>
    <row r="353" ht="26.25" customHeight="1">
      <c r="A353" s="118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</row>
    <row r="354" ht="26.25" customHeight="1">
      <c r="A354" s="118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</row>
    <row r="355" ht="26.25" customHeight="1">
      <c r="A355" s="118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</row>
    <row r="356" ht="26.25" customHeight="1">
      <c r="A356" s="118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</row>
    <row r="357" ht="26.25" customHeight="1">
      <c r="A357" s="118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</row>
    <row r="358" ht="26.25" customHeight="1">
      <c r="A358" s="118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</row>
  </sheetData>
  <mergeCells count="2">
    <mergeCell ref="A1:G1"/>
    <mergeCell ref="F8:G8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26" width="8.71"/>
  </cols>
  <sheetData>
    <row r="1" ht="13.5" customHeight="1">
      <c r="A1" s="488" t="s">
        <v>4</v>
      </c>
      <c r="B1" s="549" t="s">
        <v>5</v>
      </c>
      <c r="C1" s="549" t="s">
        <v>6</v>
      </c>
      <c r="D1" s="550" t="s">
        <v>7</v>
      </c>
      <c r="E1" s="550" t="s">
        <v>8</v>
      </c>
      <c r="F1" s="550" t="s">
        <v>9</v>
      </c>
      <c r="G1" s="551" t="s">
        <v>10</v>
      </c>
      <c r="H1" s="551" t="s">
        <v>11</v>
      </c>
      <c r="I1" s="551" t="s">
        <v>12</v>
      </c>
      <c r="J1" s="552" t="s">
        <v>13</v>
      </c>
      <c r="K1" s="552" t="s">
        <v>14</v>
      </c>
      <c r="L1" s="552" t="s">
        <v>15</v>
      </c>
      <c r="M1" s="552" t="s">
        <v>16</v>
      </c>
      <c r="N1" s="553" t="s">
        <v>17</v>
      </c>
      <c r="O1" s="553" t="s">
        <v>18</v>
      </c>
      <c r="P1" s="553" t="s">
        <v>19</v>
      </c>
      <c r="Q1" s="554" t="s">
        <v>20</v>
      </c>
      <c r="R1" s="555" t="s">
        <v>21</v>
      </c>
      <c r="S1" s="556" t="s">
        <v>2474</v>
      </c>
      <c r="T1" s="5"/>
      <c r="U1" s="5"/>
      <c r="V1" s="5"/>
      <c r="W1" s="5"/>
      <c r="X1" s="5"/>
      <c r="Y1" s="5"/>
      <c r="Z1" s="5"/>
    </row>
    <row r="2" ht="13.5" customHeight="1">
      <c r="B2" s="557">
        <v>46060.0</v>
      </c>
    </row>
    <row r="3" ht="13.5" customHeight="1">
      <c r="C3" s="558" t="s">
        <v>2475</v>
      </c>
      <c r="D3" s="558" t="s">
        <v>2476</v>
      </c>
      <c r="E3" s="559">
        <v>1.090771073E9</v>
      </c>
      <c r="F3" s="558" t="s">
        <v>2477</v>
      </c>
      <c r="I3" s="558" t="s">
        <v>2478</v>
      </c>
    </row>
    <row r="4" ht="13.5" customHeight="1">
      <c r="C4" s="558" t="s">
        <v>2479</v>
      </c>
      <c r="D4" s="558" t="s">
        <v>2480</v>
      </c>
      <c r="E4" s="559">
        <v>1.000703776E9</v>
      </c>
      <c r="F4" s="558" t="s">
        <v>2481</v>
      </c>
      <c r="I4" s="559" t="s">
        <v>2482</v>
      </c>
    </row>
    <row r="5" ht="13.5" customHeight="1">
      <c r="C5" s="558" t="s">
        <v>1146</v>
      </c>
      <c r="D5" s="558" t="s">
        <v>2483</v>
      </c>
      <c r="F5" s="558" t="s">
        <v>2484</v>
      </c>
      <c r="I5" s="559" t="s">
        <v>2485</v>
      </c>
      <c r="S5" s="558" t="s">
        <v>2486</v>
      </c>
    </row>
    <row r="6" ht="13.5" customHeight="1">
      <c r="C6" s="558" t="s">
        <v>1146</v>
      </c>
      <c r="D6" s="558" t="s">
        <v>2487</v>
      </c>
      <c r="F6" s="558" t="s">
        <v>1210</v>
      </c>
      <c r="I6" s="559" t="s">
        <v>266</v>
      </c>
      <c r="S6" s="558" t="s">
        <v>2488</v>
      </c>
    </row>
    <row r="7" ht="13.5" customHeight="1">
      <c r="C7" s="558" t="s">
        <v>1146</v>
      </c>
      <c r="D7" s="558" t="s">
        <v>2489</v>
      </c>
      <c r="F7" s="558" t="s">
        <v>2490</v>
      </c>
      <c r="I7" s="558" t="s">
        <v>2491</v>
      </c>
      <c r="S7" s="558" t="s">
        <v>2492</v>
      </c>
    </row>
    <row r="8" ht="13.5" customHeight="1">
      <c r="B8" s="558" t="s">
        <v>2493</v>
      </c>
      <c r="C8" s="558" t="s">
        <v>1146</v>
      </c>
      <c r="D8" s="558" t="s">
        <v>2494</v>
      </c>
      <c r="F8" s="558" t="s">
        <v>2495</v>
      </c>
      <c r="I8" s="559" t="s">
        <v>2496</v>
      </c>
      <c r="S8" s="558" t="s">
        <v>2497</v>
      </c>
    </row>
    <row r="9" ht="13.5" customHeight="1">
      <c r="C9" s="558" t="s">
        <v>81</v>
      </c>
      <c r="D9" s="558" t="s">
        <v>2498</v>
      </c>
      <c r="F9" s="558" t="s">
        <v>2499</v>
      </c>
      <c r="I9" s="559" t="s">
        <v>2500</v>
      </c>
      <c r="S9" s="558" t="s">
        <v>2488</v>
      </c>
    </row>
    <row r="10" ht="13.5" customHeight="1">
      <c r="C10" s="558" t="s">
        <v>81</v>
      </c>
      <c r="D10" s="558" t="s">
        <v>2501</v>
      </c>
      <c r="F10" s="558" t="s">
        <v>2502</v>
      </c>
      <c r="I10" s="559" t="s">
        <v>749</v>
      </c>
      <c r="S10" s="558" t="s">
        <v>2492</v>
      </c>
    </row>
    <row r="11" ht="13.5" customHeight="1">
      <c r="C11" s="558" t="s">
        <v>81</v>
      </c>
      <c r="D11" s="558" t="s">
        <v>2503</v>
      </c>
      <c r="F11" s="558" t="s">
        <v>565</v>
      </c>
      <c r="I11" s="558" t="s">
        <v>2491</v>
      </c>
      <c r="S11" s="558" t="s">
        <v>2492</v>
      </c>
    </row>
    <row r="12" ht="13.5" customHeight="1">
      <c r="C12" s="558" t="s">
        <v>81</v>
      </c>
      <c r="D12" s="558" t="s">
        <v>2504</v>
      </c>
      <c r="F12" s="558" t="s">
        <v>1210</v>
      </c>
      <c r="I12" s="559" t="s">
        <v>2482</v>
      </c>
      <c r="S12" s="558" t="s">
        <v>2492</v>
      </c>
    </row>
    <row r="13" ht="13.5" customHeight="1">
      <c r="C13" s="558" t="s">
        <v>81</v>
      </c>
      <c r="D13" s="558" t="s">
        <v>2505</v>
      </c>
      <c r="F13" s="558" t="s">
        <v>1210</v>
      </c>
      <c r="I13" s="559" t="s">
        <v>201</v>
      </c>
      <c r="K13" s="558" t="s">
        <v>2506</v>
      </c>
      <c r="S13" s="558" t="s">
        <v>2492</v>
      </c>
    </row>
    <row r="14" ht="13.5" customHeight="1">
      <c r="C14" s="558" t="s">
        <v>81</v>
      </c>
      <c r="D14" s="558" t="s">
        <v>2507</v>
      </c>
      <c r="F14" s="558" t="s">
        <v>2348</v>
      </c>
      <c r="I14" s="559" t="s">
        <v>1927</v>
      </c>
      <c r="S14" s="558" t="s">
        <v>2488</v>
      </c>
    </row>
    <row r="15" ht="13.5" customHeight="1">
      <c r="C15" s="558" t="s">
        <v>81</v>
      </c>
      <c r="D15" s="558" t="s">
        <v>2508</v>
      </c>
      <c r="F15" s="558" t="s">
        <v>1246</v>
      </c>
      <c r="I15" s="559" t="s">
        <v>1343</v>
      </c>
      <c r="L15" s="558" t="s">
        <v>2509</v>
      </c>
      <c r="S15" s="558" t="s">
        <v>2492</v>
      </c>
    </row>
    <row r="16" ht="13.5" customHeight="1">
      <c r="C16" s="558" t="s">
        <v>26</v>
      </c>
      <c r="D16" s="558" t="s">
        <v>2510</v>
      </c>
      <c r="F16" s="558" t="s">
        <v>91</v>
      </c>
      <c r="I16" s="559" t="s">
        <v>2511</v>
      </c>
      <c r="S16" s="558" t="s">
        <v>2486</v>
      </c>
    </row>
    <row r="17" ht="13.5" customHeight="1">
      <c r="C17" s="558" t="s">
        <v>26</v>
      </c>
      <c r="D17" s="558" t="s">
        <v>2512</v>
      </c>
      <c r="F17" s="558" t="s">
        <v>1951</v>
      </c>
      <c r="I17" s="559" t="s">
        <v>2513</v>
      </c>
      <c r="S17" s="558" t="s">
        <v>2488</v>
      </c>
    </row>
    <row r="18" ht="13.5" customHeight="1">
      <c r="C18" s="558" t="s">
        <v>26</v>
      </c>
      <c r="D18" s="558" t="s">
        <v>2514</v>
      </c>
      <c r="F18" s="558" t="s">
        <v>2503</v>
      </c>
      <c r="I18" s="559" t="s">
        <v>2515</v>
      </c>
      <c r="S18" s="558" t="s">
        <v>2492</v>
      </c>
    </row>
    <row r="19" ht="13.5" customHeight="1">
      <c r="F19" s="559" t="s">
        <v>61</v>
      </c>
    </row>
    <row r="20" ht="13.5" customHeight="1">
      <c r="C20" s="558" t="s">
        <v>26</v>
      </c>
      <c r="D20" s="558" t="s">
        <v>2516</v>
      </c>
      <c r="F20" s="558" t="s">
        <v>2517</v>
      </c>
      <c r="I20" s="559" t="s">
        <v>672</v>
      </c>
      <c r="N20" s="558" t="s">
        <v>2518</v>
      </c>
      <c r="S20" s="558" t="s">
        <v>2492</v>
      </c>
    </row>
    <row r="21" ht="13.5" customHeight="1">
      <c r="C21" s="558" t="s">
        <v>26</v>
      </c>
      <c r="D21" s="558" t="s">
        <v>2519</v>
      </c>
      <c r="F21" s="558" t="s">
        <v>509</v>
      </c>
      <c r="I21" s="559" t="s">
        <v>159</v>
      </c>
      <c r="S21" s="558" t="s">
        <v>2492</v>
      </c>
    </row>
    <row r="22" ht="13.5" customHeight="1">
      <c r="C22" s="558" t="s">
        <v>2503</v>
      </c>
      <c r="D22" s="558" t="s">
        <v>2520</v>
      </c>
      <c r="F22" s="558" t="s">
        <v>2348</v>
      </c>
      <c r="G22" s="558" t="s">
        <v>2521</v>
      </c>
    </row>
    <row r="23" ht="13.5" customHeight="1"/>
    <row r="24" ht="13.5" customHeight="1">
      <c r="A24" s="560" t="s">
        <v>2522</v>
      </c>
    </row>
    <row r="25" ht="27.0" customHeight="1">
      <c r="A25" s="561" t="s">
        <v>4</v>
      </c>
      <c r="B25" s="12" t="s">
        <v>5</v>
      </c>
      <c r="C25" s="12" t="s">
        <v>6</v>
      </c>
      <c r="D25" s="13" t="s">
        <v>7</v>
      </c>
      <c r="E25" s="13" t="s">
        <v>8</v>
      </c>
      <c r="F25" s="13" t="s">
        <v>9</v>
      </c>
      <c r="G25" s="14" t="s">
        <v>10</v>
      </c>
      <c r="H25" s="14" t="s">
        <v>11</v>
      </c>
      <c r="I25" s="14" t="s">
        <v>12</v>
      </c>
      <c r="J25" s="15" t="s">
        <v>13</v>
      </c>
      <c r="K25" s="15" t="s">
        <v>14</v>
      </c>
      <c r="L25" s="15" t="s">
        <v>15</v>
      </c>
      <c r="M25" s="15" t="s">
        <v>16</v>
      </c>
      <c r="N25" s="16" t="s">
        <v>17</v>
      </c>
      <c r="O25" s="16" t="s">
        <v>18</v>
      </c>
      <c r="P25" s="16" t="s">
        <v>19</v>
      </c>
      <c r="Q25" s="17" t="s">
        <v>20</v>
      </c>
      <c r="R25" s="17" t="s">
        <v>21</v>
      </c>
      <c r="S25" s="562" t="s">
        <v>2523</v>
      </c>
      <c r="T25" s="562" t="s">
        <v>2524</v>
      </c>
      <c r="U25" s="22"/>
      <c r="V25" s="22"/>
      <c r="W25" s="22"/>
      <c r="X25" s="22"/>
      <c r="Y25" s="22"/>
      <c r="Z25" s="22"/>
    </row>
    <row r="26" ht="13.5" customHeight="1">
      <c r="A26" s="563">
        <v>1.0</v>
      </c>
      <c r="B26" s="564">
        <v>46054.0</v>
      </c>
      <c r="C26" s="53"/>
      <c r="D26" s="26" t="s">
        <v>105</v>
      </c>
      <c r="E26" s="27"/>
      <c r="F26" s="27"/>
      <c r="G26" s="29"/>
      <c r="H26" s="29"/>
      <c r="I26" s="29"/>
      <c r="J26" s="30"/>
      <c r="K26" s="30"/>
      <c r="L26" s="31"/>
      <c r="M26" s="30"/>
      <c r="N26" s="32">
        <v>500.0</v>
      </c>
      <c r="O26" s="33" t="s">
        <v>30</v>
      </c>
      <c r="P26" s="34">
        <v>35.0</v>
      </c>
      <c r="Q26" s="35"/>
      <c r="R26" s="35"/>
      <c r="S26" s="25" t="s">
        <v>74</v>
      </c>
      <c r="T26" s="565" t="s">
        <v>73</v>
      </c>
      <c r="U26" s="5"/>
      <c r="V26" s="5"/>
      <c r="W26" s="5"/>
      <c r="X26" s="5"/>
      <c r="Y26" s="5"/>
      <c r="Z26" s="5"/>
    </row>
    <row r="27" ht="13.5" customHeight="1">
      <c r="A27" s="563">
        <v>2.0</v>
      </c>
      <c r="B27" s="564">
        <v>46054.0</v>
      </c>
      <c r="C27" s="53"/>
      <c r="D27" s="26" t="s">
        <v>106</v>
      </c>
      <c r="E27" s="27"/>
      <c r="F27" s="26" t="s">
        <v>107</v>
      </c>
      <c r="G27" s="29"/>
      <c r="H27" s="29"/>
      <c r="I27" s="28" t="s">
        <v>108</v>
      </c>
      <c r="J27" s="30"/>
      <c r="K27" s="30"/>
      <c r="L27" s="31"/>
      <c r="M27" s="30"/>
      <c r="N27" s="32"/>
      <c r="O27" s="32"/>
      <c r="P27" s="34">
        <v>40.0</v>
      </c>
      <c r="Q27" s="35"/>
      <c r="R27" s="35"/>
      <c r="S27" s="25" t="s">
        <v>76</v>
      </c>
      <c r="T27" s="566"/>
      <c r="U27" s="5"/>
      <c r="V27" s="5"/>
      <c r="W27" s="5"/>
      <c r="X27" s="5"/>
      <c r="Y27" s="5"/>
      <c r="Z27" s="5"/>
    </row>
    <row r="28" ht="13.5" customHeight="1">
      <c r="A28" s="563">
        <v>3.0</v>
      </c>
      <c r="B28" s="564">
        <v>46054.0</v>
      </c>
      <c r="C28" s="53"/>
      <c r="D28" s="27"/>
      <c r="E28" s="27"/>
      <c r="F28" s="27"/>
      <c r="G28" s="29"/>
      <c r="H28" s="28" t="s">
        <v>109</v>
      </c>
      <c r="I28" s="28" t="s">
        <v>110</v>
      </c>
      <c r="J28" s="30"/>
      <c r="K28" s="30"/>
      <c r="L28" s="31"/>
      <c r="M28" s="30"/>
      <c r="N28" s="32"/>
      <c r="O28" s="32"/>
      <c r="P28" s="34"/>
      <c r="Q28" s="35"/>
      <c r="R28" s="35"/>
      <c r="S28" s="53"/>
      <c r="T28" s="566"/>
      <c r="U28" s="5"/>
      <c r="V28" s="5"/>
      <c r="W28" s="5"/>
      <c r="X28" s="5"/>
      <c r="Y28" s="5"/>
      <c r="Z28" s="5"/>
    </row>
    <row r="29" ht="13.5" customHeight="1">
      <c r="A29" s="563">
        <v>4.0</v>
      </c>
      <c r="B29" s="564">
        <v>46054.0</v>
      </c>
      <c r="C29" s="53"/>
      <c r="D29" s="27"/>
      <c r="E29" s="27"/>
      <c r="F29" s="27"/>
      <c r="G29" s="29"/>
      <c r="H29" s="29"/>
      <c r="I29" s="28" t="s">
        <v>111</v>
      </c>
      <c r="J29" s="30"/>
      <c r="K29" s="30"/>
      <c r="L29" s="31"/>
      <c r="M29" s="30"/>
      <c r="N29" s="32"/>
      <c r="O29" s="32"/>
      <c r="P29" s="34"/>
      <c r="Q29" s="35"/>
      <c r="R29" s="35"/>
      <c r="S29" s="53"/>
      <c r="T29" s="566"/>
      <c r="U29" s="5"/>
      <c r="V29" s="5"/>
      <c r="W29" s="5"/>
      <c r="X29" s="5"/>
      <c r="Y29" s="5"/>
      <c r="Z29" s="5"/>
    </row>
    <row r="30" ht="13.5" customHeight="1">
      <c r="A30" s="563">
        <v>5.0</v>
      </c>
      <c r="B30" s="24"/>
      <c r="C30" s="53"/>
      <c r="D30" s="27"/>
      <c r="E30" s="27"/>
      <c r="F30" s="27"/>
      <c r="G30" s="29"/>
      <c r="H30" s="29"/>
      <c r="I30" s="29"/>
      <c r="J30" s="30"/>
      <c r="K30" s="30"/>
      <c r="L30" s="31"/>
      <c r="M30" s="30"/>
      <c r="N30" s="32"/>
      <c r="O30" s="32"/>
      <c r="P30" s="34"/>
      <c r="Q30" s="35"/>
      <c r="R30" s="35"/>
      <c r="S30" s="53"/>
      <c r="T30" s="566"/>
      <c r="U30" s="5"/>
      <c r="V30" s="5"/>
      <c r="W30" s="5"/>
      <c r="X30" s="5"/>
      <c r="Y30" s="5"/>
      <c r="Z30" s="5"/>
    </row>
    <row r="31" ht="13.5" customHeight="1">
      <c r="A31" s="563">
        <v>6.0</v>
      </c>
      <c r="B31" s="24"/>
      <c r="C31" s="53"/>
      <c r="D31" s="27"/>
      <c r="E31" s="27"/>
      <c r="F31" s="27"/>
      <c r="G31" s="29"/>
      <c r="H31" s="29"/>
      <c r="I31" s="29"/>
      <c r="J31" s="30"/>
      <c r="K31" s="30"/>
      <c r="L31" s="31"/>
      <c r="M31" s="30"/>
      <c r="N31" s="32"/>
      <c r="O31" s="32"/>
      <c r="P31" s="34"/>
      <c r="Q31" s="35"/>
      <c r="R31" s="35"/>
      <c r="S31" s="53"/>
      <c r="T31" s="566"/>
      <c r="U31" s="5"/>
      <c r="V31" s="5"/>
      <c r="W31" s="5"/>
      <c r="X31" s="5"/>
      <c r="Y31" s="5"/>
      <c r="Z31" s="5"/>
    </row>
    <row r="32" ht="13.5" customHeight="1">
      <c r="A32" s="563">
        <v>7.0</v>
      </c>
      <c r="B32" s="24"/>
      <c r="C32" s="53"/>
      <c r="D32" s="27"/>
      <c r="E32" s="27"/>
      <c r="F32" s="27"/>
      <c r="G32" s="29"/>
      <c r="H32" s="29"/>
      <c r="I32" s="29"/>
      <c r="J32" s="30"/>
      <c r="K32" s="30"/>
      <c r="L32" s="31"/>
      <c r="M32" s="30"/>
      <c r="N32" s="32"/>
      <c r="O32" s="32"/>
      <c r="P32" s="34"/>
      <c r="Q32" s="35"/>
      <c r="R32" s="35"/>
      <c r="S32" s="53"/>
      <c r="T32" s="566"/>
      <c r="U32" s="5"/>
      <c r="V32" s="5"/>
      <c r="W32" s="5"/>
      <c r="X32" s="5"/>
      <c r="Y32" s="5"/>
      <c r="Z32" s="5"/>
    </row>
    <row r="33" ht="13.5" customHeight="1">
      <c r="A33" s="563">
        <v>8.0</v>
      </c>
      <c r="B33" s="24"/>
      <c r="C33" s="53"/>
      <c r="D33" s="27"/>
      <c r="E33" s="27"/>
      <c r="F33" s="27"/>
      <c r="G33" s="29"/>
      <c r="H33" s="29"/>
      <c r="I33" s="29"/>
      <c r="J33" s="30"/>
      <c r="K33" s="30"/>
      <c r="L33" s="31"/>
      <c r="M33" s="30"/>
      <c r="N33" s="32"/>
      <c r="O33" s="32"/>
      <c r="P33" s="34"/>
      <c r="Q33" s="35"/>
      <c r="R33" s="35"/>
      <c r="S33" s="53"/>
      <c r="T33" s="566"/>
      <c r="U33" s="5"/>
      <c r="V33" s="5"/>
      <c r="W33" s="5"/>
      <c r="X33" s="5"/>
      <c r="Y33" s="5"/>
      <c r="Z33" s="5"/>
    </row>
    <row r="34" ht="13.5" customHeight="1">
      <c r="A34" s="563">
        <v>9.0</v>
      </c>
      <c r="B34" s="24"/>
      <c r="C34" s="53"/>
      <c r="D34" s="27"/>
      <c r="E34" s="27"/>
      <c r="F34" s="27"/>
      <c r="G34" s="29"/>
      <c r="H34" s="29"/>
      <c r="I34" s="29"/>
      <c r="J34" s="30"/>
      <c r="K34" s="30"/>
      <c r="L34" s="31"/>
      <c r="M34" s="30"/>
      <c r="N34" s="32"/>
      <c r="O34" s="32"/>
      <c r="P34" s="34"/>
      <c r="Q34" s="35"/>
      <c r="R34" s="35"/>
      <c r="S34" s="53"/>
      <c r="T34" s="566"/>
      <c r="U34" s="5"/>
      <c r="V34" s="5"/>
      <c r="W34" s="5"/>
      <c r="X34" s="5"/>
      <c r="Y34" s="5"/>
      <c r="Z34" s="5"/>
    </row>
    <row r="35" ht="13.5" customHeight="1">
      <c r="A35" s="563">
        <v>10.0</v>
      </c>
      <c r="B35" s="24"/>
      <c r="C35" s="53"/>
      <c r="D35" s="27"/>
      <c r="E35" s="27"/>
      <c r="F35" s="27"/>
      <c r="G35" s="29"/>
      <c r="H35" s="29"/>
      <c r="I35" s="29"/>
      <c r="J35" s="30"/>
      <c r="K35" s="30"/>
      <c r="L35" s="31"/>
      <c r="M35" s="30"/>
      <c r="N35" s="32"/>
      <c r="O35" s="32"/>
      <c r="P35" s="34"/>
      <c r="Q35" s="35"/>
      <c r="R35" s="35"/>
      <c r="S35" s="53"/>
      <c r="T35" s="566"/>
      <c r="U35" s="5"/>
      <c r="V35" s="5"/>
      <c r="W35" s="5"/>
      <c r="X35" s="5"/>
      <c r="Y35" s="5"/>
      <c r="Z35" s="5"/>
    </row>
    <row r="36" ht="13.5" customHeight="1">
      <c r="A36" s="567"/>
      <c r="B36" s="568"/>
      <c r="C36" s="569"/>
      <c r="D36" s="570" t="s">
        <v>144</v>
      </c>
      <c r="E36" s="571"/>
      <c r="F36" s="572"/>
      <c r="G36" s="573"/>
      <c r="H36" s="573"/>
      <c r="I36" s="573"/>
      <c r="J36" s="574"/>
      <c r="K36" s="574"/>
      <c r="L36" s="575"/>
      <c r="M36" s="574"/>
      <c r="N36" s="576"/>
      <c r="O36" s="576"/>
      <c r="P36" s="577"/>
      <c r="Q36" s="578"/>
      <c r="R36" s="578"/>
      <c r="S36" s="569"/>
      <c r="T36" s="6"/>
      <c r="U36" s="5"/>
      <c r="V36" s="5"/>
      <c r="W36" s="5"/>
      <c r="X36" s="5"/>
      <c r="Y36" s="5"/>
      <c r="Z36" s="5"/>
    </row>
    <row r="37" ht="13.5" customHeight="1">
      <c r="A37" s="567"/>
      <c r="B37" s="568"/>
      <c r="C37" s="569"/>
      <c r="D37" s="570" t="s">
        <v>145</v>
      </c>
      <c r="E37" s="571">
        <v>785.0</v>
      </c>
      <c r="F37" s="572"/>
      <c r="G37" s="573"/>
      <c r="H37" s="573"/>
      <c r="I37" s="573"/>
      <c r="J37" s="574"/>
      <c r="K37" s="574"/>
      <c r="L37" s="575"/>
      <c r="M37" s="574"/>
      <c r="N37" s="576"/>
      <c r="O37" s="576"/>
      <c r="P37" s="577"/>
      <c r="Q37" s="578"/>
      <c r="R37" s="578"/>
      <c r="S37" s="569"/>
      <c r="T37" s="6"/>
      <c r="U37" s="5"/>
      <c r="V37" s="5"/>
      <c r="W37" s="5"/>
      <c r="X37" s="5"/>
      <c r="Y37" s="5"/>
      <c r="Z37" s="5"/>
    </row>
    <row r="38" ht="13.5" customHeight="1">
      <c r="A38" s="567"/>
      <c r="B38" s="568"/>
      <c r="C38" s="569"/>
      <c r="D38" s="570" t="s">
        <v>146</v>
      </c>
      <c r="E38" s="571">
        <v>355.0</v>
      </c>
      <c r="F38" s="572"/>
      <c r="G38" s="573"/>
      <c r="H38" s="573"/>
      <c r="I38" s="573"/>
      <c r="J38" s="574"/>
      <c r="K38" s="574"/>
      <c r="L38" s="575"/>
      <c r="M38" s="574"/>
      <c r="N38" s="576"/>
      <c r="O38" s="576"/>
      <c r="P38" s="577"/>
      <c r="Q38" s="578"/>
      <c r="R38" s="578"/>
      <c r="S38" s="569"/>
      <c r="T38" s="6"/>
      <c r="U38" s="5"/>
      <c r="V38" s="5"/>
      <c r="W38" s="5"/>
      <c r="X38" s="5"/>
      <c r="Y38" s="5"/>
      <c r="Z38" s="5"/>
    </row>
    <row r="39" ht="13.5" customHeight="1">
      <c r="A39" s="567"/>
      <c r="B39" s="568"/>
      <c r="C39" s="569"/>
      <c r="D39" s="570" t="s">
        <v>2525</v>
      </c>
      <c r="E39" s="571">
        <v>265.0</v>
      </c>
      <c r="F39" s="572"/>
      <c r="G39" s="573"/>
      <c r="H39" s="573"/>
      <c r="I39" s="573"/>
      <c r="J39" s="574"/>
      <c r="K39" s="574"/>
      <c r="L39" s="575"/>
      <c r="M39" s="574"/>
      <c r="N39" s="576"/>
      <c r="O39" s="576"/>
      <c r="P39" s="577"/>
      <c r="Q39" s="578"/>
      <c r="R39" s="578"/>
      <c r="S39" s="569"/>
      <c r="T39" s="6"/>
      <c r="U39" s="5"/>
      <c r="V39" s="5"/>
      <c r="W39" s="5"/>
      <c r="X39" s="5"/>
      <c r="Y39" s="5"/>
      <c r="Z39" s="5"/>
    </row>
    <row r="40" ht="27.0" customHeight="1">
      <c r="A40" s="561" t="s">
        <v>4</v>
      </c>
      <c r="B40" s="12" t="s">
        <v>5</v>
      </c>
      <c r="C40" s="12" t="s">
        <v>6</v>
      </c>
      <c r="D40" s="13" t="s">
        <v>7</v>
      </c>
      <c r="E40" s="13" t="s">
        <v>8</v>
      </c>
      <c r="F40" s="13" t="s">
        <v>9</v>
      </c>
      <c r="G40" s="14" t="s">
        <v>10</v>
      </c>
      <c r="H40" s="14" t="s">
        <v>11</v>
      </c>
      <c r="I40" s="14" t="s">
        <v>12</v>
      </c>
      <c r="J40" s="15" t="s">
        <v>13</v>
      </c>
      <c r="K40" s="15" t="s">
        <v>14</v>
      </c>
      <c r="L40" s="15" t="s">
        <v>15</v>
      </c>
      <c r="M40" s="15" t="s">
        <v>16</v>
      </c>
      <c r="N40" s="16" t="s">
        <v>17</v>
      </c>
      <c r="O40" s="16" t="s">
        <v>18</v>
      </c>
      <c r="P40" s="16" t="s">
        <v>19</v>
      </c>
      <c r="Q40" s="17" t="s">
        <v>20</v>
      </c>
      <c r="R40" s="17" t="s">
        <v>21</v>
      </c>
      <c r="S40" s="562" t="s">
        <v>2523</v>
      </c>
      <c r="T40" s="562" t="s">
        <v>2524</v>
      </c>
      <c r="U40" s="22"/>
      <c r="V40" s="22"/>
      <c r="W40" s="22"/>
      <c r="X40" s="22"/>
      <c r="Y40" s="22"/>
      <c r="Z40" s="22"/>
    </row>
    <row r="41" ht="13.5" customHeight="1">
      <c r="A41" s="579"/>
      <c r="B41" s="580"/>
      <c r="C41" s="581" t="s">
        <v>2526</v>
      </c>
      <c r="D41" s="582" t="s">
        <v>140</v>
      </c>
      <c r="E41" s="583"/>
      <c r="F41" s="583"/>
      <c r="G41" s="584" t="s">
        <v>2527</v>
      </c>
      <c r="H41" s="585"/>
      <c r="I41" s="584" t="s">
        <v>2528</v>
      </c>
      <c r="J41" s="586"/>
      <c r="K41" s="586"/>
      <c r="L41" s="586"/>
      <c r="M41" s="586"/>
      <c r="N41" s="587"/>
      <c r="O41" s="587"/>
      <c r="P41" s="587"/>
      <c r="Q41" s="588"/>
      <c r="R41" s="588"/>
      <c r="S41" s="587"/>
      <c r="T41" s="587"/>
    </row>
    <row r="42" ht="13.5" customHeight="1">
      <c r="A42" s="579"/>
      <c r="B42" s="580"/>
      <c r="C42" s="580"/>
      <c r="D42" s="582" t="s">
        <v>140</v>
      </c>
      <c r="E42" s="583"/>
      <c r="F42" s="583"/>
      <c r="G42" s="584" t="s">
        <v>2303</v>
      </c>
      <c r="H42" s="585"/>
      <c r="I42" s="585"/>
      <c r="J42" s="586"/>
      <c r="K42" s="586"/>
      <c r="L42" s="586"/>
      <c r="M42" s="586"/>
      <c r="N42" s="587"/>
      <c r="O42" s="587"/>
      <c r="P42" s="587"/>
      <c r="Q42" s="588"/>
      <c r="R42" s="588"/>
      <c r="S42" s="587"/>
      <c r="T42" s="587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4:T24"/>
  </mergeCells>
  <conditionalFormatting sqref="S25 S40">
    <cfRule type="containsText" dxfId="4" priority="1" operator="containsText" text="نيهال عبدالعزيز">
      <formula>NOT(ISERROR(SEARCH(("نيهال عبدالعزيز"),(S25))))</formula>
    </cfRule>
  </conditionalFormatting>
  <conditionalFormatting sqref="T25:Z25 T40:Z40">
    <cfRule type="containsText" dxfId="4" priority="2" operator="containsText" text="نيهال عبدالعزيز">
      <formula>NOT(ISERROR(SEARCH(("نيهال عبدالعزيز"),(T25))))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2026-01-30T18:52:32Z</dcterms:created>
  <dc:creator>somaia ahmed</dc:creator>
</cp:coreProperties>
</file>